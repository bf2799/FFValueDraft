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embeddings/oleObject1.bin" ContentType="application/vnd.openxmlformats-officedocument.oleObject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backupFile="1" codeName="ThisWorkbook"/>
  <mc:AlternateContent xmlns:mc="http://schemas.openxmlformats.org/markup-compatibility/2006">
    <mc:Choice Requires="x15">
      <x15ac:absPath xmlns:x15ac="http://schemas.microsoft.com/office/spreadsheetml/2010/11/ac" url="C:\Users\Ben\Documents\MyDocs\CodeProjects\FantasyFootballValueDraft\"/>
    </mc:Choice>
  </mc:AlternateContent>
  <xr:revisionPtr revIDLastSave="0" documentId="13_ncr:1_{4E7DE477-973B-4F38-9E55-5C6D9F81F746}" xr6:coauthVersionLast="45" xr6:coauthVersionMax="45" xr10:uidLastSave="{00000000-0000-0000-0000-000000000000}"/>
  <bookViews>
    <workbookView xWindow="-110" yWindow="-110" windowWidth="19420" windowHeight="10420" tabRatio="648" firstSheet="7" activeTab="9" xr2:uid="{00000000-000D-0000-FFFF-FFFF00000000}"/>
  </bookViews>
  <sheets>
    <sheet name="ESPN Import" sheetId="12" r:id="rId1"/>
    <sheet name="Default Rankings Import 2020" sheetId="15" r:id="rId2"/>
    <sheet name="Personal Rankings" sheetId="6" r:id="rId3"/>
    <sheet name="Fantasy Teams" sheetId="5" r:id="rId4"/>
    <sheet name="Player Availability" sheetId="19" r:id="rId5"/>
    <sheet name="Default Rankings" sheetId="16" r:id="rId6"/>
    <sheet name="Take Weights" sheetId="20" r:id="rId7"/>
    <sheet name="Live Draft Suggestions VO2" sheetId="4" r:id="rId8"/>
    <sheet name="League Settings" sheetId="3" r:id="rId9"/>
    <sheet name="Live Draft Suggestions VOR" sheetId="13" r:id="rId10"/>
    <sheet name="Live Draft Picks" sheetId="9" r:id="rId11"/>
    <sheet name="ModelRiskSYS1" sheetId="18" state="hidden" r:id="rId12"/>
  </sheets>
  <externalReferences>
    <externalReference r:id="rId13"/>
  </externalReferences>
  <definedNames>
    <definedName name="SimOpt_AccountDomain" hidden="1">""</definedName>
    <definedName name="SimOpt_AccountName" hidden="1">""</definedName>
    <definedName name="SimOpt_AccountPassword" hidden="1">""</definedName>
    <definedName name="SimOpt_CheckPrecisionAfter" hidden="1">100</definedName>
    <definedName name="SimOpt_GotoSample" hidden="1">0</definedName>
    <definedName name="SimOpt_Macros0" hidden="1">"Module2.ResetSims"</definedName>
    <definedName name="SimOpt_Macros1" hidden="1">""</definedName>
    <definedName name="SimOpt_Macros2" hidden="1">"Module1.TakeToTaken"</definedName>
    <definedName name="SimOpt_Macros3" hidden="1">"Module2.TempTotValAvailToTotValAvail"</definedName>
    <definedName name="SimOpt_MacrosUsage" hidden="1">13</definedName>
    <definedName name="SimOpt_MinSimBufferSize" hidden="1">5000000</definedName>
    <definedName name="SimOpt_RefreshExcel" hidden="1">0</definedName>
    <definedName name="SimOpt_RefreshRate" hidden="1">1</definedName>
    <definedName name="SimOpt_SamplesCount" hidden="1">20</definedName>
    <definedName name="SimOpt_Seed0" hidden="1">1</definedName>
    <definedName name="SimOpt_SeedFixed" hidden="1">0</definedName>
    <definedName name="SimOpt_SeedMultiplyType" hidden="1">0</definedName>
    <definedName name="SimOpt_ServerAddress" hidden="1">""</definedName>
    <definedName name="SimOpt_ShowResultsAtEnd" hidden="1">0</definedName>
    <definedName name="SimOpt_SimName0" hidden="1">""</definedName>
    <definedName name="SimOpt_SimName1" hidden="1">""</definedName>
    <definedName name="SimOpt_SimName10" hidden="1">""</definedName>
    <definedName name="SimOpt_SimName11" hidden="1">""</definedName>
    <definedName name="SimOpt_SimName12" hidden="1">""</definedName>
    <definedName name="SimOpt_SimName13" hidden="1">""</definedName>
    <definedName name="SimOpt_SimName14" hidden="1">""</definedName>
    <definedName name="SimOpt_SimName15" hidden="1">""</definedName>
    <definedName name="SimOpt_SimName16" hidden="1">""</definedName>
    <definedName name="SimOpt_SimName17" hidden="1">""</definedName>
    <definedName name="SimOpt_SimName18" hidden="1">""</definedName>
    <definedName name="SimOpt_SimName19" hidden="1">""</definedName>
    <definedName name="SimOpt_SimName2" hidden="1">""</definedName>
    <definedName name="SimOpt_SimName20" hidden="1">""</definedName>
    <definedName name="SimOpt_SimName21" hidden="1">""</definedName>
    <definedName name="SimOpt_SimName22" hidden="1">""</definedName>
    <definedName name="SimOpt_SimName23" hidden="1">""</definedName>
    <definedName name="SimOpt_SimName24" hidden="1">""</definedName>
    <definedName name="SimOpt_SimName25" hidden="1">""</definedName>
    <definedName name="SimOpt_SimName26" hidden="1">""</definedName>
    <definedName name="SimOpt_SimName27" hidden="1">""</definedName>
    <definedName name="SimOpt_SimName28" hidden="1">""</definedName>
    <definedName name="SimOpt_SimName29" hidden="1">""</definedName>
    <definedName name="SimOpt_SimName3" hidden="1">""</definedName>
    <definedName name="SimOpt_SimName30" hidden="1">""</definedName>
    <definedName name="SimOpt_SimName31" hidden="1">""</definedName>
    <definedName name="SimOpt_SimName32" hidden="1">""</definedName>
    <definedName name="SimOpt_SimName33" hidden="1">""</definedName>
    <definedName name="SimOpt_SimName34" hidden="1">""</definedName>
    <definedName name="SimOpt_SimName35" hidden="1">""</definedName>
    <definedName name="SimOpt_SimName36" hidden="1">""</definedName>
    <definedName name="SimOpt_SimName37" hidden="1">""</definedName>
    <definedName name="SimOpt_SimName38" hidden="1">""</definedName>
    <definedName name="SimOpt_SimName39" hidden="1">""</definedName>
    <definedName name="SimOpt_SimName4" hidden="1">""</definedName>
    <definedName name="SimOpt_SimName40" hidden="1">""</definedName>
    <definedName name="SimOpt_SimName41" hidden="1">""</definedName>
    <definedName name="SimOpt_SimName42" hidden="1">""</definedName>
    <definedName name="SimOpt_SimName43" hidden="1">""</definedName>
    <definedName name="SimOpt_SimName44" hidden="1">""</definedName>
    <definedName name="SimOpt_SimName45" hidden="1">""</definedName>
    <definedName name="SimOpt_SimName46" hidden="1">""</definedName>
    <definedName name="SimOpt_SimName47" hidden="1">""</definedName>
    <definedName name="SimOpt_SimName48" hidden="1">""</definedName>
    <definedName name="SimOpt_SimName49" hidden="1">""</definedName>
    <definedName name="SimOpt_SimName5" hidden="1">""</definedName>
    <definedName name="SimOpt_SimName50" hidden="1">""</definedName>
    <definedName name="SimOpt_SimName51" hidden="1">""</definedName>
    <definedName name="SimOpt_SimName52" hidden="1">""</definedName>
    <definedName name="SimOpt_SimName53" hidden="1">""</definedName>
    <definedName name="SimOpt_SimName54" hidden="1">""</definedName>
    <definedName name="SimOpt_SimName55" hidden="1">""</definedName>
    <definedName name="SimOpt_SimName56" hidden="1">""</definedName>
    <definedName name="SimOpt_SimName57" hidden="1">""</definedName>
    <definedName name="SimOpt_SimName58" hidden="1">""</definedName>
    <definedName name="SimOpt_SimName59" hidden="1">""</definedName>
    <definedName name="SimOpt_SimName6" hidden="1">""</definedName>
    <definedName name="SimOpt_SimName60" hidden="1">""</definedName>
    <definedName name="SimOpt_SimName61" hidden="1">""</definedName>
    <definedName name="SimOpt_SimName62" hidden="1">""</definedName>
    <definedName name="SimOpt_SimName63" hidden="1">""</definedName>
    <definedName name="SimOpt_SimName64" hidden="1">""</definedName>
    <definedName name="SimOpt_SimName65" hidden="1">""</definedName>
    <definedName name="SimOpt_SimName66" hidden="1">""</definedName>
    <definedName name="SimOpt_SimName67" hidden="1">""</definedName>
    <definedName name="SimOpt_SimName68" hidden="1">""</definedName>
    <definedName name="SimOpt_SimName69" hidden="1">""</definedName>
    <definedName name="SimOpt_SimName7" hidden="1">""</definedName>
    <definedName name="SimOpt_SimName70" hidden="1">""</definedName>
    <definedName name="SimOpt_SimName71" hidden="1">""</definedName>
    <definedName name="SimOpt_SimName72" hidden="1">""</definedName>
    <definedName name="SimOpt_SimName73" hidden="1">""</definedName>
    <definedName name="SimOpt_SimName74" hidden="1">""</definedName>
    <definedName name="SimOpt_SimName75" hidden="1">""</definedName>
    <definedName name="SimOpt_SimName76" hidden="1">""</definedName>
    <definedName name="SimOpt_SimName77" hidden="1">""</definedName>
    <definedName name="SimOpt_SimName78" hidden="1">""</definedName>
    <definedName name="SimOpt_SimName79" hidden="1">""</definedName>
    <definedName name="SimOpt_SimName8" hidden="1">""</definedName>
    <definedName name="SimOpt_SimName80" hidden="1">""</definedName>
    <definedName name="SimOpt_SimName81" hidden="1">""</definedName>
    <definedName name="SimOpt_SimName82" hidden="1">""</definedName>
    <definedName name="SimOpt_SimName83" hidden="1">""</definedName>
    <definedName name="SimOpt_SimName84" hidden="1">""</definedName>
    <definedName name="SimOpt_SimName85" hidden="1">""</definedName>
    <definedName name="SimOpt_SimName86" hidden="1">""</definedName>
    <definedName name="SimOpt_SimName87" hidden="1">""</definedName>
    <definedName name="SimOpt_SimName88" hidden="1">""</definedName>
    <definedName name="SimOpt_SimName89" hidden="1">""</definedName>
    <definedName name="SimOpt_SimName9" hidden="1">""</definedName>
    <definedName name="SimOpt_SimName90" hidden="1">""</definedName>
    <definedName name="SimOpt_SimName91" hidden="1">""</definedName>
    <definedName name="SimOpt_SimName92" hidden="1">""</definedName>
    <definedName name="SimOpt_SimName93" hidden="1">""</definedName>
    <definedName name="SimOpt_SimName94" hidden="1">""</definedName>
    <definedName name="SimOpt_SimName95" hidden="1">""</definedName>
    <definedName name="SimOpt_SimName96" hidden="1">""</definedName>
    <definedName name="SimOpt_SimName97" hidden="1">""</definedName>
    <definedName name="SimOpt_SimName98" hidden="1">""</definedName>
    <definedName name="SimOpt_SimName99" hidden="1">""</definedName>
    <definedName name="SimOpt_SimsCount" hidden="1">8</definedName>
    <definedName name="SimOpt_StopOnOutputError" hidden="1">0</definedName>
    <definedName name="SimOpt_UploadEnabled" hidden="1">0</definedName>
    <definedName name="SimOpt_UploadModel" hidden="1">0</definedName>
    <definedName name="SimOpt_UploadProfile" hidden="1">""</definedName>
    <definedName name="SimOpt_UploadRemotely" hidden="1">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26" i="3" l="1"/>
  <c r="E27" i="3"/>
  <c r="E28" i="3"/>
  <c r="E29" i="3"/>
  <c r="E30" i="3"/>
  <c r="E31" i="3"/>
  <c r="E32" i="3"/>
  <c r="E33" i="3"/>
  <c r="E34" i="3"/>
  <c r="E25" i="3"/>
  <c r="D26" i="3"/>
  <c r="D27" i="3"/>
  <c r="D28" i="3"/>
  <c r="D29" i="3"/>
  <c r="D30" i="3"/>
  <c r="D31" i="3"/>
  <c r="D32" i="3"/>
  <c r="D33" i="3"/>
  <c r="D34" i="3"/>
  <c r="D25" i="3"/>
  <c r="C26" i="3"/>
  <c r="C27" i="3"/>
  <c r="C28" i="3"/>
  <c r="C29" i="3"/>
  <c r="C30" i="3"/>
  <c r="C31" i="3"/>
  <c r="C32" i="3"/>
  <c r="C33" i="3"/>
  <c r="C34" i="3"/>
  <c r="C25" i="3"/>
  <c r="B26" i="3"/>
  <c r="B27" i="3"/>
  <c r="B28" i="3"/>
  <c r="B29" i="3"/>
  <c r="B30" i="3"/>
  <c r="B31" i="3"/>
  <c r="B32" i="3"/>
  <c r="B33" i="3"/>
  <c r="B34" i="3"/>
  <c r="B25" i="3"/>
  <c r="N64" i="20" a="1"/>
  <c r="N64" i="20" s="1"/>
  <c r="S64" i="20" a="1"/>
  <c r="S64" i="20" s="1"/>
  <c r="P65" i="20" a="1"/>
  <c r="P65" i="20" s="1"/>
  <c r="R65" i="20" a="1"/>
  <c r="R65" i="20" s="1"/>
  <c r="T65" i="20" a="1"/>
  <c r="T65" i="20" s="1"/>
  <c r="O66" i="20" a="1"/>
  <c r="O66" i="20" s="1"/>
  <c r="Q66" i="20" a="1"/>
  <c r="Q66" i="20" s="1"/>
  <c r="S66" i="20" a="1"/>
  <c r="S66" i="20" s="1"/>
  <c r="O67" i="20" a="1"/>
  <c r="O67" i="20" s="1"/>
  <c r="Q67" i="20" a="1"/>
  <c r="Q67" i="20" s="1"/>
  <c r="S67" i="20" a="1"/>
  <c r="S67" i="20" s="1"/>
  <c r="N68" i="20" a="1"/>
  <c r="N68" i="20" s="1"/>
  <c r="P68" i="20" a="1"/>
  <c r="P68" i="20" s="1"/>
  <c r="R68" i="20" a="1"/>
  <c r="R68" i="20" s="1"/>
  <c r="N69" i="20" a="1"/>
  <c r="N69" i="20" s="1"/>
  <c r="P69" i="20" a="1"/>
  <c r="P69" i="20" s="1"/>
  <c r="Q69" i="20" a="1"/>
  <c r="Q69" i="20" s="1"/>
  <c r="M70" i="20" a="1"/>
  <c r="M70" i="20" s="1"/>
  <c r="O70" i="20" a="1"/>
  <c r="O70" i="20" s="1"/>
  <c r="Q70" i="20" a="1"/>
  <c r="Q70" i="20" s="1"/>
  <c r="M71" i="20" a="1"/>
  <c r="M71" i="20" s="1"/>
  <c r="O71" i="20" a="1"/>
  <c r="O71" i="20" s="1"/>
  <c r="Q71" i="20" a="1"/>
  <c r="Q71" i="20" s="1"/>
  <c r="M72" i="20" a="1"/>
  <c r="M72" i="20" s="1"/>
  <c r="O72" i="20" a="1"/>
  <c r="O72" i="20" s="1"/>
  <c r="Q72" i="20" a="1"/>
  <c r="Q72" i="20" s="1"/>
  <c r="T72" i="20" a="1"/>
  <c r="T72" i="20" s="1"/>
  <c r="N63" i="20" a="1"/>
  <c r="N63" i="20" s="1"/>
  <c r="P63" i="20" a="1"/>
  <c r="P63" i="20" s="1"/>
  <c r="T63" i="20" a="1"/>
  <c r="T63" i="20" s="1"/>
  <c r="N52" i="20" a="1"/>
  <c r="N52" i="20" s="1"/>
  <c r="O52" i="20" a="1"/>
  <c r="O52" i="20" s="1"/>
  <c r="Q52" i="20" a="1"/>
  <c r="Q52" i="20" s="1"/>
  <c r="R52" i="20" a="1"/>
  <c r="R52" i="20" s="1"/>
  <c r="M53" i="20" a="1"/>
  <c r="M53" i="20" s="1"/>
  <c r="N53" i="20" a="1"/>
  <c r="N53" i="20" s="1"/>
  <c r="O53" i="20" a="1"/>
  <c r="O53" i="20" s="1"/>
  <c r="Q53" i="20" a="1"/>
  <c r="Q53" i="20" s="1"/>
  <c r="R53" i="20" a="1"/>
  <c r="R53" i="20" s="1"/>
  <c r="M54" i="20" a="1"/>
  <c r="M54" i="20" s="1"/>
  <c r="N54" i="20" a="1"/>
  <c r="N54" i="20" s="1"/>
  <c r="O54" i="20" a="1"/>
  <c r="O54" i="20" s="1"/>
  <c r="Q54" i="20" a="1"/>
  <c r="Q54" i="20" s="1"/>
  <c r="R54" i="20" a="1"/>
  <c r="R54" i="20" s="1"/>
  <c r="M55" i="20" a="1"/>
  <c r="M55" i="20" s="1"/>
  <c r="N55" i="20" a="1"/>
  <c r="N55" i="20" s="1"/>
  <c r="O55" i="20" a="1"/>
  <c r="O55" i="20" s="1"/>
  <c r="P55" i="20" a="1"/>
  <c r="P55" i="20" s="1"/>
  <c r="Q55" i="20" a="1"/>
  <c r="Q55" i="20" s="1"/>
  <c r="T55" i="20" a="1"/>
  <c r="T55" i="20" s="1"/>
  <c r="M56" i="20" a="1"/>
  <c r="M56" i="20" s="1"/>
  <c r="N56" i="20" a="1"/>
  <c r="N56" i="20" s="1"/>
  <c r="P56" i="20" a="1"/>
  <c r="P56" i="20" s="1"/>
  <c r="Q56" i="20" a="1"/>
  <c r="Q56" i="20" s="1"/>
  <c r="T56" i="20" a="1"/>
  <c r="T56" i="20" s="1"/>
  <c r="M57" i="20" a="1"/>
  <c r="M57" i="20" s="1"/>
  <c r="N57" i="20" a="1"/>
  <c r="N57" i="20" s="1"/>
  <c r="P57" i="20" a="1"/>
  <c r="P57" i="20" s="1"/>
  <c r="Q57" i="20" a="1"/>
  <c r="Q57" i="20" s="1"/>
  <c r="T57" i="20" a="1"/>
  <c r="T57" i="20" s="1"/>
  <c r="M58" i="20" a="1"/>
  <c r="M58" i="20" s="1"/>
  <c r="N58" i="20" a="1"/>
  <c r="N58" i="20" s="1"/>
  <c r="O58" i="20" a="1"/>
  <c r="O58" i="20" s="1"/>
  <c r="P58" i="20" a="1"/>
  <c r="P58" i="20" s="1"/>
  <c r="S58" i="20" a="1"/>
  <c r="S58" i="20" s="1"/>
  <c r="T58" i="20" a="1"/>
  <c r="T58" i="20" s="1"/>
  <c r="M59" i="20" a="1"/>
  <c r="M59" i="20" s="1"/>
  <c r="O59" i="20" a="1"/>
  <c r="O59" i="20" s="1"/>
  <c r="P59" i="20" a="1"/>
  <c r="P59" i="20" s="1"/>
  <c r="S59" i="20" a="1"/>
  <c r="S59" i="20" s="1"/>
  <c r="T59" i="20" a="1"/>
  <c r="T59" i="20" s="1"/>
  <c r="N60" i="20" a="1"/>
  <c r="N60" i="20" s="1"/>
  <c r="O60" i="20" a="1"/>
  <c r="O60" i="20" s="1"/>
  <c r="R60" i="20" a="1"/>
  <c r="R60" i="20" s="1"/>
  <c r="S60" i="20" a="1"/>
  <c r="S60" i="20" s="1"/>
  <c r="T60" i="20" a="1"/>
  <c r="T60" i="20" s="1"/>
  <c r="N51" i="20" a="1"/>
  <c r="N51" i="20" s="1"/>
  <c r="O51" i="20" a="1"/>
  <c r="O51" i="20" s="1"/>
  <c r="R51" i="20" a="1"/>
  <c r="R51" i="20" s="1"/>
  <c r="S51" i="20" a="1"/>
  <c r="S51" i="20" s="1"/>
  <c r="G14" i="20"/>
  <c r="M64" i="20" s="1" a="1"/>
  <c r="M64" i="20" s="1"/>
  <c r="F14" i="20"/>
  <c r="P52" i="20" s="1" a="1"/>
  <c r="P52" i="20" s="1"/>
  <c r="E14" i="20"/>
  <c r="Q40" i="20" s="1" a="1"/>
  <c r="Q40" i="20" s="1"/>
  <c r="B14" i="20"/>
  <c r="O5" i="20" s="1" a="1"/>
  <c r="O5" i="20" s="1"/>
  <c r="D14" i="20"/>
  <c r="C14" i="20"/>
  <c r="C13" i="20"/>
  <c r="D13" i="20"/>
  <c r="E13" i="20"/>
  <c r="F13" i="20"/>
  <c r="G13" i="20"/>
  <c r="B13" i="20"/>
  <c r="A2" i="20"/>
  <c r="G2" i="20" s="1"/>
  <c r="C47" i="3"/>
  <c r="N3" i="16"/>
  <c r="I3" i="16"/>
  <c r="O47" i="20" l="1" a="1"/>
  <c r="O47" i="20" s="1"/>
  <c r="M63" i="20" a="1"/>
  <c r="M63" i="20" s="1"/>
  <c r="N72" i="20" a="1"/>
  <c r="N72" i="20" s="1"/>
  <c r="N71" i="20" a="1"/>
  <c r="N71" i="20" s="1"/>
  <c r="N70" i="20" a="1"/>
  <c r="N70" i="20" s="1"/>
  <c r="O69" i="20" a="1"/>
  <c r="O69" i="20" s="1"/>
  <c r="O68" i="20" a="1"/>
  <c r="O68" i="20" s="1"/>
  <c r="P67" i="20" a="1"/>
  <c r="P67" i="20" s="1"/>
  <c r="P66" i="20" a="1"/>
  <c r="P66" i="20" s="1"/>
  <c r="Q65" i="20" a="1"/>
  <c r="Q65" i="20" s="1"/>
  <c r="R64" i="20" a="1"/>
  <c r="R64" i="20" s="1"/>
  <c r="S63" i="20" a="1"/>
  <c r="S63" i="20" s="1"/>
  <c r="S72" i="20" a="1"/>
  <c r="S72" i="20" s="1"/>
  <c r="T71" i="20" a="1"/>
  <c r="T71" i="20" s="1"/>
  <c r="T70" i="20" a="1"/>
  <c r="T70" i="20" s="1"/>
  <c r="T69" i="20" a="1"/>
  <c r="T69" i="20" s="1"/>
  <c r="M69" i="20" a="1"/>
  <c r="M69" i="20" s="1"/>
  <c r="M68" i="20" a="1"/>
  <c r="M68" i="20" s="1"/>
  <c r="N67" i="20" a="1"/>
  <c r="N67" i="20" s="1"/>
  <c r="O65" i="20" a="1"/>
  <c r="O65" i="20" s="1"/>
  <c r="R63" i="20" a="1"/>
  <c r="R63" i="20" s="1"/>
  <c r="S71" i="20" a="1"/>
  <c r="S71" i="20" s="1"/>
  <c r="S70" i="20" a="1"/>
  <c r="S70" i="20" s="1"/>
  <c r="S69" i="20" a="1"/>
  <c r="S69" i="20" s="1"/>
  <c r="T68" i="20" a="1"/>
  <c r="T68" i="20" s="1"/>
  <c r="M67" i="20" a="1"/>
  <c r="M67" i="20" s="1"/>
  <c r="N66" i="20" a="1"/>
  <c r="N66" i="20" s="1"/>
  <c r="N65" i="20" a="1"/>
  <c r="N65" i="20" s="1"/>
  <c r="P64" i="20" a="1"/>
  <c r="P64" i="20" s="1"/>
  <c r="Q64" i="20" a="1"/>
  <c r="Q64" i="20" s="1"/>
  <c r="Q63" i="20" a="1"/>
  <c r="Q63" i="20" s="1"/>
  <c r="R72" i="20" a="1"/>
  <c r="R72" i="20" s="1"/>
  <c r="R71" i="20" a="1"/>
  <c r="R71" i="20" s="1"/>
  <c r="R70" i="20" a="1"/>
  <c r="R70" i="20" s="1"/>
  <c r="R69" i="20" a="1"/>
  <c r="R69" i="20" s="1"/>
  <c r="S68" i="20" a="1"/>
  <c r="S68" i="20" s="1"/>
  <c r="T67" i="20" a="1"/>
  <c r="T67" i="20" s="1"/>
  <c r="T66" i="20" a="1"/>
  <c r="T66" i="20" s="1"/>
  <c r="M66" i="20" a="1"/>
  <c r="M66" i="20" s="1"/>
  <c r="M65" i="20" a="1"/>
  <c r="M65" i="20" s="1"/>
  <c r="O64" i="20" a="1"/>
  <c r="O64" i="20" s="1"/>
  <c r="O63" i="20" a="1"/>
  <c r="O63" i="20" s="1"/>
  <c r="P72" i="20" a="1"/>
  <c r="P72" i="20" s="1"/>
  <c r="P71" i="20" a="1"/>
  <c r="P71" i="20" s="1"/>
  <c r="P70" i="20" a="1"/>
  <c r="P70" i="20" s="1"/>
  <c r="Q68" i="20" a="1"/>
  <c r="Q68" i="20" s="1"/>
  <c r="R67" i="20" a="1"/>
  <c r="R67" i="20" s="1"/>
  <c r="R66" i="20" a="1"/>
  <c r="R66" i="20" s="1"/>
  <c r="S65" i="20" a="1"/>
  <c r="S65" i="20" s="1"/>
  <c r="T64" i="20" a="1"/>
  <c r="T64" i="20" s="1"/>
  <c r="Q51" i="20" a="1"/>
  <c r="Q51" i="20" s="1"/>
  <c r="Q60" i="20" a="1"/>
  <c r="Q60" i="20" s="1"/>
  <c r="R59" i="20" a="1"/>
  <c r="R59" i="20" s="1"/>
  <c r="R58" i="20" a="1"/>
  <c r="R58" i="20" s="1"/>
  <c r="S57" i="20" a="1"/>
  <c r="S57" i="20" s="1"/>
  <c r="S56" i="20" a="1"/>
  <c r="S56" i="20" s="1"/>
  <c r="S55" i="20" a="1"/>
  <c r="S55" i="20" s="1"/>
  <c r="T54" i="20" a="1"/>
  <c r="T54" i="20" s="1"/>
  <c r="T53" i="20" a="1"/>
  <c r="T53" i="20" s="1"/>
  <c r="T52" i="20" a="1"/>
  <c r="T52" i="20" s="1"/>
  <c r="M52" i="20" a="1"/>
  <c r="M52" i="20" s="1"/>
  <c r="P51" i="20" a="1"/>
  <c r="P51" i="20" s="1"/>
  <c r="P60" i="20" a="1"/>
  <c r="P60" i="20" s="1"/>
  <c r="Q59" i="20" a="1"/>
  <c r="Q59" i="20" s="1"/>
  <c r="Q58" i="20" a="1"/>
  <c r="Q58" i="20" s="1"/>
  <c r="R57" i="20" a="1"/>
  <c r="R57" i="20" s="1"/>
  <c r="R56" i="20" a="1"/>
  <c r="R56" i="20" s="1"/>
  <c r="R55" i="20" a="1"/>
  <c r="R55" i="20" s="1"/>
  <c r="S54" i="20" a="1"/>
  <c r="S54" i="20" s="1"/>
  <c r="S53" i="20" a="1"/>
  <c r="S53" i="20" s="1"/>
  <c r="S52" i="20" a="1"/>
  <c r="S52" i="20" s="1"/>
  <c r="B36" i="3"/>
  <c r="C36" i="3" s="1"/>
  <c r="T51" i="20" a="1"/>
  <c r="T51" i="20" s="1"/>
  <c r="M51" i="20" a="1"/>
  <c r="M51" i="20" s="1"/>
  <c r="M60" i="20" a="1"/>
  <c r="M60" i="20" s="1"/>
  <c r="N59" i="20" a="1"/>
  <c r="N59" i="20" s="1"/>
  <c r="O57" i="20" a="1"/>
  <c r="O57" i="20" s="1"/>
  <c r="O56" i="20" a="1"/>
  <c r="O56" i="20" s="1"/>
  <c r="P54" i="20" a="1"/>
  <c r="P54" i="20" s="1"/>
  <c r="P53" i="20" a="1"/>
  <c r="P53" i="20" s="1"/>
  <c r="Q44" i="20" a="1"/>
  <c r="Q44" i="20" s="1"/>
  <c r="T41" i="20" a="1"/>
  <c r="T41" i="20" s="1"/>
  <c r="R39" i="20" a="1"/>
  <c r="R39" i="20" s="1"/>
  <c r="P48" i="20" a="1"/>
  <c r="P48" i="20" s="1"/>
  <c r="O43" i="20" a="1"/>
  <c r="O43" i="20" s="1"/>
  <c r="S3" i="20" a="1"/>
  <c r="S3" i="20" s="1"/>
  <c r="O10" i="20" a="1"/>
  <c r="O10" i="20" s="1"/>
  <c r="N7" i="20" a="1"/>
  <c r="N7" i="20" s="1"/>
  <c r="R9" i="20" a="1"/>
  <c r="R9" i="20" s="1"/>
  <c r="R6" i="20" a="1"/>
  <c r="R6" i="20" s="1"/>
  <c r="S41" i="20" a="1"/>
  <c r="S41" i="20" s="1"/>
  <c r="Q9" i="20" a="1"/>
  <c r="Q9" i="20" s="1"/>
  <c r="S45" i="20" a="1"/>
  <c r="S45" i="20" s="1"/>
  <c r="R40" i="20" a="1"/>
  <c r="R40" i="20" s="1"/>
  <c r="R12" i="20" a="1"/>
  <c r="R12" i="20" s="1"/>
  <c r="T8" i="20" a="1"/>
  <c r="T8" i="20" s="1"/>
  <c r="Q3" i="20" a="1"/>
  <c r="Q3" i="20" s="1"/>
  <c r="T46" i="20" a="1"/>
  <c r="T46" i="20" s="1"/>
  <c r="S12" i="20" a="1"/>
  <c r="S12" i="20" s="1"/>
  <c r="Q6" i="20" a="1"/>
  <c r="Q6" i="20" s="1"/>
  <c r="R45" i="20" a="1"/>
  <c r="R45" i="20" s="1"/>
  <c r="K12" i="20" a="1"/>
  <c r="K12" i="20" s="1"/>
  <c r="S8" i="20" a="1"/>
  <c r="S8" i="20" s="1"/>
  <c r="P5" i="20" a="1"/>
  <c r="P5" i="20" s="1"/>
  <c r="S39" i="20" a="1"/>
  <c r="S39" i="20" s="1"/>
  <c r="R44" i="20" a="1"/>
  <c r="R44" i="20" s="1"/>
  <c r="N11" i="20" a="1"/>
  <c r="N11" i="20" s="1"/>
  <c r="L8" i="20" a="1"/>
  <c r="L8" i="20" s="1"/>
  <c r="P4" i="20" a="1"/>
  <c r="P4" i="20" s="1"/>
  <c r="M11" i="20" a="1"/>
  <c r="M11" i="20" s="1"/>
  <c r="K8" i="20" a="1"/>
  <c r="K8" i="20" s="1"/>
  <c r="O4" i="20" a="1"/>
  <c r="O4" i="20" s="1"/>
  <c r="Q48" i="20" a="1"/>
  <c r="Q48" i="20" s="1"/>
  <c r="P43" i="20" a="1"/>
  <c r="P43" i="20" s="1"/>
  <c r="T3" i="20" a="1"/>
  <c r="T3" i="20" s="1"/>
  <c r="P10" i="20" a="1"/>
  <c r="P10" i="20" s="1"/>
  <c r="O7" i="20" a="1"/>
  <c r="O7" i="20" s="1"/>
  <c r="P39" i="20" a="1"/>
  <c r="P39" i="20" s="1"/>
  <c r="T47" i="20" a="1"/>
  <c r="T47" i="20" s="1"/>
  <c r="R46" i="20" a="1"/>
  <c r="R46" i="20" s="1"/>
  <c r="P45" i="20" a="1"/>
  <c r="P45" i="20" s="1"/>
  <c r="O44" i="20" a="1"/>
  <c r="O44" i="20" s="1"/>
  <c r="S42" i="20" a="1"/>
  <c r="S42" i="20" s="1"/>
  <c r="Q41" i="20" a="1"/>
  <c r="Q41" i="20" s="1"/>
  <c r="P40" i="20" a="1"/>
  <c r="P40" i="20" s="1"/>
  <c r="P12" i="20" a="1"/>
  <c r="P12" i="20" s="1"/>
  <c r="S11" i="20" a="1"/>
  <c r="S11" i="20" s="1"/>
  <c r="K11" i="20" a="1"/>
  <c r="K11" i="20" s="1"/>
  <c r="M10" i="20" a="1"/>
  <c r="M10" i="20" s="1"/>
  <c r="O9" i="20" a="1"/>
  <c r="O9" i="20" s="1"/>
  <c r="Q8" i="20" a="1"/>
  <c r="Q8" i="20" s="1"/>
  <c r="S7" i="20" a="1"/>
  <c r="S7" i="20" s="1"/>
  <c r="O6" i="20" a="1"/>
  <c r="O6" i="20" s="1"/>
  <c r="T4" i="20" a="1"/>
  <c r="T4" i="20" s="1"/>
  <c r="T10" i="20" a="1"/>
  <c r="T10" i="20" s="1"/>
  <c r="P8" i="20" a="1"/>
  <c r="P8" i="20" s="1"/>
  <c r="T5" i="20" a="1"/>
  <c r="T5" i="20" s="1"/>
  <c r="S4" i="20" a="1"/>
  <c r="S4" i="20" s="1"/>
  <c r="R47" i="20" a="1"/>
  <c r="R47" i="20" s="1"/>
  <c r="P46" i="20" a="1"/>
  <c r="P46" i="20" s="1"/>
  <c r="O45" i="20" a="1"/>
  <c r="O45" i="20" s="1"/>
  <c r="S43" i="20" a="1"/>
  <c r="S43" i="20" s="1"/>
  <c r="Q42" i="20" a="1"/>
  <c r="Q42" i="20" s="1"/>
  <c r="O41" i="20" a="1"/>
  <c r="O41" i="20" s="1"/>
  <c r="P3" i="20" a="1"/>
  <c r="P3" i="20" s="1"/>
  <c r="N12" i="20" a="1"/>
  <c r="N12" i="20" s="1"/>
  <c r="Q11" i="20" a="1"/>
  <c r="Q11" i="20" s="1"/>
  <c r="S10" i="20" a="1"/>
  <c r="S10" i="20" s="1"/>
  <c r="K10" i="20" a="1"/>
  <c r="K10" i="20" s="1"/>
  <c r="M9" i="20" a="1"/>
  <c r="M9" i="20" s="1"/>
  <c r="O8" i="20" a="1"/>
  <c r="O8" i="20" s="1"/>
  <c r="R7" i="20" a="1"/>
  <c r="R7" i="20" s="1"/>
  <c r="K7" i="20" a="1"/>
  <c r="K7" i="20" s="1"/>
  <c r="S5" i="20" a="1"/>
  <c r="S5" i="20" s="1"/>
  <c r="R4" i="20" a="1"/>
  <c r="R4" i="20" s="1"/>
  <c r="O39" i="20" a="1"/>
  <c r="O39" i="20" s="1"/>
  <c r="Q46" i="20" a="1"/>
  <c r="Q46" i="20" s="1"/>
  <c r="T43" i="20" a="1"/>
  <c r="T43" i="20" s="1"/>
  <c r="P41" i="20" a="1"/>
  <c r="P41" i="20" s="1"/>
  <c r="R11" i="20" a="1"/>
  <c r="R11" i="20" s="1"/>
  <c r="N9" i="20" a="1"/>
  <c r="N9" i="20" s="1"/>
  <c r="T48" i="20" a="1"/>
  <c r="T48" i="20" s="1"/>
  <c r="S48" i="20" a="1"/>
  <c r="S48" i="20" s="1"/>
  <c r="Q47" i="20" a="1"/>
  <c r="Q47" i="20" s="1"/>
  <c r="O46" i="20" a="1"/>
  <c r="O46" i="20" s="1"/>
  <c r="T44" i="20" a="1"/>
  <c r="T44" i="20" s="1"/>
  <c r="R43" i="20" a="1"/>
  <c r="R43" i="20" s="1"/>
  <c r="P42" i="20" a="1"/>
  <c r="P42" i="20" s="1"/>
  <c r="T40" i="20" a="1"/>
  <c r="T40" i="20" s="1"/>
  <c r="O3" i="20" a="1"/>
  <c r="O3" i="20" s="1"/>
  <c r="M12" i="20" a="1"/>
  <c r="M12" i="20" s="1"/>
  <c r="P11" i="20" a="1"/>
  <c r="P11" i="20" s="1"/>
  <c r="R10" i="20" a="1"/>
  <c r="R10" i="20" s="1"/>
  <c r="T9" i="20" a="1"/>
  <c r="T9" i="20" s="1"/>
  <c r="L9" i="20" a="1"/>
  <c r="L9" i="20" s="1"/>
  <c r="N8" i="20" a="1"/>
  <c r="N8" i="20" s="1"/>
  <c r="Q7" i="20" a="1"/>
  <c r="Q7" i="20" s="1"/>
  <c r="T6" i="20" a="1"/>
  <c r="T6" i="20" s="1"/>
  <c r="R5" i="20" a="1"/>
  <c r="R5" i="20" s="1"/>
  <c r="Q4" i="20" a="1"/>
  <c r="Q4" i="20" s="1"/>
  <c r="S47" i="20" a="1"/>
  <c r="S47" i="20" s="1"/>
  <c r="R42" i="20" a="1"/>
  <c r="R42" i="20" s="1"/>
  <c r="O40" i="20" a="1"/>
  <c r="O40" i="20" s="1"/>
  <c r="O12" i="20" a="1"/>
  <c r="O12" i="20" s="1"/>
  <c r="L10" i="20" a="1"/>
  <c r="L10" i="20" s="1"/>
  <c r="L7" i="20" a="1"/>
  <c r="L7" i="20" s="1"/>
  <c r="T39" i="20" a="1"/>
  <c r="T39" i="20" s="1"/>
  <c r="R48" i="20" a="1"/>
  <c r="R48" i="20" s="1"/>
  <c r="P47" i="20" a="1"/>
  <c r="P47" i="20" s="1"/>
  <c r="T45" i="20" a="1"/>
  <c r="T45" i="20" s="1"/>
  <c r="S44" i="20" a="1"/>
  <c r="S44" i="20" s="1"/>
  <c r="Q43" i="20" a="1"/>
  <c r="Q43" i="20" s="1"/>
  <c r="O42" i="20" a="1"/>
  <c r="O42" i="20" s="1"/>
  <c r="S40" i="20" a="1"/>
  <c r="S40" i="20" s="1"/>
  <c r="T12" i="20" a="1"/>
  <c r="T12" i="20" s="1"/>
  <c r="L12" i="20" a="1"/>
  <c r="L12" i="20" s="1"/>
  <c r="O11" i="20" a="1"/>
  <c r="O11" i="20" s="1"/>
  <c r="Q10" i="20" a="1"/>
  <c r="Q10" i="20" s="1"/>
  <c r="S9" i="20" a="1"/>
  <c r="S9" i="20" s="1"/>
  <c r="K9" i="20" a="1"/>
  <c r="K9" i="20" s="1"/>
  <c r="M8" i="20" a="1"/>
  <c r="M8" i="20" s="1"/>
  <c r="P7" i="20" a="1"/>
  <c r="P7" i="20" s="1"/>
  <c r="S6" i="20" a="1"/>
  <c r="S6" i="20" s="1"/>
  <c r="Q5" i="20" a="1"/>
  <c r="Q5" i="20" s="1"/>
  <c r="Q39" i="20" a="1"/>
  <c r="Q39" i="20" s="1"/>
  <c r="O48" i="20" a="1"/>
  <c r="O48" i="20" s="1"/>
  <c r="S46" i="20" a="1"/>
  <c r="S46" i="20" s="1"/>
  <c r="Q45" i="20" a="1"/>
  <c r="Q45" i="20" s="1"/>
  <c r="P44" i="20" a="1"/>
  <c r="P44" i="20" s="1"/>
  <c r="T42" i="20" a="1"/>
  <c r="T42" i="20" s="1"/>
  <c r="R41" i="20" a="1"/>
  <c r="R41" i="20" s="1"/>
  <c r="R3" i="20" a="1"/>
  <c r="R3" i="20" s="1"/>
  <c r="Q12" i="20" a="1"/>
  <c r="Q12" i="20" s="1"/>
  <c r="T11" i="20" a="1"/>
  <c r="T11" i="20" s="1"/>
  <c r="L11" i="20" a="1"/>
  <c r="L11" i="20" s="1"/>
  <c r="N10" i="20" a="1"/>
  <c r="N10" i="20" s="1"/>
  <c r="P9" i="20" a="1"/>
  <c r="P9" i="20" s="1"/>
  <c r="R8" i="20" a="1"/>
  <c r="R8" i="20" s="1"/>
  <c r="T7" i="20" a="1"/>
  <c r="T7" i="20" s="1"/>
  <c r="M7" i="20" a="1"/>
  <c r="M7" i="20" s="1"/>
  <c r="P6" i="20" a="1"/>
  <c r="P6" i="20" s="1"/>
  <c r="K63" i="20" a="1"/>
  <c r="K63" i="20" s="1"/>
  <c r="C48" i="3"/>
  <c r="C49" i="3" s="1"/>
  <c r="C50" i="3" s="1"/>
  <c r="C51" i="3" s="1"/>
  <c r="C52" i="3" s="1"/>
  <c r="C53" i="3" s="1"/>
  <c r="C54" i="3" s="1"/>
  <c r="C55" i="3" s="1"/>
  <c r="C56" i="3" s="1"/>
  <c r="D2" i="20"/>
  <c r="A3" i="20"/>
  <c r="F2" i="20"/>
  <c r="B2" i="20"/>
  <c r="E2" i="20"/>
  <c r="BP6" i="19"/>
  <c r="K39" i="20" l="1" a="1"/>
  <c r="K39" i="20" s="1"/>
  <c r="K51" i="20" a="1"/>
  <c r="K51" i="20" s="1"/>
  <c r="K3" i="20" a="1"/>
  <c r="K3" i="20" s="1"/>
  <c r="K27" i="20" a="1"/>
  <c r="K27" i="20" s="1"/>
  <c r="C45" i="3"/>
  <c r="C40" i="3"/>
  <c r="C41" i="3"/>
  <c r="C42" i="3"/>
  <c r="C39" i="3"/>
  <c r="C38" i="3"/>
  <c r="C43" i="3"/>
  <c r="C44" i="3"/>
  <c r="C37" i="3"/>
  <c r="G3" i="20"/>
  <c r="B3" i="20"/>
  <c r="F3" i="20"/>
  <c r="L51" i="20" s="1" a="1"/>
  <c r="L51" i="20" s="1"/>
  <c r="A4" i="20"/>
  <c r="E3" i="20"/>
  <c r="D3" i="20"/>
  <c r="W3" i="15"/>
  <c r="X3" i="15"/>
  <c r="W4" i="15"/>
  <c r="X4" i="15"/>
  <c r="W5" i="15"/>
  <c r="X5" i="15"/>
  <c r="W6" i="15"/>
  <c r="X6" i="15"/>
  <c r="W7" i="15"/>
  <c r="X7" i="15"/>
  <c r="W8" i="15"/>
  <c r="X8" i="15"/>
  <c r="W9" i="15"/>
  <c r="X9" i="15"/>
  <c r="W10" i="15"/>
  <c r="X10" i="15"/>
  <c r="W11" i="15"/>
  <c r="X11" i="15"/>
  <c r="W12" i="15"/>
  <c r="X12" i="15"/>
  <c r="W13" i="15"/>
  <c r="X13" i="15"/>
  <c r="W14" i="15"/>
  <c r="X14" i="15"/>
  <c r="W15" i="15"/>
  <c r="X15" i="15"/>
  <c r="W16" i="15"/>
  <c r="X16" i="15"/>
  <c r="W17" i="15"/>
  <c r="X17" i="15"/>
  <c r="W18" i="15"/>
  <c r="X18" i="15"/>
  <c r="W19" i="15"/>
  <c r="X19" i="15"/>
  <c r="W20" i="15"/>
  <c r="X20" i="15"/>
  <c r="W21" i="15"/>
  <c r="X21" i="15"/>
  <c r="W22" i="15"/>
  <c r="X22" i="15"/>
  <c r="W23" i="15"/>
  <c r="X23" i="15"/>
  <c r="W24" i="15"/>
  <c r="X24" i="15"/>
  <c r="W25" i="15"/>
  <c r="X25" i="15"/>
  <c r="W26" i="15"/>
  <c r="X26" i="15"/>
  <c r="W27" i="15"/>
  <c r="X27" i="15"/>
  <c r="W28" i="15"/>
  <c r="X28" i="15"/>
  <c r="W29" i="15"/>
  <c r="X29" i="15"/>
  <c r="W30" i="15"/>
  <c r="X30" i="15"/>
  <c r="W31" i="15"/>
  <c r="X31" i="15"/>
  <c r="W32" i="15"/>
  <c r="X32" i="15"/>
  <c r="W33" i="15"/>
  <c r="X33" i="15"/>
  <c r="W34" i="15"/>
  <c r="X34" i="15"/>
  <c r="W35" i="15"/>
  <c r="X35" i="15"/>
  <c r="W36" i="15"/>
  <c r="X36" i="15"/>
  <c r="W37" i="15"/>
  <c r="X37" i="15"/>
  <c r="W38" i="15"/>
  <c r="X38" i="15"/>
  <c r="W39" i="15"/>
  <c r="X39" i="15"/>
  <c r="W40" i="15"/>
  <c r="X40" i="15"/>
  <c r="W41" i="15"/>
  <c r="X41" i="15"/>
  <c r="W42" i="15"/>
  <c r="X42" i="15"/>
  <c r="W43" i="15"/>
  <c r="X43" i="15"/>
  <c r="W44" i="15"/>
  <c r="X44" i="15"/>
  <c r="W45" i="15"/>
  <c r="X45" i="15"/>
  <c r="W46" i="15"/>
  <c r="X46" i="15"/>
  <c r="W47" i="15"/>
  <c r="X47" i="15"/>
  <c r="W48" i="15"/>
  <c r="X48" i="15"/>
  <c r="W49" i="15"/>
  <c r="X49" i="15"/>
  <c r="W50" i="15"/>
  <c r="X50" i="15"/>
  <c r="W51" i="15"/>
  <c r="X51" i="15"/>
  <c r="W52" i="15"/>
  <c r="X52" i="15"/>
  <c r="W53" i="15"/>
  <c r="X53" i="15"/>
  <c r="W54" i="15"/>
  <c r="X54" i="15"/>
  <c r="W55" i="15"/>
  <c r="X55" i="15"/>
  <c r="W56" i="15"/>
  <c r="X56" i="15"/>
  <c r="W57" i="15"/>
  <c r="X57" i="15"/>
  <c r="W58" i="15"/>
  <c r="X58" i="15"/>
  <c r="W59" i="15"/>
  <c r="X59" i="15"/>
  <c r="W60" i="15"/>
  <c r="X60" i="15"/>
  <c r="W61" i="15"/>
  <c r="X61" i="15"/>
  <c r="W62" i="15"/>
  <c r="X62" i="15"/>
  <c r="W63" i="15"/>
  <c r="X63" i="15"/>
  <c r="W64" i="15"/>
  <c r="X64" i="15"/>
  <c r="W65" i="15"/>
  <c r="X65" i="15"/>
  <c r="W66" i="15"/>
  <c r="X66" i="15"/>
  <c r="W67" i="15"/>
  <c r="X67" i="15"/>
  <c r="W68" i="15"/>
  <c r="X68" i="15"/>
  <c r="W69" i="15"/>
  <c r="X69" i="15"/>
  <c r="W70" i="15"/>
  <c r="X70" i="15"/>
  <c r="W71" i="15"/>
  <c r="X71" i="15"/>
  <c r="W72" i="15"/>
  <c r="X72" i="15"/>
  <c r="W73" i="15"/>
  <c r="X73" i="15"/>
  <c r="W74" i="15"/>
  <c r="X74" i="15"/>
  <c r="W75" i="15"/>
  <c r="X75" i="15"/>
  <c r="W76" i="15"/>
  <c r="X76" i="15"/>
  <c r="W77" i="15"/>
  <c r="X77" i="15"/>
  <c r="W78" i="15"/>
  <c r="X78" i="15"/>
  <c r="W79" i="15"/>
  <c r="X79" i="15"/>
  <c r="W80" i="15"/>
  <c r="X80" i="15"/>
  <c r="W81" i="15"/>
  <c r="X81" i="15"/>
  <c r="W82" i="15"/>
  <c r="X82" i="15"/>
  <c r="W83" i="15"/>
  <c r="X83" i="15"/>
  <c r="W84" i="15"/>
  <c r="X84" i="15"/>
  <c r="W85" i="15"/>
  <c r="X85" i="15"/>
  <c r="W86" i="15"/>
  <c r="X86" i="15"/>
  <c r="W87" i="15"/>
  <c r="X87" i="15"/>
  <c r="W88" i="15"/>
  <c r="X88" i="15"/>
  <c r="W89" i="15"/>
  <c r="X89" i="15"/>
  <c r="W90" i="15"/>
  <c r="X90" i="15"/>
  <c r="W91" i="15"/>
  <c r="X91" i="15"/>
  <c r="W92" i="15"/>
  <c r="X92" i="15"/>
  <c r="W93" i="15"/>
  <c r="X93" i="15"/>
  <c r="W94" i="15"/>
  <c r="X94" i="15"/>
  <c r="W95" i="15"/>
  <c r="X95" i="15"/>
  <c r="W96" i="15"/>
  <c r="X96" i="15"/>
  <c r="W97" i="15"/>
  <c r="X97" i="15"/>
  <c r="W98" i="15"/>
  <c r="X98" i="15"/>
  <c r="W99" i="15"/>
  <c r="X99" i="15"/>
  <c r="W100" i="15"/>
  <c r="X100" i="15"/>
  <c r="W101" i="15"/>
  <c r="X101" i="15"/>
  <c r="W102" i="15"/>
  <c r="X102" i="15"/>
  <c r="W103" i="15"/>
  <c r="X103" i="15"/>
  <c r="W104" i="15"/>
  <c r="X104" i="15"/>
  <c r="W105" i="15"/>
  <c r="X105" i="15"/>
  <c r="W106" i="15"/>
  <c r="X106" i="15"/>
  <c r="W107" i="15"/>
  <c r="X107" i="15"/>
  <c r="W108" i="15"/>
  <c r="X108" i="15"/>
  <c r="W109" i="15"/>
  <c r="X109" i="15"/>
  <c r="W110" i="15"/>
  <c r="X110" i="15"/>
  <c r="W111" i="15"/>
  <c r="X111" i="15"/>
  <c r="W112" i="15"/>
  <c r="X112" i="15"/>
  <c r="W113" i="15"/>
  <c r="X113" i="15"/>
  <c r="W114" i="15"/>
  <c r="X114" i="15"/>
  <c r="W115" i="15"/>
  <c r="X115" i="15"/>
  <c r="W116" i="15"/>
  <c r="X116" i="15"/>
  <c r="W117" i="15"/>
  <c r="X117" i="15"/>
  <c r="W118" i="15"/>
  <c r="X118" i="15"/>
  <c r="W119" i="15"/>
  <c r="X119" i="15"/>
  <c r="W120" i="15"/>
  <c r="X120" i="15"/>
  <c r="W121" i="15"/>
  <c r="X121" i="15"/>
  <c r="W122" i="15"/>
  <c r="X122" i="15"/>
  <c r="W123" i="15"/>
  <c r="X123" i="15"/>
  <c r="W124" i="15"/>
  <c r="X124" i="15"/>
  <c r="W125" i="15"/>
  <c r="X125" i="15"/>
  <c r="W126" i="15"/>
  <c r="X126" i="15"/>
  <c r="W127" i="15"/>
  <c r="X127" i="15"/>
  <c r="W128" i="15"/>
  <c r="X128" i="15"/>
  <c r="W129" i="15"/>
  <c r="X129" i="15"/>
  <c r="W130" i="15"/>
  <c r="X130" i="15"/>
  <c r="W131" i="15"/>
  <c r="X131" i="15"/>
  <c r="W132" i="15"/>
  <c r="X132" i="15"/>
  <c r="W133" i="15"/>
  <c r="X133" i="15"/>
  <c r="W134" i="15"/>
  <c r="X134" i="15"/>
  <c r="W135" i="15"/>
  <c r="X135" i="15"/>
  <c r="W136" i="15"/>
  <c r="X136" i="15"/>
  <c r="W137" i="15"/>
  <c r="X137" i="15"/>
  <c r="W138" i="15"/>
  <c r="X138" i="15"/>
  <c r="W139" i="15"/>
  <c r="X139" i="15"/>
  <c r="W140" i="15"/>
  <c r="X140" i="15"/>
  <c r="W141" i="15"/>
  <c r="X141" i="15"/>
  <c r="W142" i="15"/>
  <c r="X142" i="15"/>
  <c r="W143" i="15"/>
  <c r="X143" i="15"/>
  <c r="W144" i="15"/>
  <c r="X144" i="15"/>
  <c r="W145" i="15"/>
  <c r="X145" i="15"/>
  <c r="W146" i="15"/>
  <c r="X146" i="15"/>
  <c r="W147" i="15"/>
  <c r="X147" i="15"/>
  <c r="W148" i="15"/>
  <c r="X148" i="15"/>
  <c r="W149" i="15"/>
  <c r="X149" i="15"/>
  <c r="W150" i="15"/>
  <c r="X150" i="15"/>
  <c r="W151" i="15"/>
  <c r="X151" i="15"/>
  <c r="W152" i="15"/>
  <c r="X152" i="15"/>
  <c r="W153" i="15"/>
  <c r="X153" i="15"/>
  <c r="W154" i="15"/>
  <c r="X154" i="15"/>
  <c r="W155" i="15"/>
  <c r="X155" i="15"/>
  <c r="W156" i="15"/>
  <c r="X156" i="15"/>
  <c r="W157" i="15"/>
  <c r="X157" i="15"/>
  <c r="W158" i="15"/>
  <c r="X158" i="15"/>
  <c r="W159" i="15"/>
  <c r="X159" i="15"/>
  <c r="W160" i="15"/>
  <c r="X160" i="15"/>
  <c r="W161" i="15"/>
  <c r="X161" i="15"/>
  <c r="W162" i="15"/>
  <c r="X162" i="15"/>
  <c r="W163" i="15"/>
  <c r="X163" i="15"/>
  <c r="W164" i="15"/>
  <c r="X164" i="15"/>
  <c r="W165" i="15"/>
  <c r="X165" i="15"/>
  <c r="W166" i="15"/>
  <c r="X166" i="15"/>
  <c r="W167" i="15"/>
  <c r="X167" i="15"/>
  <c r="W168" i="15"/>
  <c r="X168" i="15"/>
  <c r="W169" i="15"/>
  <c r="X169" i="15"/>
  <c r="W170" i="15"/>
  <c r="X170" i="15"/>
  <c r="W171" i="15"/>
  <c r="X171" i="15"/>
  <c r="W172" i="15"/>
  <c r="X172" i="15"/>
  <c r="W173" i="15"/>
  <c r="X173" i="15"/>
  <c r="W174" i="15"/>
  <c r="X174" i="15"/>
  <c r="W175" i="15"/>
  <c r="X175" i="15"/>
  <c r="W176" i="15"/>
  <c r="X176" i="15"/>
  <c r="W177" i="15"/>
  <c r="X177" i="15"/>
  <c r="W178" i="15"/>
  <c r="X178" i="15"/>
  <c r="W179" i="15"/>
  <c r="X179" i="15"/>
  <c r="W180" i="15"/>
  <c r="X180" i="15"/>
  <c r="W181" i="15"/>
  <c r="X181" i="15"/>
  <c r="W182" i="15"/>
  <c r="X182" i="15"/>
  <c r="W183" i="15"/>
  <c r="X183" i="15"/>
  <c r="W184" i="15"/>
  <c r="X184" i="15"/>
  <c r="W185" i="15"/>
  <c r="X185" i="15"/>
  <c r="W186" i="15"/>
  <c r="X186" i="15"/>
  <c r="W187" i="15"/>
  <c r="X187" i="15"/>
  <c r="W188" i="15"/>
  <c r="X188" i="15"/>
  <c r="W189" i="15"/>
  <c r="X189" i="15"/>
  <c r="W190" i="15"/>
  <c r="X190" i="15"/>
  <c r="W191" i="15"/>
  <c r="X191" i="15"/>
  <c r="W192" i="15"/>
  <c r="X192" i="15"/>
  <c r="W193" i="15"/>
  <c r="X193" i="15"/>
  <c r="W194" i="15"/>
  <c r="X194" i="15"/>
  <c r="W195" i="15"/>
  <c r="X195" i="15"/>
  <c r="W196" i="15"/>
  <c r="X196" i="15"/>
  <c r="W197" i="15"/>
  <c r="X197" i="15"/>
  <c r="W198" i="15"/>
  <c r="X198" i="15"/>
  <c r="W199" i="15"/>
  <c r="X199" i="15"/>
  <c r="W200" i="15"/>
  <c r="X200" i="15"/>
  <c r="W201" i="15"/>
  <c r="X201" i="15"/>
  <c r="W202" i="15"/>
  <c r="X202" i="15"/>
  <c r="W203" i="15"/>
  <c r="X203" i="15"/>
  <c r="W204" i="15"/>
  <c r="X204" i="15"/>
  <c r="W205" i="15"/>
  <c r="X205" i="15"/>
  <c r="W206" i="15"/>
  <c r="X206" i="15"/>
  <c r="W207" i="15"/>
  <c r="X207" i="15"/>
  <c r="W208" i="15"/>
  <c r="X208" i="15"/>
  <c r="W209" i="15"/>
  <c r="X209" i="15"/>
  <c r="W210" i="15"/>
  <c r="X210" i="15"/>
  <c r="W211" i="15"/>
  <c r="X211" i="15"/>
  <c r="W212" i="15"/>
  <c r="X212" i="15"/>
  <c r="W213" i="15"/>
  <c r="X213" i="15"/>
  <c r="W214" i="15"/>
  <c r="X214" i="15"/>
  <c r="W215" i="15"/>
  <c r="X215" i="15"/>
  <c r="W216" i="15"/>
  <c r="X216" i="15"/>
  <c r="W217" i="15"/>
  <c r="X217" i="15"/>
  <c r="W218" i="15"/>
  <c r="X218" i="15"/>
  <c r="W219" i="15"/>
  <c r="X219" i="15"/>
  <c r="W220" i="15"/>
  <c r="X220" i="15"/>
  <c r="W221" i="15"/>
  <c r="X221" i="15"/>
  <c r="W222" i="15"/>
  <c r="X222" i="15"/>
  <c r="W223" i="15"/>
  <c r="X223" i="15"/>
  <c r="W224" i="15"/>
  <c r="X224" i="15"/>
  <c r="W225" i="15"/>
  <c r="X225" i="15"/>
  <c r="W226" i="15"/>
  <c r="X226" i="15"/>
  <c r="W227" i="15"/>
  <c r="X227" i="15"/>
  <c r="W228" i="15"/>
  <c r="X228" i="15"/>
  <c r="W229" i="15"/>
  <c r="X229" i="15"/>
  <c r="W230" i="15"/>
  <c r="X230" i="15"/>
  <c r="W231" i="15"/>
  <c r="X231" i="15"/>
  <c r="W232" i="15"/>
  <c r="X232" i="15"/>
  <c r="W233" i="15"/>
  <c r="X233" i="15"/>
  <c r="W234" i="15"/>
  <c r="X234" i="15"/>
  <c r="W235" i="15"/>
  <c r="X235" i="15"/>
  <c r="W236" i="15"/>
  <c r="X236" i="15"/>
  <c r="W237" i="15"/>
  <c r="X237" i="15"/>
  <c r="W238" i="15"/>
  <c r="X238" i="15"/>
  <c r="W239" i="15"/>
  <c r="X239" i="15"/>
  <c r="W240" i="15"/>
  <c r="X240" i="15"/>
  <c r="W241" i="15"/>
  <c r="X241" i="15"/>
  <c r="W242" i="15"/>
  <c r="X242" i="15"/>
  <c r="W243" i="15"/>
  <c r="X243" i="15"/>
  <c r="W244" i="15"/>
  <c r="X244" i="15"/>
  <c r="W245" i="15"/>
  <c r="X245" i="15"/>
  <c r="W246" i="15"/>
  <c r="X246" i="15"/>
  <c r="W247" i="15"/>
  <c r="X247" i="15"/>
  <c r="W248" i="15"/>
  <c r="X248" i="15"/>
  <c r="W249" i="15"/>
  <c r="X249" i="15"/>
  <c r="W250" i="15"/>
  <c r="X250" i="15"/>
  <c r="W251" i="15"/>
  <c r="X251" i="15"/>
  <c r="W252" i="15"/>
  <c r="X252" i="15"/>
  <c r="W253" i="15"/>
  <c r="X253" i="15"/>
  <c r="W254" i="15"/>
  <c r="X254" i="15"/>
  <c r="W255" i="15"/>
  <c r="X255" i="15"/>
  <c r="W256" i="15"/>
  <c r="X256" i="15"/>
  <c r="W257" i="15"/>
  <c r="X257" i="15"/>
  <c r="W258" i="15"/>
  <c r="X258" i="15"/>
  <c r="W259" i="15"/>
  <c r="X259" i="15"/>
  <c r="W260" i="15"/>
  <c r="X260" i="15"/>
  <c r="W261" i="15"/>
  <c r="X261" i="15"/>
  <c r="W262" i="15"/>
  <c r="X262" i="15"/>
  <c r="W263" i="15"/>
  <c r="X263" i="15"/>
  <c r="W264" i="15"/>
  <c r="X264" i="15"/>
  <c r="W265" i="15"/>
  <c r="X265" i="15"/>
  <c r="W266" i="15"/>
  <c r="X266" i="15"/>
  <c r="W267" i="15"/>
  <c r="X267" i="15"/>
  <c r="W268" i="15"/>
  <c r="X268" i="15"/>
  <c r="W269" i="15"/>
  <c r="X269" i="15"/>
  <c r="W270" i="15"/>
  <c r="X270" i="15"/>
  <c r="W271" i="15"/>
  <c r="X271" i="15"/>
  <c r="W272" i="15"/>
  <c r="X272" i="15"/>
  <c r="W273" i="15"/>
  <c r="X273" i="15"/>
  <c r="W274" i="15"/>
  <c r="X274" i="15"/>
  <c r="W275" i="15"/>
  <c r="X275" i="15"/>
  <c r="W276" i="15"/>
  <c r="X276" i="15"/>
  <c r="W277" i="15"/>
  <c r="X277" i="15"/>
  <c r="W278" i="15"/>
  <c r="X278" i="15"/>
  <c r="W279" i="15"/>
  <c r="X279" i="15"/>
  <c r="W280" i="15"/>
  <c r="X280" i="15"/>
  <c r="W281" i="15"/>
  <c r="X281" i="15"/>
  <c r="W282" i="15"/>
  <c r="X282" i="15"/>
  <c r="W283" i="15"/>
  <c r="X283" i="15"/>
  <c r="W284" i="15"/>
  <c r="X284" i="15"/>
  <c r="W285" i="15"/>
  <c r="X285" i="15"/>
  <c r="W286" i="15"/>
  <c r="X286" i="15"/>
  <c r="W287" i="15"/>
  <c r="X287" i="15"/>
  <c r="W288" i="15"/>
  <c r="X288" i="15"/>
  <c r="W289" i="15"/>
  <c r="X289" i="15"/>
  <c r="W290" i="15"/>
  <c r="X290" i="15"/>
  <c r="W291" i="15"/>
  <c r="X291" i="15"/>
  <c r="W292" i="15"/>
  <c r="X292" i="15"/>
  <c r="W293" i="15"/>
  <c r="X293" i="15"/>
  <c r="W294" i="15"/>
  <c r="X294" i="15"/>
  <c r="W295" i="15"/>
  <c r="X295" i="15"/>
  <c r="W296" i="15"/>
  <c r="X296" i="15"/>
  <c r="W297" i="15"/>
  <c r="X297" i="15"/>
  <c r="W298" i="15"/>
  <c r="X298" i="15"/>
  <c r="W299" i="15"/>
  <c r="X299" i="15"/>
  <c r="W300" i="15"/>
  <c r="X300" i="15"/>
  <c r="W301" i="15"/>
  <c r="X301" i="15"/>
  <c r="W302" i="15"/>
  <c r="X302" i="15"/>
  <c r="W303" i="15"/>
  <c r="X303" i="15"/>
  <c r="W304" i="15"/>
  <c r="X304" i="15"/>
  <c r="W305" i="15"/>
  <c r="X305" i="15"/>
  <c r="W306" i="15"/>
  <c r="X306" i="15"/>
  <c r="W307" i="15"/>
  <c r="X307" i="15"/>
  <c r="W308" i="15"/>
  <c r="X308" i="15"/>
  <c r="W309" i="15"/>
  <c r="X309" i="15"/>
  <c r="W310" i="15"/>
  <c r="X310" i="15"/>
  <c r="W311" i="15"/>
  <c r="X311" i="15"/>
  <c r="W312" i="15"/>
  <c r="X312" i="15"/>
  <c r="W313" i="15"/>
  <c r="X313" i="15"/>
  <c r="W314" i="15"/>
  <c r="X314" i="15"/>
  <c r="W315" i="15"/>
  <c r="X315" i="15"/>
  <c r="W316" i="15"/>
  <c r="X316" i="15"/>
  <c r="W317" i="15"/>
  <c r="X317" i="15"/>
  <c r="W318" i="15"/>
  <c r="X318" i="15"/>
  <c r="W319" i="15"/>
  <c r="X319" i="15"/>
  <c r="W320" i="15"/>
  <c r="X320" i="15"/>
  <c r="W321" i="15"/>
  <c r="X321" i="15"/>
  <c r="W322" i="15"/>
  <c r="X322" i="15"/>
  <c r="W323" i="15"/>
  <c r="X323" i="15"/>
  <c r="W324" i="15"/>
  <c r="X324" i="15"/>
  <c r="W325" i="15"/>
  <c r="X325" i="15"/>
  <c r="W326" i="15"/>
  <c r="X326" i="15"/>
  <c r="W327" i="15"/>
  <c r="X327" i="15"/>
  <c r="W328" i="15"/>
  <c r="X328" i="15"/>
  <c r="W329" i="15"/>
  <c r="X329" i="15"/>
  <c r="W330" i="15"/>
  <c r="X330" i="15"/>
  <c r="W331" i="15"/>
  <c r="X331" i="15"/>
  <c r="W332" i="15"/>
  <c r="X332" i="15"/>
  <c r="W333" i="15"/>
  <c r="X333" i="15"/>
  <c r="W334" i="15"/>
  <c r="X334" i="15"/>
  <c r="W335" i="15"/>
  <c r="X335" i="15"/>
  <c r="W336" i="15"/>
  <c r="X336" i="15"/>
  <c r="W337" i="15"/>
  <c r="X337" i="15"/>
  <c r="W338" i="15"/>
  <c r="X338" i="15"/>
  <c r="W339" i="15"/>
  <c r="X339" i="15"/>
  <c r="W340" i="15"/>
  <c r="X340" i="15"/>
  <c r="W341" i="15"/>
  <c r="X341" i="15"/>
  <c r="W342" i="15"/>
  <c r="X342" i="15"/>
  <c r="W343" i="15"/>
  <c r="X343" i="15"/>
  <c r="W344" i="15"/>
  <c r="X344" i="15"/>
  <c r="W345" i="15"/>
  <c r="X345" i="15"/>
  <c r="W346" i="15"/>
  <c r="X346" i="15"/>
  <c r="W347" i="15"/>
  <c r="X347" i="15"/>
  <c r="W348" i="15"/>
  <c r="X348" i="15"/>
  <c r="W349" i="15"/>
  <c r="X349" i="15"/>
  <c r="W350" i="15"/>
  <c r="X350" i="15"/>
  <c r="W351" i="15"/>
  <c r="X351" i="15"/>
  <c r="W352" i="15"/>
  <c r="X352" i="15"/>
  <c r="W353" i="15"/>
  <c r="X353" i="15"/>
  <c r="W354" i="15"/>
  <c r="X354" i="15"/>
  <c r="W355" i="15"/>
  <c r="X355" i="15"/>
  <c r="W356" i="15"/>
  <c r="X356" i="15"/>
  <c r="W357" i="15"/>
  <c r="X357" i="15"/>
  <c r="W358" i="15"/>
  <c r="X358" i="15"/>
  <c r="W359" i="15"/>
  <c r="X359" i="15"/>
  <c r="W360" i="15"/>
  <c r="X360" i="15"/>
  <c r="W361" i="15"/>
  <c r="X361" i="15"/>
  <c r="W362" i="15"/>
  <c r="X362" i="15"/>
  <c r="W363" i="15"/>
  <c r="X363" i="15"/>
  <c r="W364" i="15"/>
  <c r="X364" i="15"/>
  <c r="W365" i="15"/>
  <c r="X365" i="15"/>
  <c r="W366" i="15"/>
  <c r="X366" i="15"/>
  <c r="W367" i="15"/>
  <c r="X367" i="15"/>
  <c r="W368" i="15"/>
  <c r="X368" i="15"/>
  <c r="W369" i="15"/>
  <c r="X369" i="15"/>
  <c r="W370" i="15"/>
  <c r="X370" i="15"/>
  <c r="W371" i="15"/>
  <c r="X371" i="15"/>
  <c r="W372" i="15"/>
  <c r="X372" i="15"/>
  <c r="W373" i="15"/>
  <c r="X373" i="15"/>
  <c r="W374" i="15"/>
  <c r="X374" i="15"/>
  <c r="W375" i="15"/>
  <c r="X375" i="15"/>
  <c r="W376" i="15"/>
  <c r="X376" i="15"/>
  <c r="W377" i="15"/>
  <c r="X377" i="15"/>
  <c r="W378" i="15"/>
  <c r="X378" i="15"/>
  <c r="W379" i="15"/>
  <c r="X379" i="15"/>
  <c r="W380" i="15"/>
  <c r="X380" i="15"/>
  <c r="W381" i="15"/>
  <c r="X381" i="15"/>
  <c r="W382" i="15"/>
  <c r="X382" i="15"/>
  <c r="W383" i="15"/>
  <c r="X383" i="15"/>
  <c r="W384" i="15"/>
  <c r="X384" i="15"/>
  <c r="W385" i="15"/>
  <c r="X385" i="15"/>
  <c r="W386" i="15"/>
  <c r="X386" i="15"/>
  <c r="W387" i="15"/>
  <c r="X387" i="15"/>
  <c r="W388" i="15"/>
  <c r="X388" i="15"/>
  <c r="W389" i="15"/>
  <c r="X389" i="15"/>
  <c r="W390" i="15"/>
  <c r="X390" i="15"/>
  <c r="W391" i="15"/>
  <c r="X391" i="15"/>
  <c r="W392" i="15"/>
  <c r="X392" i="15"/>
  <c r="W393" i="15"/>
  <c r="X393" i="15"/>
  <c r="W394" i="15"/>
  <c r="X394" i="15"/>
  <c r="W395" i="15"/>
  <c r="X395" i="15"/>
  <c r="W396" i="15"/>
  <c r="X396" i="15"/>
  <c r="W397" i="15"/>
  <c r="X397" i="15"/>
  <c r="W398" i="15"/>
  <c r="X398" i="15"/>
  <c r="W399" i="15"/>
  <c r="X399" i="15"/>
  <c r="W400" i="15"/>
  <c r="X400" i="15"/>
  <c r="W401" i="15"/>
  <c r="X401" i="15"/>
  <c r="W402" i="15"/>
  <c r="X402" i="15"/>
  <c r="W403" i="15"/>
  <c r="X403" i="15"/>
  <c r="W404" i="15"/>
  <c r="X404" i="15"/>
  <c r="W405" i="15"/>
  <c r="X405" i="15"/>
  <c r="W406" i="15"/>
  <c r="X406" i="15"/>
  <c r="W407" i="15"/>
  <c r="X407" i="15"/>
  <c r="W408" i="15"/>
  <c r="X408" i="15"/>
  <c r="W409" i="15"/>
  <c r="X409" i="15"/>
  <c r="W410" i="15"/>
  <c r="X410" i="15"/>
  <c r="W411" i="15"/>
  <c r="X411" i="15"/>
  <c r="W412" i="15"/>
  <c r="X412" i="15"/>
  <c r="W413" i="15"/>
  <c r="X413" i="15"/>
  <c r="W414" i="15"/>
  <c r="X414" i="15"/>
  <c r="W415" i="15"/>
  <c r="X415" i="15"/>
  <c r="W416" i="15"/>
  <c r="X416" i="15"/>
  <c r="W417" i="15"/>
  <c r="X417" i="15"/>
  <c r="W418" i="15"/>
  <c r="X418" i="15"/>
  <c r="W419" i="15"/>
  <c r="X419" i="15"/>
  <c r="W420" i="15"/>
  <c r="X420" i="15"/>
  <c r="W421" i="15"/>
  <c r="X421" i="15"/>
  <c r="W422" i="15"/>
  <c r="X422" i="15"/>
  <c r="W423" i="15"/>
  <c r="X423" i="15"/>
  <c r="W424" i="15"/>
  <c r="X424" i="15"/>
  <c r="W425" i="15"/>
  <c r="X425" i="15"/>
  <c r="X2" i="15"/>
  <c r="W2" i="15"/>
  <c r="K28" i="20" l="1" a="1"/>
  <c r="K28" i="20" s="1"/>
  <c r="L28" i="20" a="1"/>
  <c r="L28" i="20" s="1"/>
  <c r="K40" i="20" a="1"/>
  <c r="K40" i="20" s="1"/>
  <c r="L40" i="20" a="1"/>
  <c r="L40" i="20" s="1"/>
  <c r="L27" i="20" a="1"/>
  <c r="L27" i="20" s="1"/>
  <c r="K52" i="20" a="1"/>
  <c r="K52" i="20" s="1"/>
  <c r="L52" i="20" a="1"/>
  <c r="L52" i="20" s="1"/>
  <c r="K4" i="20" a="1"/>
  <c r="K4" i="20" s="1"/>
  <c r="L4" i="20" a="1"/>
  <c r="L4" i="20" s="1"/>
  <c r="M4" i="20" a="1"/>
  <c r="M4" i="20" s="1"/>
  <c r="K64" i="20" a="1"/>
  <c r="K64" i="20" s="1"/>
  <c r="L64" i="20" a="1"/>
  <c r="L64" i="20" s="1"/>
  <c r="L63" i="20" a="1"/>
  <c r="L63" i="20" s="1"/>
  <c r="L3" i="20" a="1"/>
  <c r="L3" i="20" s="1"/>
  <c r="L39" i="20" a="1"/>
  <c r="L39" i="20" s="1"/>
  <c r="D40" i="3"/>
  <c r="D42" i="3"/>
  <c r="D36" i="3"/>
  <c r="D44" i="3"/>
  <c r="D43" i="3"/>
  <c r="D45" i="3"/>
  <c r="D41" i="3"/>
  <c r="D37" i="3"/>
  <c r="D39" i="3"/>
  <c r="D38" i="3"/>
  <c r="A5" i="20"/>
  <c r="D4" i="20"/>
  <c r="G4" i="20"/>
  <c r="B4" i="20"/>
  <c r="F4" i="20"/>
  <c r="E4" i="20"/>
  <c r="C331" i="16"/>
  <c r="D331" i="16"/>
  <c r="E331" i="16"/>
  <c r="C332" i="16"/>
  <c r="D332" i="16"/>
  <c r="E332" i="16"/>
  <c r="C333" i="16"/>
  <c r="D333" i="16"/>
  <c r="E333" i="16"/>
  <c r="C334" i="16"/>
  <c r="D334" i="16"/>
  <c r="E334" i="16"/>
  <c r="C335" i="16"/>
  <c r="D335" i="16"/>
  <c r="E335" i="16"/>
  <c r="C336" i="16"/>
  <c r="D336" i="16"/>
  <c r="E336" i="16"/>
  <c r="C337" i="16"/>
  <c r="D337" i="16"/>
  <c r="E337" i="16"/>
  <c r="C338" i="16"/>
  <c r="D338" i="16"/>
  <c r="E338" i="16"/>
  <c r="C339" i="16"/>
  <c r="D339" i="16"/>
  <c r="E339" i="16"/>
  <c r="C340" i="16"/>
  <c r="D340" i="16"/>
  <c r="E340" i="16"/>
  <c r="C341" i="16"/>
  <c r="D341" i="16"/>
  <c r="E341" i="16"/>
  <c r="C342" i="16"/>
  <c r="D342" i="16"/>
  <c r="E342" i="16"/>
  <c r="C343" i="16"/>
  <c r="D343" i="16"/>
  <c r="E343" i="16"/>
  <c r="C344" i="16"/>
  <c r="D344" i="16"/>
  <c r="E344" i="16"/>
  <c r="C345" i="16"/>
  <c r="D345" i="16"/>
  <c r="E345" i="16"/>
  <c r="C346" i="16"/>
  <c r="D346" i="16"/>
  <c r="E346" i="16"/>
  <c r="C347" i="16"/>
  <c r="D347" i="16"/>
  <c r="E347" i="16"/>
  <c r="C348" i="16"/>
  <c r="D348" i="16"/>
  <c r="E348" i="16"/>
  <c r="C349" i="16"/>
  <c r="D349" i="16"/>
  <c r="E349" i="16"/>
  <c r="C350" i="16"/>
  <c r="D350" i="16"/>
  <c r="E350" i="16"/>
  <c r="C351" i="16"/>
  <c r="D351" i="16"/>
  <c r="E351" i="16"/>
  <c r="C352" i="16"/>
  <c r="D352" i="16"/>
  <c r="E352" i="16"/>
  <c r="C353" i="16"/>
  <c r="D353" i="16"/>
  <c r="E353" i="16"/>
  <c r="C354" i="16"/>
  <c r="D354" i="16"/>
  <c r="E354" i="16"/>
  <c r="C355" i="16"/>
  <c r="D355" i="16"/>
  <c r="E355" i="16"/>
  <c r="C356" i="16"/>
  <c r="D356" i="16"/>
  <c r="E356" i="16"/>
  <c r="C357" i="16"/>
  <c r="D357" i="16"/>
  <c r="E357" i="16"/>
  <c r="C358" i="16"/>
  <c r="D358" i="16"/>
  <c r="E358" i="16"/>
  <c r="C359" i="16"/>
  <c r="D359" i="16"/>
  <c r="E359" i="16"/>
  <c r="C360" i="16"/>
  <c r="D360" i="16"/>
  <c r="E360" i="16"/>
  <c r="C361" i="16"/>
  <c r="D361" i="16"/>
  <c r="E361" i="16"/>
  <c r="C362" i="16"/>
  <c r="D362" i="16"/>
  <c r="E362" i="16"/>
  <c r="C363" i="16"/>
  <c r="D363" i="16"/>
  <c r="E363" i="16"/>
  <c r="C364" i="16"/>
  <c r="D364" i="16"/>
  <c r="E364" i="16"/>
  <c r="C365" i="16"/>
  <c r="D365" i="16"/>
  <c r="E365" i="16"/>
  <c r="C366" i="16"/>
  <c r="D366" i="16"/>
  <c r="E366" i="16"/>
  <c r="C367" i="16"/>
  <c r="D367" i="16"/>
  <c r="E367" i="16"/>
  <c r="C368" i="16"/>
  <c r="D368" i="16"/>
  <c r="E368" i="16"/>
  <c r="C369" i="16"/>
  <c r="D369" i="16"/>
  <c r="E369" i="16"/>
  <c r="C370" i="16"/>
  <c r="D370" i="16"/>
  <c r="E370" i="16"/>
  <c r="C371" i="16"/>
  <c r="D371" i="16"/>
  <c r="E371" i="16"/>
  <c r="C372" i="16"/>
  <c r="D372" i="16"/>
  <c r="E372" i="16"/>
  <c r="C373" i="16"/>
  <c r="D373" i="16"/>
  <c r="E373" i="16"/>
  <c r="C374" i="16"/>
  <c r="D374" i="16"/>
  <c r="E374" i="16"/>
  <c r="C375" i="16"/>
  <c r="D375" i="16"/>
  <c r="E375" i="16"/>
  <c r="C376" i="16"/>
  <c r="D376" i="16"/>
  <c r="E376" i="16"/>
  <c r="C377" i="16"/>
  <c r="D377" i="16"/>
  <c r="E377" i="16"/>
  <c r="C378" i="16"/>
  <c r="D378" i="16"/>
  <c r="E378" i="16"/>
  <c r="C379" i="16"/>
  <c r="D379" i="16"/>
  <c r="E379" i="16"/>
  <c r="C380" i="16"/>
  <c r="D380" i="16"/>
  <c r="E380" i="16"/>
  <c r="C381" i="16"/>
  <c r="D381" i="16"/>
  <c r="E381" i="16"/>
  <c r="C382" i="16"/>
  <c r="D382" i="16"/>
  <c r="E382" i="16"/>
  <c r="C383" i="16"/>
  <c r="D383" i="16"/>
  <c r="E383" i="16"/>
  <c r="C384" i="16"/>
  <c r="D384" i="16"/>
  <c r="E384" i="16"/>
  <c r="C385" i="16"/>
  <c r="D385" i="16"/>
  <c r="E385" i="16"/>
  <c r="C386" i="16"/>
  <c r="D386" i="16"/>
  <c r="E386" i="16"/>
  <c r="C387" i="16"/>
  <c r="D387" i="16"/>
  <c r="E387" i="16"/>
  <c r="C388" i="16"/>
  <c r="D388" i="16"/>
  <c r="E388" i="16"/>
  <c r="C389" i="16"/>
  <c r="D389" i="16"/>
  <c r="E389" i="16"/>
  <c r="C390" i="16"/>
  <c r="D390" i="16"/>
  <c r="E390" i="16"/>
  <c r="C391" i="16"/>
  <c r="D391" i="16"/>
  <c r="E391" i="16"/>
  <c r="C392" i="16"/>
  <c r="D392" i="16"/>
  <c r="E392" i="16"/>
  <c r="C393" i="16"/>
  <c r="D393" i="16"/>
  <c r="E393" i="16"/>
  <c r="C394" i="16"/>
  <c r="D394" i="16"/>
  <c r="E394" i="16"/>
  <c r="C395" i="16"/>
  <c r="D395" i="16"/>
  <c r="E395" i="16"/>
  <c r="C396" i="16"/>
  <c r="D396" i="16"/>
  <c r="E396" i="16"/>
  <c r="C397" i="16"/>
  <c r="D397" i="16"/>
  <c r="E397" i="16"/>
  <c r="C398" i="16"/>
  <c r="D398" i="16"/>
  <c r="E398" i="16"/>
  <c r="C399" i="16"/>
  <c r="D399" i="16"/>
  <c r="E399" i="16"/>
  <c r="C400" i="16"/>
  <c r="D400" i="16"/>
  <c r="E400" i="16"/>
  <c r="C303" i="16"/>
  <c r="D303" i="16"/>
  <c r="E303" i="16"/>
  <c r="C304" i="16"/>
  <c r="D304" i="16"/>
  <c r="E304" i="16"/>
  <c r="C305" i="16"/>
  <c r="D305" i="16"/>
  <c r="E305" i="16"/>
  <c r="C306" i="16"/>
  <c r="D306" i="16"/>
  <c r="E306" i="16"/>
  <c r="C307" i="16"/>
  <c r="D307" i="16"/>
  <c r="E307" i="16"/>
  <c r="C308" i="16"/>
  <c r="D308" i="16"/>
  <c r="E308" i="16"/>
  <c r="C309" i="16"/>
  <c r="D309" i="16"/>
  <c r="E309" i="16"/>
  <c r="C310" i="16"/>
  <c r="D310" i="16"/>
  <c r="E310" i="16"/>
  <c r="C311" i="16"/>
  <c r="D311" i="16"/>
  <c r="E311" i="16"/>
  <c r="C312" i="16"/>
  <c r="D312" i="16"/>
  <c r="E312" i="16"/>
  <c r="C313" i="16"/>
  <c r="D313" i="16"/>
  <c r="E313" i="16"/>
  <c r="C314" i="16"/>
  <c r="D314" i="16"/>
  <c r="E314" i="16"/>
  <c r="C315" i="16"/>
  <c r="D315" i="16"/>
  <c r="E315" i="16"/>
  <c r="C316" i="16"/>
  <c r="D316" i="16"/>
  <c r="E316" i="16"/>
  <c r="C317" i="16"/>
  <c r="D317" i="16"/>
  <c r="E317" i="16"/>
  <c r="C318" i="16"/>
  <c r="D318" i="16"/>
  <c r="E318" i="16"/>
  <c r="C319" i="16"/>
  <c r="D319" i="16"/>
  <c r="E319" i="16"/>
  <c r="C320" i="16"/>
  <c r="D320" i="16"/>
  <c r="E320" i="16"/>
  <c r="C321" i="16"/>
  <c r="D321" i="16"/>
  <c r="E321" i="16"/>
  <c r="C322" i="16"/>
  <c r="D322" i="16"/>
  <c r="E322" i="16"/>
  <c r="C323" i="16"/>
  <c r="D323" i="16"/>
  <c r="E323" i="16"/>
  <c r="C324" i="16"/>
  <c r="D324" i="16"/>
  <c r="E324" i="16"/>
  <c r="C325" i="16"/>
  <c r="D325" i="16"/>
  <c r="E325" i="16"/>
  <c r="C326" i="16"/>
  <c r="D326" i="16"/>
  <c r="E326" i="16"/>
  <c r="C327" i="16"/>
  <c r="D327" i="16"/>
  <c r="E327" i="16"/>
  <c r="C328" i="16"/>
  <c r="D328" i="16"/>
  <c r="E328" i="16"/>
  <c r="C329" i="16"/>
  <c r="D329" i="16"/>
  <c r="E329" i="16"/>
  <c r="C330" i="16"/>
  <c r="D330" i="16"/>
  <c r="E330" i="16"/>
  <c r="K29" i="20" l="1" a="1"/>
  <c r="K29" i="20" s="1"/>
  <c r="L29" i="20" a="1"/>
  <c r="L29" i="20" s="1"/>
  <c r="M29" i="20" a="1"/>
  <c r="M29" i="20" s="1"/>
  <c r="M27" i="20" a="1"/>
  <c r="M27" i="20" s="1"/>
  <c r="M28" i="20" a="1"/>
  <c r="M28" i="20" s="1"/>
  <c r="M41" i="20" a="1"/>
  <c r="M41" i="20" s="1"/>
  <c r="K41" i="20" a="1"/>
  <c r="K41" i="20" s="1"/>
  <c r="L41" i="20" a="1"/>
  <c r="L41" i="20" s="1"/>
  <c r="M39" i="20" a="1"/>
  <c r="M39" i="20" s="1"/>
  <c r="M40" i="20" a="1"/>
  <c r="M40" i="20" s="1"/>
  <c r="K53" i="20" a="1"/>
  <c r="K53" i="20" s="1"/>
  <c r="L53" i="20" a="1"/>
  <c r="L53" i="20" s="1"/>
  <c r="L5" i="20" a="1"/>
  <c r="L5" i="20" s="1"/>
  <c r="M5" i="20" a="1"/>
  <c r="M5" i="20" s="1"/>
  <c r="K5" i="20" a="1"/>
  <c r="K5" i="20" s="1"/>
  <c r="M3" i="20" a="1"/>
  <c r="M3" i="20" s="1"/>
  <c r="K65" i="20" a="1"/>
  <c r="K65" i="20" s="1"/>
  <c r="L65" i="20" a="1"/>
  <c r="L65" i="20" s="1"/>
  <c r="A6" i="20"/>
  <c r="D5" i="20"/>
  <c r="G5" i="20"/>
  <c r="B5" i="20"/>
  <c r="N5" i="20" s="1" a="1"/>
  <c r="N5" i="20" s="1"/>
  <c r="F5" i="20"/>
  <c r="E5" i="20"/>
  <c r="N41" i="20" s="1" a="1"/>
  <c r="N41" i="20" s="1"/>
  <c r="B5" i="4"/>
  <c r="B6" i="4" s="1"/>
  <c r="B7" i="4" s="1"/>
  <c r="B8" i="4" s="1"/>
  <c r="B9" i="4" s="1"/>
  <c r="B10" i="4" s="1"/>
  <c r="B11" i="4" s="1"/>
  <c r="B12" i="4" s="1"/>
  <c r="B13" i="4" s="1"/>
  <c r="B14" i="4" s="1"/>
  <c r="B15" i="4" s="1"/>
  <c r="B16" i="4" s="1"/>
  <c r="B17" i="4" s="1"/>
  <c r="B18" i="4" s="1"/>
  <c r="B19" i="4" s="1"/>
  <c r="B20" i="4" s="1"/>
  <c r="B21" i="4" s="1"/>
  <c r="B22" i="4" s="1"/>
  <c r="B23" i="4" s="1"/>
  <c r="B24" i="4" s="1"/>
  <c r="B25" i="4" s="1"/>
  <c r="B26" i="4" s="1"/>
  <c r="B27" i="4" s="1"/>
  <c r="B28" i="4" s="1"/>
  <c r="B29" i="4" s="1"/>
  <c r="B30" i="4" s="1"/>
  <c r="B31" i="4" s="1"/>
  <c r="B32" i="4" s="1"/>
  <c r="B33" i="4" s="1"/>
  <c r="G5" i="4"/>
  <c r="G6" i="4" s="1"/>
  <c r="G7" i="4" s="1"/>
  <c r="G8" i="4" s="1"/>
  <c r="G9" i="4" s="1"/>
  <c r="G10" i="4" s="1"/>
  <c r="G11" i="4" s="1"/>
  <c r="G12" i="4" s="1"/>
  <c r="G13" i="4" s="1"/>
  <c r="G14" i="4" s="1"/>
  <c r="G15" i="4" s="1"/>
  <c r="G16" i="4" s="1"/>
  <c r="G17" i="4" s="1"/>
  <c r="G18" i="4" s="1"/>
  <c r="G19" i="4" s="1"/>
  <c r="G20" i="4" s="1"/>
  <c r="G21" i="4" s="1"/>
  <c r="G22" i="4" s="1"/>
  <c r="G23" i="4" s="1"/>
  <c r="G24" i="4" s="1"/>
  <c r="G25" i="4" s="1"/>
  <c r="G26" i="4" s="1"/>
  <c r="G27" i="4" s="1"/>
  <c r="G28" i="4" s="1"/>
  <c r="G29" i="4" s="1"/>
  <c r="G30" i="4" s="1"/>
  <c r="G31" i="4" s="1"/>
  <c r="G32" i="4" s="1"/>
  <c r="G33" i="4" s="1"/>
  <c r="G34" i="4" s="1"/>
  <c r="G35" i="4" s="1"/>
  <c r="G36" i="4" s="1"/>
  <c r="G37" i="4" s="1"/>
  <c r="G38" i="4" s="1"/>
  <c r="G39" i="4" s="1"/>
  <c r="G40" i="4" s="1"/>
  <c r="G41" i="4" s="1"/>
  <c r="G42" i="4" s="1"/>
  <c r="G43" i="4" s="1"/>
  <c r="G44" i="4" s="1"/>
  <c r="G45" i="4" s="1"/>
  <c r="G46" i="4" s="1"/>
  <c r="G47" i="4" s="1"/>
  <c r="G48" i="4" s="1"/>
  <c r="G49" i="4" s="1"/>
  <c r="G50" i="4" s="1"/>
  <c r="G51" i="4" s="1"/>
  <c r="G52" i="4" s="1"/>
  <c r="G53" i="4" s="1"/>
  <c r="G54" i="4" s="1"/>
  <c r="G55" i="4" s="1"/>
  <c r="G56" i="4" s="1"/>
  <c r="G57" i="4" s="1"/>
  <c r="G58" i="4" s="1"/>
  <c r="G59" i="4" s="1"/>
  <c r="G60" i="4" s="1"/>
  <c r="G61" i="4" s="1"/>
  <c r="G62" i="4" s="1"/>
  <c r="G63" i="4" s="1"/>
  <c r="G64" i="4" s="1"/>
  <c r="G65" i="4" s="1"/>
  <c r="G66" i="4" s="1"/>
  <c r="G67" i="4" s="1"/>
  <c r="G68" i="4" s="1"/>
  <c r="G69" i="4" s="1"/>
  <c r="G70" i="4" s="1"/>
  <c r="G71" i="4" s="1"/>
  <c r="G72" i="4" s="1"/>
  <c r="G73" i="4" s="1"/>
  <c r="G74" i="4" s="1"/>
  <c r="G75" i="4" s="1"/>
  <c r="G76" i="4" s="1"/>
  <c r="G77" i="4" s="1"/>
  <c r="G78" i="4" s="1"/>
  <c r="K30" i="20" l="1" a="1"/>
  <c r="K30" i="20" s="1"/>
  <c r="L30" i="20" a="1"/>
  <c r="L30" i="20" s="1"/>
  <c r="M30" i="20" a="1"/>
  <c r="M30" i="20" s="1"/>
  <c r="N30" i="20" a="1"/>
  <c r="N30" i="20" s="1"/>
  <c r="N27" i="20" a="1"/>
  <c r="N27" i="20" s="1"/>
  <c r="N28" i="20" a="1"/>
  <c r="N28" i="20" s="1"/>
  <c r="N29" i="20" a="1"/>
  <c r="N29" i="20" s="1"/>
  <c r="K54" i="20" a="1"/>
  <c r="K54" i="20" s="1"/>
  <c r="L54" i="20" a="1"/>
  <c r="L54" i="20" s="1"/>
  <c r="K42" i="20" a="1"/>
  <c r="K42" i="20" s="1"/>
  <c r="L42" i="20" a="1"/>
  <c r="L42" i="20" s="1"/>
  <c r="M42" i="20" a="1"/>
  <c r="M42" i="20" s="1"/>
  <c r="N42" i="20" a="1"/>
  <c r="N42" i="20" s="1"/>
  <c r="N39" i="20" a="1"/>
  <c r="N39" i="20" s="1"/>
  <c r="N40" i="20" a="1"/>
  <c r="N40" i="20" s="1"/>
  <c r="M6" i="20" a="1"/>
  <c r="M6" i="20" s="1"/>
  <c r="N6" i="20" a="1"/>
  <c r="N6" i="20" s="1"/>
  <c r="K6" i="20" a="1"/>
  <c r="K6" i="20" s="1"/>
  <c r="L6" i="20" a="1"/>
  <c r="L6" i="20" s="1"/>
  <c r="N3" i="20" a="1"/>
  <c r="N3" i="20" s="1"/>
  <c r="N4" i="20" a="1"/>
  <c r="N4" i="20" s="1"/>
  <c r="K66" i="20" a="1"/>
  <c r="K66" i="20" s="1"/>
  <c r="L66" i="20" a="1"/>
  <c r="L66" i="20" s="1"/>
  <c r="A7" i="20"/>
  <c r="E6" i="20"/>
  <c r="D6" i="20"/>
  <c r="O30" i="20" s="1" a="1"/>
  <c r="O30" i="20" s="1"/>
  <c r="G6" i="20"/>
  <c r="B6" i="20"/>
  <c r="F6" i="20"/>
  <c r="BW5" i="19"/>
  <c r="BW6" i="19"/>
  <c r="BW7" i="19"/>
  <c r="BW8" i="19"/>
  <c r="BW9" i="19"/>
  <c r="BW4" i="19"/>
  <c r="K55" i="20" l="1" a="1"/>
  <c r="K55" i="20" s="1"/>
  <c r="L55" i="20" a="1"/>
  <c r="L55" i="20" s="1"/>
  <c r="K67" i="20" a="1"/>
  <c r="K67" i="20" s="1"/>
  <c r="L67" i="20" a="1"/>
  <c r="L67" i="20" s="1"/>
  <c r="L31" i="20" a="1"/>
  <c r="L31" i="20" s="1"/>
  <c r="M31" i="20" a="1"/>
  <c r="M31" i="20" s="1"/>
  <c r="N31" i="20" a="1"/>
  <c r="N31" i="20" s="1"/>
  <c r="O31" i="20" a="1"/>
  <c r="O31" i="20" s="1"/>
  <c r="K31" i="20" a="1"/>
  <c r="K31" i="20" s="1"/>
  <c r="O27" i="20" a="1"/>
  <c r="O27" i="20" s="1"/>
  <c r="O28" i="20" a="1"/>
  <c r="O28" i="20" s="1"/>
  <c r="O29" i="20" a="1"/>
  <c r="O29" i="20" s="1"/>
  <c r="L43" i="20" a="1"/>
  <c r="L43" i="20" s="1"/>
  <c r="M43" i="20" a="1"/>
  <c r="M43" i="20" s="1"/>
  <c r="N43" i="20" a="1"/>
  <c r="N43" i="20" s="1"/>
  <c r="K43" i="20" a="1"/>
  <c r="K43" i="20" s="1"/>
  <c r="A8" i="20"/>
  <c r="E7" i="20"/>
  <c r="D7" i="20"/>
  <c r="G7" i="20"/>
  <c r="B7" i="20"/>
  <c r="F7" i="20"/>
  <c r="BF4" i="19"/>
  <c r="BF5" i="19"/>
  <c r="BF6" i="19"/>
  <c r="BF7" i="19"/>
  <c r="BF8" i="19"/>
  <c r="BF9" i="19"/>
  <c r="BF10" i="19"/>
  <c r="BF11" i="19"/>
  <c r="BF12" i="19"/>
  <c r="BF13" i="19"/>
  <c r="BF14" i="19"/>
  <c r="BF15" i="19"/>
  <c r="BF16" i="19"/>
  <c r="BF17" i="19"/>
  <c r="BF18" i="19"/>
  <c r="BF19" i="19"/>
  <c r="BF20" i="19"/>
  <c r="BF21" i="19"/>
  <c r="BF22" i="19"/>
  <c r="BF3" i="19"/>
  <c r="BE4" i="19"/>
  <c r="BE5" i="19" s="1"/>
  <c r="BE6" i="19" s="1"/>
  <c r="BE7" i="19" s="1"/>
  <c r="BE8" i="19" s="1"/>
  <c r="BE9" i="19" s="1"/>
  <c r="BE10" i="19" s="1"/>
  <c r="BE11" i="19" s="1"/>
  <c r="BE12" i="19" s="1"/>
  <c r="BE13" i="19" s="1"/>
  <c r="BE14" i="19" s="1"/>
  <c r="BE15" i="19" s="1"/>
  <c r="BE16" i="19" s="1"/>
  <c r="BE17" i="19" s="1"/>
  <c r="BE18" i="19" s="1"/>
  <c r="BE19" i="19" s="1"/>
  <c r="BE20" i="19" s="1"/>
  <c r="BE21" i="19" s="1"/>
  <c r="BE22" i="19" s="1"/>
  <c r="AU4" i="19"/>
  <c r="AU5" i="19"/>
  <c r="AU6" i="19"/>
  <c r="AU7" i="19"/>
  <c r="AU8" i="19"/>
  <c r="AU9" i="19"/>
  <c r="AU10" i="19"/>
  <c r="AU11" i="19"/>
  <c r="AU12" i="19"/>
  <c r="AU13" i="19"/>
  <c r="AU14" i="19"/>
  <c r="AU15" i="19"/>
  <c r="AU16" i="19"/>
  <c r="AU17" i="19"/>
  <c r="AU18" i="19"/>
  <c r="AU19" i="19"/>
  <c r="AU20" i="19"/>
  <c r="AU21" i="19"/>
  <c r="AU22" i="19"/>
  <c r="AU3" i="19"/>
  <c r="AT4" i="19"/>
  <c r="AT5" i="19" s="1"/>
  <c r="AT6" i="19" s="1"/>
  <c r="AT7" i="19" s="1"/>
  <c r="AT8" i="19" s="1"/>
  <c r="AT9" i="19" s="1"/>
  <c r="AT10" i="19" s="1"/>
  <c r="AT11" i="19" s="1"/>
  <c r="AT12" i="19" s="1"/>
  <c r="AT13" i="19" s="1"/>
  <c r="AT14" i="19" s="1"/>
  <c r="AT15" i="19" s="1"/>
  <c r="AT16" i="19" s="1"/>
  <c r="AT17" i="19" s="1"/>
  <c r="AT18" i="19" s="1"/>
  <c r="AT19" i="19" s="1"/>
  <c r="AT20" i="19" s="1"/>
  <c r="AT21" i="19" s="1"/>
  <c r="AT22" i="19" s="1"/>
  <c r="AJ4" i="19"/>
  <c r="AJ5" i="19"/>
  <c r="AJ6" i="19"/>
  <c r="AJ7" i="19"/>
  <c r="AJ8" i="19"/>
  <c r="AJ9" i="19"/>
  <c r="AJ10" i="19"/>
  <c r="AJ11" i="19"/>
  <c r="AJ12" i="19"/>
  <c r="AJ13" i="19"/>
  <c r="AJ14" i="19"/>
  <c r="AJ15" i="19"/>
  <c r="AJ16" i="19"/>
  <c r="AJ17" i="19"/>
  <c r="AJ18" i="19"/>
  <c r="AJ19" i="19"/>
  <c r="AJ20" i="19"/>
  <c r="AJ21" i="19"/>
  <c r="AJ22" i="19"/>
  <c r="AJ23" i="19"/>
  <c r="AJ24" i="19"/>
  <c r="AJ25" i="19"/>
  <c r="AJ26" i="19"/>
  <c r="AJ27" i="19"/>
  <c r="AJ28" i="19"/>
  <c r="AJ29" i="19"/>
  <c r="AJ30" i="19"/>
  <c r="AJ31" i="19"/>
  <c r="AJ32" i="19"/>
  <c r="AJ3" i="19"/>
  <c r="AI4" i="19"/>
  <c r="AI5" i="19" s="1"/>
  <c r="AI6" i="19" s="1"/>
  <c r="AI7" i="19" s="1"/>
  <c r="AI8" i="19" s="1"/>
  <c r="AI9" i="19" s="1"/>
  <c r="AI10" i="19" s="1"/>
  <c r="AI11" i="19" s="1"/>
  <c r="AI12" i="19" s="1"/>
  <c r="AI13" i="19" s="1"/>
  <c r="AI14" i="19" s="1"/>
  <c r="AI15" i="19" s="1"/>
  <c r="AI16" i="19" s="1"/>
  <c r="AI17" i="19" s="1"/>
  <c r="AI18" i="19" s="1"/>
  <c r="AI19" i="19" s="1"/>
  <c r="AI20" i="19" s="1"/>
  <c r="AI21" i="19" s="1"/>
  <c r="AI22" i="19" s="1"/>
  <c r="AI23" i="19" s="1"/>
  <c r="AI24" i="19" s="1"/>
  <c r="AI25" i="19" s="1"/>
  <c r="AI26" i="19" s="1"/>
  <c r="AI27" i="19" s="1"/>
  <c r="AI28" i="19" s="1"/>
  <c r="AI29" i="19" s="1"/>
  <c r="AI30" i="19" s="1"/>
  <c r="AI31" i="19" s="1"/>
  <c r="AI32" i="19" s="1"/>
  <c r="Y4" i="19"/>
  <c r="Y5" i="19"/>
  <c r="Y6" i="19"/>
  <c r="Y7" i="19"/>
  <c r="Y8" i="19"/>
  <c r="Y9" i="19"/>
  <c r="Y10" i="19"/>
  <c r="Y11" i="19"/>
  <c r="Y12" i="19"/>
  <c r="Y13" i="19"/>
  <c r="Y14" i="19"/>
  <c r="Y15" i="19"/>
  <c r="Y16" i="19"/>
  <c r="Y17" i="19"/>
  <c r="Y18" i="19"/>
  <c r="Y19" i="19"/>
  <c r="Y20" i="19"/>
  <c r="Y21" i="19"/>
  <c r="Y22" i="19"/>
  <c r="Y23" i="19"/>
  <c r="Y24" i="19"/>
  <c r="Y25" i="19"/>
  <c r="Y26" i="19"/>
  <c r="Y27" i="19"/>
  <c r="Y28" i="19"/>
  <c r="Y29" i="19"/>
  <c r="Y30" i="19"/>
  <c r="Y31" i="19"/>
  <c r="Y32" i="19"/>
  <c r="Y33" i="19"/>
  <c r="Y34" i="19"/>
  <c r="Y35" i="19"/>
  <c r="Y36" i="19"/>
  <c r="Y37" i="19"/>
  <c r="Y38" i="19"/>
  <c r="Y39" i="19"/>
  <c r="Y40" i="19"/>
  <c r="Y41" i="19"/>
  <c r="Y42" i="19"/>
  <c r="Y43" i="19"/>
  <c r="Y44" i="19"/>
  <c r="Y45" i="19"/>
  <c r="Y46" i="19"/>
  <c r="Y47" i="19"/>
  <c r="Y48" i="19"/>
  <c r="Y49" i="19"/>
  <c r="Y50" i="19"/>
  <c r="Y51" i="19"/>
  <c r="Y52" i="19"/>
  <c r="Y53" i="19"/>
  <c r="Y54" i="19"/>
  <c r="Y55" i="19"/>
  <c r="Y56" i="19"/>
  <c r="Y57" i="19"/>
  <c r="Y58" i="19"/>
  <c r="Y59" i="19"/>
  <c r="Y60" i="19"/>
  <c r="Y61" i="19"/>
  <c r="Y62" i="19"/>
  <c r="Y63" i="19"/>
  <c r="Y64" i="19"/>
  <c r="Y65" i="19"/>
  <c r="Y66" i="19"/>
  <c r="Y67" i="19"/>
  <c r="Y68" i="19"/>
  <c r="Y69" i="19"/>
  <c r="Y70" i="19"/>
  <c r="Y71" i="19"/>
  <c r="Y72" i="19"/>
  <c r="Y73" i="19"/>
  <c r="Y74" i="19"/>
  <c r="Y75" i="19"/>
  <c r="Y76" i="19"/>
  <c r="Y77" i="19"/>
  <c r="Y3" i="19"/>
  <c r="X4" i="19"/>
  <c r="X5" i="19" s="1"/>
  <c r="X6" i="19" s="1"/>
  <c r="X7" i="19" s="1"/>
  <c r="X8" i="19" s="1"/>
  <c r="X9" i="19" s="1"/>
  <c r="X10" i="19" s="1"/>
  <c r="X11" i="19" s="1"/>
  <c r="X12" i="19" s="1"/>
  <c r="X13" i="19" s="1"/>
  <c r="X14" i="19" s="1"/>
  <c r="X15" i="19" s="1"/>
  <c r="X16" i="19" s="1"/>
  <c r="X17" i="19" s="1"/>
  <c r="X18" i="19" s="1"/>
  <c r="X19" i="19" s="1"/>
  <c r="X20" i="19" s="1"/>
  <c r="X21" i="19" s="1"/>
  <c r="X22" i="19" s="1"/>
  <c r="X23" i="19" s="1"/>
  <c r="X24" i="19" s="1"/>
  <c r="X25" i="19" s="1"/>
  <c r="X26" i="19" s="1"/>
  <c r="X27" i="19" s="1"/>
  <c r="X28" i="19" s="1"/>
  <c r="X29" i="19" s="1"/>
  <c r="X30" i="19" s="1"/>
  <c r="X31" i="19" s="1"/>
  <c r="X32" i="19" s="1"/>
  <c r="X33" i="19" s="1"/>
  <c r="X34" i="19" s="1"/>
  <c r="X35" i="19" s="1"/>
  <c r="X36" i="19" s="1"/>
  <c r="X37" i="19" s="1"/>
  <c r="X38" i="19" s="1"/>
  <c r="X39" i="19" s="1"/>
  <c r="X40" i="19" s="1"/>
  <c r="X41" i="19" s="1"/>
  <c r="X42" i="19" s="1"/>
  <c r="X43" i="19" s="1"/>
  <c r="X44" i="19" s="1"/>
  <c r="X45" i="19" s="1"/>
  <c r="X46" i="19" s="1"/>
  <c r="X47" i="19" s="1"/>
  <c r="X48" i="19" s="1"/>
  <c r="X49" i="19" s="1"/>
  <c r="X50" i="19" s="1"/>
  <c r="X51" i="19" s="1"/>
  <c r="X52" i="19" s="1"/>
  <c r="X53" i="19" s="1"/>
  <c r="X54" i="19" s="1"/>
  <c r="X55" i="19" s="1"/>
  <c r="X56" i="19" s="1"/>
  <c r="X57" i="19" s="1"/>
  <c r="X58" i="19" s="1"/>
  <c r="X59" i="19" s="1"/>
  <c r="X60" i="19" s="1"/>
  <c r="X61" i="19" s="1"/>
  <c r="X62" i="19" s="1"/>
  <c r="X63" i="19" s="1"/>
  <c r="X64" i="19" s="1"/>
  <c r="X65" i="19" s="1"/>
  <c r="X66" i="19" s="1"/>
  <c r="X67" i="19" s="1"/>
  <c r="X68" i="19" s="1"/>
  <c r="X69" i="19" s="1"/>
  <c r="X70" i="19" s="1"/>
  <c r="X71" i="19" s="1"/>
  <c r="X72" i="19" s="1"/>
  <c r="X73" i="19" s="1"/>
  <c r="X74" i="19" s="1"/>
  <c r="X75" i="19" s="1"/>
  <c r="X76" i="19" s="1"/>
  <c r="X77" i="19" s="1"/>
  <c r="N33" i="19"/>
  <c r="N34" i="19"/>
  <c r="N35" i="19"/>
  <c r="N36" i="19"/>
  <c r="N37" i="19"/>
  <c r="N38" i="19"/>
  <c r="N39" i="19"/>
  <c r="N40" i="19"/>
  <c r="N41" i="19"/>
  <c r="N42" i="19"/>
  <c r="N43" i="19"/>
  <c r="N44" i="19"/>
  <c r="N45" i="19"/>
  <c r="N46" i="19"/>
  <c r="N47" i="19"/>
  <c r="N48" i="19"/>
  <c r="N49" i="19"/>
  <c r="N50" i="19"/>
  <c r="N51" i="19"/>
  <c r="N52" i="19"/>
  <c r="N53" i="19"/>
  <c r="N54" i="19"/>
  <c r="N55" i="19"/>
  <c r="N56" i="19"/>
  <c r="N57" i="19"/>
  <c r="N58" i="19"/>
  <c r="N59" i="19"/>
  <c r="N60" i="19"/>
  <c r="N61" i="19"/>
  <c r="N62" i="19"/>
  <c r="N63" i="19"/>
  <c r="N64" i="19"/>
  <c r="N65" i="19"/>
  <c r="N66" i="19"/>
  <c r="N67" i="19"/>
  <c r="N68" i="19"/>
  <c r="N69" i="19"/>
  <c r="N70" i="19"/>
  <c r="N71" i="19"/>
  <c r="N72" i="19"/>
  <c r="N73" i="19"/>
  <c r="N74" i="19"/>
  <c r="N75" i="19"/>
  <c r="N76" i="19"/>
  <c r="N77" i="19"/>
  <c r="N4" i="19"/>
  <c r="N5" i="19"/>
  <c r="N6" i="19"/>
  <c r="N7" i="19"/>
  <c r="N8" i="19"/>
  <c r="N9" i="19"/>
  <c r="N10" i="19"/>
  <c r="N11" i="19"/>
  <c r="N12" i="19"/>
  <c r="N13" i="19"/>
  <c r="N14" i="19"/>
  <c r="N15" i="19"/>
  <c r="N16" i="19"/>
  <c r="N17" i="19"/>
  <c r="N18" i="19"/>
  <c r="N19" i="19"/>
  <c r="N20" i="19"/>
  <c r="N21" i="19"/>
  <c r="N22" i="19"/>
  <c r="N23" i="19"/>
  <c r="N24" i="19"/>
  <c r="N25" i="19"/>
  <c r="N26" i="19"/>
  <c r="N27" i="19"/>
  <c r="N28" i="19"/>
  <c r="N29" i="19"/>
  <c r="N30" i="19"/>
  <c r="N31" i="19"/>
  <c r="N32" i="19"/>
  <c r="N3" i="19"/>
  <c r="M4" i="19"/>
  <c r="M5" i="19" s="1"/>
  <c r="M6" i="19" s="1"/>
  <c r="M7" i="19" s="1"/>
  <c r="M8" i="19" s="1"/>
  <c r="M9" i="19" s="1"/>
  <c r="M10" i="19" s="1"/>
  <c r="M11" i="19" s="1"/>
  <c r="M12" i="19" s="1"/>
  <c r="M13" i="19" s="1"/>
  <c r="M14" i="19" s="1"/>
  <c r="M15" i="19" s="1"/>
  <c r="M16" i="19" s="1"/>
  <c r="M17" i="19" s="1"/>
  <c r="M18" i="19" s="1"/>
  <c r="M19" i="19" s="1"/>
  <c r="M20" i="19" s="1"/>
  <c r="M21" i="19" s="1"/>
  <c r="M22" i="19" s="1"/>
  <c r="M23" i="19" s="1"/>
  <c r="M24" i="19" s="1"/>
  <c r="M25" i="19" s="1"/>
  <c r="M26" i="19" s="1"/>
  <c r="M27" i="19" s="1"/>
  <c r="M28" i="19" s="1"/>
  <c r="M29" i="19" s="1"/>
  <c r="M30" i="19" s="1"/>
  <c r="M31" i="19" s="1"/>
  <c r="M32" i="19" s="1"/>
  <c r="M33" i="19" s="1"/>
  <c r="M34" i="19" s="1"/>
  <c r="M35" i="19" s="1"/>
  <c r="M36" i="19" s="1"/>
  <c r="M37" i="19" s="1"/>
  <c r="M38" i="19" s="1"/>
  <c r="M39" i="19" s="1"/>
  <c r="M40" i="19" s="1"/>
  <c r="M41" i="19" s="1"/>
  <c r="M42" i="19" s="1"/>
  <c r="M43" i="19" s="1"/>
  <c r="M44" i="19" s="1"/>
  <c r="M45" i="19" s="1"/>
  <c r="M46" i="19" s="1"/>
  <c r="M47" i="19" s="1"/>
  <c r="M48" i="19" s="1"/>
  <c r="M49" i="19" s="1"/>
  <c r="M50" i="19" s="1"/>
  <c r="M51" i="19" s="1"/>
  <c r="M52" i="19" s="1"/>
  <c r="M53" i="19" s="1"/>
  <c r="M54" i="19" s="1"/>
  <c r="M55" i="19" s="1"/>
  <c r="M56" i="19" s="1"/>
  <c r="M57" i="19" s="1"/>
  <c r="M58" i="19" s="1"/>
  <c r="M59" i="19" s="1"/>
  <c r="M60" i="19" s="1"/>
  <c r="M61" i="19" s="1"/>
  <c r="M62" i="19" s="1"/>
  <c r="M63" i="19" s="1"/>
  <c r="M64" i="19" s="1"/>
  <c r="M65" i="19" s="1"/>
  <c r="M66" i="19" s="1"/>
  <c r="M67" i="19" s="1"/>
  <c r="M68" i="19" s="1"/>
  <c r="M69" i="19" s="1"/>
  <c r="M70" i="19" s="1"/>
  <c r="M71" i="19" s="1"/>
  <c r="M72" i="19" s="1"/>
  <c r="M73" i="19" s="1"/>
  <c r="M74" i="19" s="1"/>
  <c r="M75" i="19" s="1"/>
  <c r="M76" i="19" s="1"/>
  <c r="M77" i="19" s="1"/>
  <c r="C4" i="19"/>
  <c r="C5" i="19"/>
  <c r="C6" i="19"/>
  <c r="C7" i="19"/>
  <c r="C8" i="19"/>
  <c r="C9" i="19"/>
  <c r="C10" i="19"/>
  <c r="C11" i="19"/>
  <c r="C12" i="19"/>
  <c r="C13" i="19"/>
  <c r="C14" i="19"/>
  <c r="C15" i="19"/>
  <c r="C16" i="19"/>
  <c r="C17" i="19"/>
  <c r="C18" i="19"/>
  <c r="C19" i="19"/>
  <c r="C20" i="19"/>
  <c r="C21" i="19"/>
  <c r="C22" i="19"/>
  <c r="C23" i="19"/>
  <c r="C24" i="19"/>
  <c r="C25" i="19"/>
  <c r="C26" i="19"/>
  <c r="C27" i="19"/>
  <c r="C28" i="19"/>
  <c r="C29" i="19"/>
  <c r="C30" i="19"/>
  <c r="C31" i="19"/>
  <c r="C32" i="19"/>
  <c r="C3" i="19"/>
  <c r="B4" i="19"/>
  <c r="B5" i="19" s="1"/>
  <c r="B6" i="19" s="1"/>
  <c r="B7" i="19" s="1"/>
  <c r="B8" i="19" s="1"/>
  <c r="B9" i="19" s="1"/>
  <c r="B10" i="19" s="1"/>
  <c r="B11" i="19" s="1"/>
  <c r="B12" i="19" s="1"/>
  <c r="B13" i="19" s="1"/>
  <c r="B14" i="19" s="1"/>
  <c r="B15" i="19" s="1"/>
  <c r="B16" i="19" s="1"/>
  <c r="B17" i="19" s="1"/>
  <c r="B18" i="19" s="1"/>
  <c r="B19" i="19" s="1"/>
  <c r="B20" i="19" s="1"/>
  <c r="B21" i="19" s="1"/>
  <c r="B22" i="19" s="1"/>
  <c r="B23" i="19" s="1"/>
  <c r="B24" i="19" s="1"/>
  <c r="B25" i="19" s="1"/>
  <c r="B26" i="19" s="1"/>
  <c r="B27" i="19" s="1"/>
  <c r="B28" i="19" s="1"/>
  <c r="B29" i="19" s="1"/>
  <c r="B30" i="19" s="1"/>
  <c r="B31" i="19" s="1"/>
  <c r="B32" i="19" s="1"/>
  <c r="K68" i="20" l="1" a="1"/>
  <c r="K68" i="20" s="1"/>
  <c r="L68" i="20" a="1"/>
  <c r="L68" i="20" s="1"/>
  <c r="N32" i="20" a="1"/>
  <c r="N32" i="20" s="1"/>
  <c r="O32" i="20" a="1"/>
  <c r="O32" i="20" s="1"/>
  <c r="P32" i="20" a="1"/>
  <c r="P32" i="20" s="1"/>
  <c r="K32" i="20" a="1"/>
  <c r="K32" i="20" s="1"/>
  <c r="L32" i="20" a="1"/>
  <c r="L32" i="20" s="1"/>
  <c r="M32" i="20" a="1"/>
  <c r="M32" i="20" s="1"/>
  <c r="P27" i="20" a="1"/>
  <c r="P27" i="20" s="1"/>
  <c r="P28" i="20" a="1"/>
  <c r="P28" i="20" s="1"/>
  <c r="P29" i="20" a="1"/>
  <c r="P29" i="20" s="1"/>
  <c r="P30" i="20" a="1"/>
  <c r="P30" i="20" s="1"/>
  <c r="K44" i="20" a="1"/>
  <c r="K44" i="20" s="1"/>
  <c r="L44" i="20" a="1"/>
  <c r="L44" i="20" s="1"/>
  <c r="M44" i="20" a="1"/>
  <c r="M44" i="20" s="1"/>
  <c r="N44" i="20" a="1"/>
  <c r="N44" i="20" s="1"/>
  <c r="P31" i="20" a="1"/>
  <c r="P31" i="20" s="1"/>
  <c r="P20" i="20" a="1"/>
  <c r="P20" i="20" s="1"/>
  <c r="P15" i="20" a="1"/>
  <c r="P15" i="20" s="1"/>
  <c r="P16" i="20" a="1"/>
  <c r="P16" i="20" s="1"/>
  <c r="P17" i="20" a="1"/>
  <c r="P17" i="20" s="1"/>
  <c r="P18" i="20" a="1"/>
  <c r="P18" i="20" s="1"/>
  <c r="K56" i="20" a="1"/>
  <c r="K56" i="20" s="1"/>
  <c r="L56" i="20" a="1"/>
  <c r="L56" i="20" s="1"/>
  <c r="A9" i="20"/>
  <c r="F8" i="20"/>
  <c r="E8" i="20"/>
  <c r="D8" i="20"/>
  <c r="Q32" i="20" s="1" a="1"/>
  <c r="Q32" i="20" s="1"/>
  <c r="G8" i="20"/>
  <c r="B8" i="20"/>
  <c r="E153" i="9"/>
  <c r="F153" i="9"/>
  <c r="E154" i="9"/>
  <c r="F154" i="9"/>
  <c r="E155" i="9"/>
  <c r="F155" i="9"/>
  <c r="E156" i="9"/>
  <c r="F156" i="9"/>
  <c r="E157" i="9"/>
  <c r="F157" i="9"/>
  <c r="E158" i="9"/>
  <c r="F158" i="9"/>
  <c r="E159" i="9"/>
  <c r="F159" i="9"/>
  <c r="E160" i="9"/>
  <c r="F160" i="9"/>
  <c r="E161" i="9"/>
  <c r="F161" i="9"/>
  <c r="E162" i="9"/>
  <c r="F162" i="9"/>
  <c r="E163" i="9"/>
  <c r="F163" i="9"/>
  <c r="E164" i="9"/>
  <c r="F164" i="9"/>
  <c r="E165" i="9"/>
  <c r="F165" i="9"/>
  <c r="E166" i="9"/>
  <c r="F166" i="9"/>
  <c r="E167" i="9"/>
  <c r="F167" i="9"/>
  <c r="E168" i="9"/>
  <c r="F168" i="9"/>
  <c r="E169" i="9"/>
  <c r="F169" i="9"/>
  <c r="E170" i="9"/>
  <c r="F170" i="9"/>
  <c r="E171" i="9"/>
  <c r="F171" i="9"/>
  <c r="E172" i="9"/>
  <c r="F172" i="9"/>
  <c r="E173" i="9"/>
  <c r="F173" i="9"/>
  <c r="E174" i="9"/>
  <c r="F174" i="9"/>
  <c r="E175" i="9"/>
  <c r="F175" i="9"/>
  <c r="E176" i="9"/>
  <c r="F176" i="9"/>
  <c r="E177" i="9"/>
  <c r="F177" i="9"/>
  <c r="E178" i="9"/>
  <c r="F178" i="9"/>
  <c r="E179" i="9"/>
  <c r="F179" i="9"/>
  <c r="E180" i="9"/>
  <c r="F180" i="9"/>
  <c r="E181" i="9"/>
  <c r="F181" i="9"/>
  <c r="E182" i="9"/>
  <c r="F182" i="9"/>
  <c r="E183" i="9"/>
  <c r="F183" i="9"/>
  <c r="E184" i="9"/>
  <c r="F184" i="9"/>
  <c r="E185" i="9"/>
  <c r="F185" i="9"/>
  <c r="E186" i="9"/>
  <c r="F186" i="9"/>
  <c r="E187" i="9"/>
  <c r="F187" i="9"/>
  <c r="E188" i="9"/>
  <c r="F188" i="9"/>
  <c r="E189" i="9"/>
  <c r="F189" i="9"/>
  <c r="E190" i="9"/>
  <c r="F190" i="9"/>
  <c r="E191" i="9"/>
  <c r="F191" i="9"/>
  <c r="E192" i="9"/>
  <c r="F192" i="9"/>
  <c r="E193" i="9"/>
  <c r="F193" i="9"/>
  <c r="E194" i="9"/>
  <c r="F194" i="9"/>
  <c r="E195" i="9"/>
  <c r="F195" i="9"/>
  <c r="E196" i="9"/>
  <c r="F196" i="9"/>
  <c r="E197" i="9"/>
  <c r="F197" i="9"/>
  <c r="E198" i="9"/>
  <c r="F198" i="9"/>
  <c r="E199" i="9"/>
  <c r="F199" i="9"/>
  <c r="E200" i="9"/>
  <c r="F200" i="9"/>
  <c r="E201" i="9"/>
  <c r="F201" i="9"/>
  <c r="E202" i="9"/>
  <c r="F202" i="9"/>
  <c r="E203" i="9"/>
  <c r="F203" i="9"/>
  <c r="E204" i="9"/>
  <c r="F204" i="9"/>
  <c r="E205" i="9"/>
  <c r="F205" i="9"/>
  <c r="E206" i="9"/>
  <c r="F206" i="9"/>
  <c r="E207" i="9"/>
  <c r="F207" i="9"/>
  <c r="E208" i="9"/>
  <c r="F208" i="9"/>
  <c r="E209" i="9"/>
  <c r="F209" i="9"/>
  <c r="E210" i="9"/>
  <c r="F210" i="9"/>
  <c r="E211" i="9"/>
  <c r="F211" i="9"/>
  <c r="E212" i="9"/>
  <c r="F212" i="9"/>
  <c r="E213" i="9"/>
  <c r="F213" i="9"/>
  <c r="E214" i="9"/>
  <c r="F214" i="9"/>
  <c r="E215" i="9"/>
  <c r="F215" i="9"/>
  <c r="E216" i="9"/>
  <c r="F216" i="9"/>
  <c r="E217" i="9"/>
  <c r="F217" i="9"/>
  <c r="E218" i="9"/>
  <c r="F218" i="9"/>
  <c r="E219" i="9"/>
  <c r="F219" i="9"/>
  <c r="E220" i="9"/>
  <c r="F220" i="9"/>
  <c r="E221" i="9"/>
  <c r="F221" i="9"/>
  <c r="E222" i="9"/>
  <c r="F222" i="9"/>
  <c r="E223" i="9"/>
  <c r="F223" i="9"/>
  <c r="E224" i="9"/>
  <c r="F224" i="9"/>
  <c r="E225" i="9"/>
  <c r="F225" i="9"/>
  <c r="E226" i="9"/>
  <c r="F226" i="9"/>
  <c r="E227" i="9"/>
  <c r="F227" i="9"/>
  <c r="E228" i="9"/>
  <c r="F228" i="9"/>
  <c r="E229" i="9"/>
  <c r="F229" i="9"/>
  <c r="E230" i="9"/>
  <c r="F230" i="9"/>
  <c r="E231" i="9"/>
  <c r="F231" i="9"/>
  <c r="E232" i="9"/>
  <c r="F232" i="9"/>
  <c r="E233" i="9"/>
  <c r="F233" i="9"/>
  <c r="E234" i="9"/>
  <c r="F234" i="9"/>
  <c r="E235" i="9"/>
  <c r="F235" i="9"/>
  <c r="E236" i="9"/>
  <c r="F236" i="9"/>
  <c r="E237" i="9"/>
  <c r="F237" i="9"/>
  <c r="E238" i="9"/>
  <c r="F238" i="9"/>
  <c r="E239" i="9"/>
  <c r="F239" i="9"/>
  <c r="E240" i="9"/>
  <c r="F240" i="9"/>
  <c r="E241" i="9"/>
  <c r="F241" i="9"/>
  <c r="E242" i="9"/>
  <c r="F242" i="9"/>
  <c r="E243" i="9"/>
  <c r="F243" i="9"/>
  <c r="E244" i="9"/>
  <c r="F244" i="9"/>
  <c r="E245" i="9"/>
  <c r="F245" i="9"/>
  <c r="E246" i="9"/>
  <c r="F246" i="9"/>
  <c r="E247" i="9"/>
  <c r="F247" i="9"/>
  <c r="E248" i="9"/>
  <c r="F248" i="9"/>
  <c r="E249" i="9"/>
  <c r="F249" i="9"/>
  <c r="E250" i="9"/>
  <c r="F250" i="9"/>
  <c r="E251" i="9"/>
  <c r="F251" i="9"/>
  <c r="E252" i="9"/>
  <c r="F252" i="9"/>
  <c r="E253" i="9"/>
  <c r="F253" i="9"/>
  <c r="E254" i="9"/>
  <c r="F254" i="9"/>
  <c r="P21" i="20" l="1" a="1"/>
  <c r="P21" i="20" s="1"/>
  <c r="Q21" i="20" a="1"/>
  <c r="Q21" i="20" s="1"/>
  <c r="Q15" i="20" a="1"/>
  <c r="Q15" i="20" s="1"/>
  <c r="Q16" i="20" a="1"/>
  <c r="Q16" i="20" s="1"/>
  <c r="Q17" i="20" a="1"/>
  <c r="Q17" i="20" s="1"/>
  <c r="Q18" i="20" a="1"/>
  <c r="Q18" i="20" s="1"/>
  <c r="Q19" i="20" a="1"/>
  <c r="Q19" i="20" s="1"/>
  <c r="L57" i="20" a="1"/>
  <c r="L57" i="20" s="1"/>
  <c r="K57" i="20" a="1"/>
  <c r="K57" i="20" s="1"/>
  <c r="Q20" i="20" a="1"/>
  <c r="Q20" i="20" s="1"/>
  <c r="K69" i="20" a="1"/>
  <c r="K69" i="20" s="1"/>
  <c r="L69" i="20" a="1"/>
  <c r="L69" i="20" s="1"/>
  <c r="K33" i="20" a="1"/>
  <c r="K33" i="20" s="1"/>
  <c r="Q33" i="20" a="1"/>
  <c r="Q33" i="20" s="1"/>
  <c r="L33" i="20" a="1"/>
  <c r="L33" i="20" s="1"/>
  <c r="R33" i="20" a="1"/>
  <c r="R33" i="20" s="1"/>
  <c r="M33" i="20" a="1"/>
  <c r="M33" i="20" s="1"/>
  <c r="N33" i="20" a="1"/>
  <c r="N33" i="20" s="1"/>
  <c r="O33" i="20" a="1"/>
  <c r="O33" i="20" s="1"/>
  <c r="P33" i="20" a="1"/>
  <c r="P33" i="20" s="1"/>
  <c r="Q27" i="20" a="1"/>
  <c r="Q27" i="20" s="1"/>
  <c r="Q28" i="20" a="1"/>
  <c r="Q28" i="20" s="1"/>
  <c r="Q29" i="20" a="1"/>
  <c r="Q29" i="20" s="1"/>
  <c r="Q30" i="20" a="1"/>
  <c r="Q30" i="20" s="1"/>
  <c r="Q31" i="20" a="1"/>
  <c r="Q31" i="20" s="1"/>
  <c r="L45" i="20" a="1"/>
  <c r="L45" i="20" s="1"/>
  <c r="M45" i="20" a="1"/>
  <c r="M45" i="20" s="1"/>
  <c r="N45" i="20" a="1"/>
  <c r="N45" i="20" s="1"/>
  <c r="K45" i="20" a="1"/>
  <c r="K45" i="20" s="1"/>
  <c r="A10" i="20"/>
  <c r="F9" i="20"/>
  <c r="E9" i="20"/>
  <c r="D9" i="20"/>
  <c r="G9" i="20"/>
  <c r="B9" i="20"/>
  <c r="R4" i="15" a="1"/>
  <c r="R4" i="15" s="1"/>
  <c r="E302" i="16"/>
  <c r="D302" i="16"/>
  <c r="C302" i="16"/>
  <c r="E301" i="16"/>
  <c r="D301" i="16"/>
  <c r="C301" i="16"/>
  <c r="E300" i="16"/>
  <c r="D300" i="16"/>
  <c r="C300" i="16"/>
  <c r="E299" i="16"/>
  <c r="D299" i="16"/>
  <c r="C299" i="16"/>
  <c r="E298" i="16"/>
  <c r="D298" i="16"/>
  <c r="C298" i="16"/>
  <c r="E297" i="16"/>
  <c r="D297" i="16"/>
  <c r="C297" i="16"/>
  <c r="E296" i="16"/>
  <c r="D296" i="16"/>
  <c r="C296" i="16"/>
  <c r="E295" i="16"/>
  <c r="D295" i="16"/>
  <c r="C295" i="16"/>
  <c r="E294" i="16"/>
  <c r="D294" i="16"/>
  <c r="C294" i="16"/>
  <c r="E293" i="16"/>
  <c r="D293" i="16"/>
  <c r="C293" i="16"/>
  <c r="E292" i="16"/>
  <c r="D292" i="16"/>
  <c r="C292" i="16"/>
  <c r="E291" i="16"/>
  <c r="D291" i="16"/>
  <c r="C291" i="16"/>
  <c r="E290" i="16"/>
  <c r="D290" i="16"/>
  <c r="C290" i="16"/>
  <c r="E289" i="16"/>
  <c r="D289" i="16"/>
  <c r="C289" i="16"/>
  <c r="E288" i="16"/>
  <c r="D288" i="16"/>
  <c r="C288" i="16"/>
  <c r="E287" i="16"/>
  <c r="D287" i="16"/>
  <c r="C287" i="16"/>
  <c r="E286" i="16"/>
  <c r="D286" i="16"/>
  <c r="C286" i="16"/>
  <c r="E285" i="16"/>
  <c r="D285" i="16"/>
  <c r="C285" i="16"/>
  <c r="E284" i="16"/>
  <c r="D284" i="16"/>
  <c r="C284" i="16"/>
  <c r="E283" i="16"/>
  <c r="D283" i="16"/>
  <c r="C283" i="16"/>
  <c r="E282" i="16"/>
  <c r="D282" i="16"/>
  <c r="C282" i="16"/>
  <c r="E281" i="16"/>
  <c r="D281" i="16"/>
  <c r="C281" i="16"/>
  <c r="E280" i="16"/>
  <c r="D280" i="16"/>
  <c r="C280" i="16"/>
  <c r="E279" i="16"/>
  <c r="D279" i="16"/>
  <c r="C279" i="16"/>
  <c r="E278" i="16"/>
  <c r="D278" i="16"/>
  <c r="C278" i="16"/>
  <c r="E277" i="16"/>
  <c r="D277" i="16"/>
  <c r="C277" i="16"/>
  <c r="E276" i="16"/>
  <c r="D276" i="16"/>
  <c r="C276" i="16"/>
  <c r="E275" i="16"/>
  <c r="D275" i="16"/>
  <c r="C275" i="16"/>
  <c r="E274" i="16"/>
  <c r="D274" i="16"/>
  <c r="C274" i="16"/>
  <c r="E273" i="16"/>
  <c r="D273" i="16"/>
  <c r="C273" i="16"/>
  <c r="E272" i="16"/>
  <c r="D272" i="16"/>
  <c r="C272" i="16"/>
  <c r="E271" i="16"/>
  <c r="D271" i="16"/>
  <c r="C271" i="16"/>
  <c r="E270" i="16"/>
  <c r="D270" i="16"/>
  <c r="C270" i="16"/>
  <c r="E269" i="16"/>
  <c r="D269" i="16"/>
  <c r="C269" i="16"/>
  <c r="E268" i="16"/>
  <c r="D268" i="16"/>
  <c r="C268" i="16"/>
  <c r="E267" i="16"/>
  <c r="D267" i="16"/>
  <c r="C267" i="16"/>
  <c r="E266" i="16"/>
  <c r="D266" i="16"/>
  <c r="C266" i="16"/>
  <c r="E265" i="16"/>
  <c r="D265" i="16"/>
  <c r="C265" i="16"/>
  <c r="E264" i="16"/>
  <c r="D264" i="16"/>
  <c r="C264" i="16"/>
  <c r="E263" i="16"/>
  <c r="D263" i="16"/>
  <c r="C263" i="16"/>
  <c r="E262" i="16"/>
  <c r="D262" i="16"/>
  <c r="C262" i="16"/>
  <c r="E261" i="16"/>
  <c r="D261" i="16"/>
  <c r="C261" i="16"/>
  <c r="E260" i="16"/>
  <c r="D260" i="16"/>
  <c r="C260" i="16"/>
  <c r="E259" i="16"/>
  <c r="D259" i="16"/>
  <c r="C259" i="16"/>
  <c r="E258" i="16"/>
  <c r="D258" i="16"/>
  <c r="C258" i="16"/>
  <c r="E257" i="16"/>
  <c r="D257" i="16"/>
  <c r="C257" i="16"/>
  <c r="E256" i="16"/>
  <c r="D256" i="16"/>
  <c r="C256" i="16"/>
  <c r="E255" i="16"/>
  <c r="D255" i="16"/>
  <c r="C255" i="16"/>
  <c r="E254" i="16"/>
  <c r="D254" i="16"/>
  <c r="C254" i="16"/>
  <c r="E253" i="16"/>
  <c r="D253" i="16"/>
  <c r="C253" i="16"/>
  <c r="E252" i="16"/>
  <c r="D252" i="16"/>
  <c r="C252" i="16"/>
  <c r="E251" i="16"/>
  <c r="D251" i="16"/>
  <c r="C251" i="16"/>
  <c r="E250" i="16"/>
  <c r="D250" i="16"/>
  <c r="C250" i="16"/>
  <c r="E249" i="16"/>
  <c r="D249" i="16"/>
  <c r="C249" i="16"/>
  <c r="E248" i="16"/>
  <c r="D248" i="16"/>
  <c r="C248" i="16"/>
  <c r="E247" i="16"/>
  <c r="D247" i="16"/>
  <c r="C247" i="16"/>
  <c r="E246" i="16"/>
  <c r="D246" i="16"/>
  <c r="C246" i="16"/>
  <c r="E245" i="16"/>
  <c r="D245" i="16"/>
  <c r="C245" i="16"/>
  <c r="E244" i="16"/>
  <c r="D244" i="16"/>
  <c r="C244" i="16"/>
  <c r="E243" i="16"/>
  <c r="D243" i="16"/>
  <c r="C243" i="16"/>
  <c r="E242" i="16"/>
  <c r="D242" i="16"/>
  <c r="C242" i="16"/>
  <c r="E241" i="16"/>
  <c r="D241" i="16"/>
  <c r="C241" i="16"/>
  <c r="E240" i="16"/>
  <c r="D240" i="16"/>
  <c r="C240" i="16"/>
  <c r="E239" i="16"/>
  <c r="D239" i="16"/>
  <c r="C239" i="16"/>
  <c r="E140" i="9" s="1"/>
  <c r="E238" i="16"/>
  <c r="D238" i="16"/>
  <c r="C238" i="16"/>
  <c r="E237" i="16"/>
  <c r="D237" i="16"/>
  <c r="C237" i="16"/>
  <c r="E236" i="16"/>
  <c r="D236" i="16"/>
  <c r="C236" i="16"/>
  <c r="E235" i="16"/>
  <c r="D235" i="16"/>
  <c r="C235" i="16"/>
  <c r="E234" i="16"/>
  <c r="D234" i="16"/>
  <c r="C234" i="16"/>
  <c r="E233" i="16"/>
  <c r="D233" i="16"/>
  <c r="C233" i="16"/>
  <c r="E232" i="16"/>
  <c r="D232" i="16"/>
  <c r="C232" i="16"/>
  <c r="E231" i="16"/>
  <c r="D231" i="16"/>
  <c r="C231" i="16"/>
  <c r="E230" i="16"/>
  <c r="D230" i="16"/>
  <c r="C230" i="16"/>
  <c r="E229" i="16"/>
  <c r="D229" i="16"/>
  <c r="C229" i="16"/>
  <c r="E228" i="16"/>
  <c r="D228" i="16"/>
  <c r="C228" i="16"/>
  <c r="E227" i="16"/>
  <c r="D227" i="16"/>
  <c r="C227" i="16"/>
  <c r="E226" i="16"/>
  <c r="D226" i="16"/>
  <c r="C226" i="16"/>
  <c r="E225" i="16"/>
  <c r="D225" i="16"/>
  <c r="C225" i="16"/>
  <c r="E224" i="16"/>
  <c r="D224" i="16"/>
  <c r="C224" i="16"/>
  <c r="E223" i="16"/>
  <c r="D223" i="16"/>
  <c r="C223" i="16"/>
  <c r="E222" i="16"/>
  <c r="D222" i="16"/>
  <c r="C222" i="16"/>
  <c r="E221" i="16"/>
  <c r="D221" i="16"/>
  <c r="C221" i="16"/>
  <c r="E220" i="16"/>
  <c r="D220" i="16"/>
  <c r="C220" i="16"/>
  <c r="E219" i="16"/>
  <c r="D219" i="16"/>
  <c r="C219" i="16"/>
  <c r="E218" i="16"/>
  <c r="D218" i="16"/>
  <c r="C218" i="16"/>
  <c r="E217" i="16"/>
  <c r="D217" i="16"/>
  <c r="C217" i="16"/>
  <c r="E216" i="16"/>
  <c r="D216" i="16"/>
  <c r="C216" i="16"/>
  <c r="E215" i="16"/>
  <c r="D215" i="16"/>
  <c r="C215" i="16"/>
  <c r="E214" i="16"/>
  <c r="D214" i="16"/>
  <c r="C214" i="16"/>
  <c r="E213" i="16"/>
  <c r="D213" i="16"/>
  <c r="C213" i="16"/>
  <c r="E212" i="16"/>
  <c r="D212" i="16"/>
  <c r="C212" i="16"/>
  <c r="E211" i="16"/>
  <c r="D211" i="16"/>
  <c r="C211" i="16"/>
  <c r="E210" i="16"/>
  <c r="D210" i="16"/>
  <c r="C210" i="16"/>
  <c r="E209" i="16"/>
  <c r="D209" i="16"/>
  <c r="C209" i="16"/>
  <c r="E208" i="16"/>
  <c r="D208" i="16"/>
  <c r="C208" i="16"/>
  <c r="E207" i="16"/>
  <c r="D207" i="16"/>
  <c r="C207" i="16"/>
  <c r="E206" i="16"/>
  <c r="D206" i="16"/>
  <c r="C206" i="16"/>
  <c r="E205" i="16"/>
  <c r="D205" i="16"/>
  <c r="C205" i="16"/>
  <c r="E204" i="16"/>
  <c r="D204" i="16"/>
  <c r="C204" i="16"/>
  <c r="E203" i="16"/>
  <c r="D203" i="16"/>
  <c r="C203" i="16"/>
  <c r="E202" i="16"/>
  <c r="D202" i="16"/>
  <c r="C202" i="16"/>
  <c r="E201" i="16"/>
  <c r="D201" i="16"/>
  <c r="C201" i="16"/>
  <c r="E200" i="16"/>
  <c r="D200" i="16"/>
  <c r="C200" i="16"/>
  <c r="E199" i="16"/>
  <c r="F148" i="9" s="1"/>
  <c r="D199" i="16"/>
  <c r="C199" i="16"/>
  <c r="E148" i="9" s="1"/>
  <c r="E198" i="16"/>
  <c r="D198" i="16"/>
  <c r="C198" i="16"/>
  <c r="E197" i="16"/>
  <c r="D197" i="16"/>
  <c r="C197" i="16"/>
  <c r="E196" i="16"/>
  <c r="D196" i="16"/>
  <c r="C196" i="16"/>
  <c r="E195" i="16"/>
  <c r="D195" i="16"/>
  <c r="C195" i="16"/>
  <c r="E194" i="16"/>
  <c r="D194" i="16"/>
  <c r="C194" i="16"/>
  <c r="E193" i="16"/>
  <c r="D193" i="16"/>
  <c r="C193" i="16"/>
  <c r="E192" i="16"/>
  <c r="D192" i="16"/>
  <c r="C192" i="16"/>
  <c r="E191" i="16"/>
  <c r="D191" i="16"/>
  <c r="C191" i="16"/>
  <c r="E190" i="16"/>
  <c r="D190" i="16"/>
  <c r="C190" i="16"/>
  <c r="E189" i="16"/>
  <c r="D189" i="16"/>
  <c r="C189" i="16"/>
  <c r="E188" i="16"/>
  <c r="D188" i="16"/>
  <c r="C188" i="16"/>
  <c r="E187" i="16"/>
  <c r="D187" i="16"/>
  <c r="C187" i="16"/>
  <c r="E186" i="16"/>
  <c r="D186" i="16"/>
  <c r="C186" i="16"/>
  <c r="E185" i="16"/>
  <c r="D185" i="16"/>
  <c r="C185" i="16"/>
  <c r="E184" i="16"/>
  <c r="D184" i="16"/>
  <c r="C184" i="16"/>
  <c r="E183" i="16"/>
  <c r="D183" i="16"/>
  <c r="C183" i="16"/>
  <c r="E182" i="16"/>
  <c r="F152" i="9" s="1"/>
  <c r="D182" i="16"/>
  <c r="C182" i="16"/>
  <c r="E181" i="16"/>
  <c r="D181" i="16"/>
  <c r="C181" i="16"/>
  <c r="E180" i="16"/>
  <c r="F150" i="9" s="1"/>
  <c r="D180" i="16"/>
  <c r="C180" i="16"/>
  <c r="E179" i="16"/>
  <c r="D179" i="16"/>
  <c r="C179" i="16"/>
  <c r="E178" i="16"/>
  <c r="D178" i="16"/>
  <c r="C178" i="16"/>
  <c r="E177" i="16"/>
  <c r="D177" i="16"/>
  <c r="C177" i="16"/>
  <c r="E176" i="16"/>
  <c r="F151" i="9" s="1"/>
  <c r="D176" i="16"/>
  <c r="C176" i="16"/>
  <c r="E175" i="16"/>
  <c r="D175" i="16"/>
  <c r="C175" i="16"/>
  <c r="E174" i="16"/>
  <c r="D174" i="16"/>
  <c r="C174" i="16"/>
  <c r="E173" i="16"/>
  <c r="D173" i="16"/>
  <c r="C173" i="16"/>
  <c r="E172" i="16"/>
  <c r="D172" i="16"/>
  <c r="C172" i="16"/>
  <c r="E171" i="16"/>
  <c r="D171" i="16"/>
  <c r="C171" i="16"/>
  <c r="E170" i="16"/>
  <c r="D170" i="16"/>
  <c r="C170" i="16"/>
  <c r="E169" i="16"/>
  <c r="D169" i="16"/>
  <c r="C169" i="16"/>
  <c r="E168" i="16"/>
  <c r="D168" i="16"/>
  <c r="C168" i="16"/>
  <c r="E167" i="16"/>
  <c r="D167" i="16"/>
  <c r="C167" i="16"/>
  <c r="E166" i="16"/>
  <c r="F146" i="9" s="1"/>
  <c r="D166" i="16"/>
  <c r="C166" i="16"/>
  <c r="E165" i="16"/>
  <c r="D165" i="16"/>
  <c r="C165" i="16"/>
  <c r="E164" i="16"/>
  <c r="D164" i="16"/>
  <c r="C164" i="16"/>
  <c r="E163" i="16"/>
  <c r="D163" i="16"/>
  <c r="C163" i="16"/>
  <c r="E162" i="16"/>
  <c r="D162" i="16"/>
  <c r="C162" i="16"/>
  <c r="E161" i="16"/>
  <c r="D161" i="16"/>
  <c r="C161" i="16"/>
  <c r="E160" i="16"/>
  <c r="D160" i="16"/>
  <c r="C160" i="16"/>
  <c r="E159" i="16"/>
  <c r="D159" i="16"/>
  <c r="C159" i="16"/>
  <c r="E158" i="16"/>
  <c r="D158" i="16"/>
  <c r="C158" i="16"/>
  <c r="E157" i="16"/>
  <c r="D157" i="16"/>
  <c r="C157" i="16"/>
  <c r="E156" i="16"/>
  <c r="D156" i="16"/>
  <c r="C156" i="16"/>
  <c r="E155" i="16"/>
  <c r="D155" i="16"/>
  <c r="C155" i="16"/>
  <c r="E154" i="16"/>
  <c r="D154" i="16"/>
  <c r="C154" i="16"/>
  <c r="E153" i="16"/>
  <c r="D153" i="16"/>
  <c r="C153" i="16"/>
  <c r="E152" i="16"/>
  <c r="D152" i="16"/>
  <c r="C152" i="16"/>
  <c r="E151" i="16"/>
  <c r="D151" i="16"/>
  <c r="C151" i="16"/>
  <c r="E150" i="16"/>
  <c r="D150" i="16"/>
  <c r="C150" i="16"/>
  <c r="E149" i="16"/>
  <c r="D149" i="16"/>
  <c r="C149" i="16"/>
  <c r="E148" i="16"/>
  <c r="D148" i="16"/>
  <c r="C148" i="16"/>
  <c r="E147" i="16"/>
  <c r="D147" i="16"/>
  <c r="C147" i="16"/>
  <c r="E146" i="16"/>
  <c r="D146" i="16"/>
  <c r="C146" i="16"/>
  <c r="E145" i="16"/>
  <c r="D145" i="16"/>
  <c r="C145" i="16"/>
  <c r="E144" i="16"/>
  <c r="F136" i="9" s="1"/>
  <c r="D144" i="16"/>
  <c r="C144" i="16"/>
  <c r="E143" i="16"/>
  <c r="D143" i="16"/>
  <c r="C143" i="16"/>
  <c r="E129" i="9" s="1"/>
  <c r="E142" i="16"/>
  <c r="D142" i="16"/>
  <c r="C142" i="16"/>
  <c r="E141" i="16"/>
  <c r="D141" i="16"/>
  <c r="C141" i="16"/>
  <c r="E140" i="16"/>
  <c r="D140" i="16"/>
  <c r="C140" i="16"/>
  <c r="E139" i="16"/>
  <c r="D139" i="16"/>
  <c r="C139" i="16"/>
  <c r="E138" i="16"/>
  <c r="D138" i="16"/>
  <c r="C138" i="16"/>
  <c r="E137" i="16"/>
  <c r="D137" i="16"/>
  <c r="C137" i="16"/>
  <c r="E136" i="16"/>
  <c r="F149" i="9" s="1"/>
  <c r="D136" i="16"/>
  <c r="C136" i="16"/>
  <c r="E135" i="16"/>
  <c r="D135" i="16"/>
  <c r="C135" i="16"/>
  <c r="E134" i="16"/>
  <c r="D134" i="16"/>
  <c r="C134" i="16"/>
  <c r="E133" i="16"/>
  <c r="D133" i="16"/>
  <c r="C133" i="16"/>
  <c r="E132" i="16"/>
  <c r="D132" i="16"/>
  <c r="C132" i="16"/>
  <c r="E131" i="16"/>
  <c r="D131" i="16"/>
  <c r="C131" i="16"/>
  <c r="E130" i="16"/>
  <c r="D130" i="16"/>
  <c r="C130" i="16"/>
  <c r="E129" i="16"/>
  <c r="D129" i="16"/>
  <c r="C129" i="16"/>
  <c r="E128" i="16"/>
  <c r="D128" i="16"/>
  <c r="C128" i="16"/>
  <c r="E127" i="16"/>
  <c r="D127" i="16"/>
  <c r="C127" i="16"/>
  <c r="E126" i="16"/>
  <c r="D126" i="16"/>
  <c r="C126" i="16"/>
  <c r="E125" i="16"/>
  <c r="D125" i="16"/>
  <c r="C125" i="16"/>
  <c r="E124" i="16"/>
  <c r="D124" i="16"/>
  <c r="C124" i="16"/>
  <c r="E123" i="16"/>
  <c r="D123" i="16"/>
  <c r="C123" i="16"/>
  <c r="E122" i="16"/>
  <c r="D122" i="16"/>
  <c r="C122" i="16"/>
  <c r="E121" i="16"/>
  <c r="F100" i="9" s="1"/>
  <c r="D121" i="16"/>
  <c r="C121" i="16"/>
  <c r="E120" i="16"/>
  <c r="F141" i="9" s="1"/>
  <c r="D120" i="16"/>
  <c r="C120" i="16"/>
  <c r="E119" i="16"/>
  <c r="D119" i="16"/>
  <c r="C119" i="16"/>
  <c r="E118" i="16"/>
  <c r="D118" i="16"/>
  <c r="C118" i="16"/>
  <c r="E117" i="16"/>
  <c r="D117" i="16"/>
  <c r="C117" i="16"/>
  <c r="E116" i="16"/>
  <c r="D116" i="16"/>
  <c r="C116" i="16"/>
  <c r="E115" i="16"/>
  <c r="D115" i="16"/>
  <c r="C115" i="16"/>
  <c r="E114" i="16"/>
  <c r="D114" i="16"/>
  <c r="C114" i="16"/>
  <c r="E113" i="16"/>
  <c r="D113" i="16"/>
  <c r="C113" i="16"/>
  <c r="E112" i="16"/>
  <c r="D112" i="16"/>
  <c r="C112" i="16"/>
  <c r="E111" i="16"/>
  <c r="D111" i="16"/>
  <c r="C111" i="16"/>
  <c r="E110" i="16"/>
  <c r="D110" i="16"/>
  <c r="C110" i="16"/>
  <c r="E109" i="16"/>
  <c r="D109" i="16"/>
  <c r="C109" i="16"/>
  <c r="E108" i="16"/>
  <c r="D108" i="16"/>
  <c r="C108" i="16"/>
  <c r="E107" i="16"/>
  <c r="D107" i="16"/>
  <c r="C107" i="16"/>
  <c r="E106" i="16"/>
  <c r="D106" i="16"/>
  <c r="C106" i="16"/>
  <c r="E105" i="16"/>
  <c r="D105" i="16"/>
  <c r="C105" i="16"/>
  <c r="E104" i="16"/>
  <c r="D104" i="16"/>
  <c r="C104" i="16"/>
  <c r="E103" i="16"/>
  <c r="D103" i="16"/>
  <c r="C103" i="16"/>
  <c r="E102" i="16"/>
  <c r="D102" i="16"/>
  <c r="C102" i="16"/>
  <c r="E101" i="16"/>
  <c r="D101" i="16"/>
  <c r="C101" i="16"/>
  <c r="E100" i="16"/>
  <c r="D100" i="16"/>
  <c r="C100" i="16"/>
  <c r="E99" i="16"/>
  <c r="D99" i="16"/>
  <c r="C99" i="16"/>
  <c r="E98" i="16"/>
  <c r="D98" i="16"/>
  <c r="C98" i="16"/>
  <c r="E97" i="16"/>
  <c r="D97" i="16"/>
  <c r="C97" i="16"/>
  <c r="E96" i="16"/>
  <c r="D96" i="16"/>
  <c r="C96" i="16"/>
  <c r="E95" i="16"/>
  <c r="D95" i="16"/>
  <c r="C95" i="16"/>
  <c r="E83" i="9" s="1"/>
  <c r="E94" i="16"/>
  <c r="D94" i="16"/>
  <c r="C94" i="16"/>
  <c r="E93" i="16"/>
  <c r="D93" i="16"/>
  <c r="C93" i="16"/>
  <c r="E92" i="16"/>
  <c r="D92" i="16"/>
  <c r="C92" i="16"/>
  <c r="E91" i="16"/>
  <c r="D91" i="16"/>
  <c r="C91" i="16"/>
  <c r="E90" i="16"/>
  <c r="D90" i="16"/>
  <c r="C90" i="16"/>
  <c r="E89" i="16"/>
  <c r="D89" i="16"/>
  <c r="C89" i="16"/>
  <c r="E88" i="16"/>
  <c r="D88" i="16"/>
  <c r="C88" i="16"/>
  <c r="E87" i="16"/>
  <c r="D87" i="16"/>
  <c r="C87" i="16"/>
  <c r="E114" i="9" s="1"/>
  <c r="E86" i="16"/>
  <c r="D86" i="16"/>
  <c r="C86" i="16"/>
  <c r="E85" i="16"/>
  <c r="D85" i="16"/>
  <c r="C85" i="16"/>
  <c r="E84" i="16"/>
  <c r="D84" i="16"/>
  <c r="C84" i="16"/>
  <c r="E83" i="16"/>
  <c r="D83" i="16"/>
  <c r="C83" i="16"/>
  <c r="E82" i="16"/>
  <c r="D82" i="16"/>
  <c r="C82" i="16"/>
  <c r="E81" i="16"/>
  <c r="F91" i="9" s="1"/>
  <c r="D81" i="16"/>
  <c r="C81" i="16"/>
  <c r="E80" i="16"/>
  <c r="D80" i="16"/>
  <c r="C80" i="16"/>
  <c r="E79" i="16"/>
  <c r="D79" i="16"/>
  <c r="C79" i="16"/>
  <c r="E81" i="9" s="1"/>
  <c r="E78" i="16"/>
  <c r="D78" i="16"/>
  <c r="C78" i="16"/>
  <c r="E77" i="16"/>
  <c r="D77" i="16"/>
  <c r="C77" i="16"/>
  <c r="E76" i="16"/>
  <c r="D76" i="16"/>
  <c r="C76" i="16"/>
  <c r="E75" i="16"/>
  <c r="D75" i="16"/>
  <c r="C75" i="16"/>
  <c r="E74" i="16"/>
  <c r="D74" i="16"/>
  <c r="C74" i="16"/>
  <c r="E73" i="16"/>
  <c r="F73" i="9" s="1"/>
  <c r="D73" i="16"/>
  <c r="C73" i="16"/>
  <c r="E72" i="16"/>
  <c r="D72" i="16"/>
  <c r="C72" i="16"/>
  <c r="E71" i="16"/>
  <c r="D71" i="16"/>
  <c r="C71" i="16"/>
  <c r="E74" i="9" s="1"/>
  <c r="E70" i="16"/>
  <c r="D70" i="16"/>
  <c r="C70" i="16"/>
  <c r="E69" i="16"/>
  <c r="D69" i="16"/>
  <c r="C69" i="16"/>
  <c r="E68" i="16"/>
  <c r="D68" i="16"/>
  <c r="C68" i="16"/>
  <c r="E67" i="16"/>
  <c r="D67" i="16"/>
  <c r="C67" i="16"/>
  <c r="E66" i="16"/>
  <c r="D66" i="16"/>
  <c r="C66" i="16"/>
  <c r="E65" i="16"/>
  <c r="D65" i="16"/>
  <c r="C65" i="16"/>
  <c r="E64" i="16"/>
  <c r="D64" i="16"/>
  <c r="C64" i="16"/>
  <c r="E63" i="16"/>
  <c r="D63" i="16"/>
  <c r="C63" i="16"/>
  <c r="E76" i="9" s="1"/>
  <c r="E62" i="16"/>
  <c r="D62" i="16"/>
  <c r="C62" i="16"/>
  <c r="E61" i="16"/>
  <c r="D61" i="16"/>
  <c r="C61" i="16"/>
  <c r="E60" i="16"/>
  <c r="D60" i="16"/>
  <c r="C60" i="16"/>
  <c r="E59" i="16"/>
  <c r="D59" i="16"/>
  <c r="C59" i="16"/>
  <c r="E58" i="16"/>
  <c r="D58" i="16"/>
  <c r="C58" i="16"/>
  <c r="E57" i="16"/>
  <c r="D57" i="16"/>
  <c r="C57" i="16"/>
  <c r="E56" i="16"/>
  <c r="D56" i="16"/>
  <c r="C56" i="16"/>
  <c r="E55" i="16"/>
  <c r="D55" i="16"/>
  <c r="C55" i="16"/>
  <c r="E54" i="16"/>
  <c r="D54" i="16"/>
  <c r="C54" i="16"/>
  <c r="E53" i="16"/>
  <c r="D53" i="16"/>
  <c r="C53" i="16"/>
  <c r="E52" i="16"/>
  <c r="D52" i="16"/>
  <c r="C52" i="16"/>
  <c r="E51" i="16"/>
  <c r="D51" i="16"/>
  <c r="C51" i="16"/>
  <c r="E50" i="16"/>
  <c r="D50" i="16"/>
  <c r="C50" i="16"/>
  <c r="E49" i="16"/>
  <c r="D49" i="16"/>
  <c r="C49" i="16"/>
  <c r="E48" i="16"/>
  <c r="D48" i="16"/>
  <c r="C48" i="16"/>
  <c r="E47" i="16"/>
  <c r="D47" i="16"/>
  <c r="C47" i="16"/>
  <c r="E46" i="16"/>
  <c r="D46" i="16"/>
  <c r="C46" i="16"/>
  <c r="E45" i="16"/>
  <c r="D45" i="16"/>
  <c r="C45" i="16"/>
  <c r="E44" i="16"/>
  <c r="D44" i="16"/>
  <c r="C44" i="16"/>
  <c r="E43" i="16"/>
  <c r="D43" i="16"/>
  <c r="C43" i="16"/>
  <c r="E42" i="16"/>
  <c r="D42" i="16"/>
  <c r="C42" i="16"/>
  <c r="E41" i="16"/>
  <c r="D41" i="16"/>
  <c r="C41" i="16"/>
  <c r="E40" i="16"/>
  <c r="D40" i="16"/>
  <c r="C40" i="16"/>
  <c r="E39" i="16"/>
  <c r="D39" i="16"/>
  <c r="C39" i="16"/>
  <c r="E38" i="16"/>
  <c r="D38" i="16"/>
  <c r="C38" i="16"/>
  <c r="E37" i="16"/>
  <c r="D37" i="16"/>
  <c r="C37" i="16"/>
  <c r="E36" i="16"/>
  <c r="D36" i="16"/>
  <c r="C36" i="16"/>
  <c r="E35" i="16"/>
  <c r="D35" i="16"/>
  <c r="C35" i="16"/>
  <c r="E34" i="16"/>
  <c r="D34" i="16"/>
  <c r="C34" i="16"/>
  <c r="E33" i="16"/>
  <c r="D33" i="16"/>
  <c r="C33" i="16"/>
  <c r="E32" i="16"/>
  <c r="D32" i="16"/>
  <c r="C32" i="16"/>
  <c r="E31" i="16"/>
  <c r="D31" i="16"/>
  <c r="C31" i="16"/>
  <c r="E30" i="16"/>
  <c r="D30" i="16"/>
  <c r="C30" i="16"/>
  <c r="E29" i="16"/>
  <c r="D29" i="16"/>
  <c r="C29" i="16"/>
  <c r="E28" i="16"/>
  <c r="D28" i="16"/>
  <c r="C28" i="16"/>
  <c r="E27" i="16"/>
  <c r="D27" i="16"/>
  <c r="C27" i="16"/>
  <c r="E26" i="16"/>
  <c r="D26" i="16"/>
  <c r="C26" i="16"/>
  <c r="E25" i="16"/>
  <c r="F30" i="9" s="1"/>
  <c r="D25" i="16"/>
  <c r="C25" i="16"/>
  <c r="E24" i="16"/>
  <c r="D24" i="16"/>
  <c r="C24" i="16"/>
  <c r="E23" i="16"/>
  <c r="D23" i="16"/>
  <c r="C23" i="16"/>
  <c r="E22" i="16"/>
  <c r="D22" i="16"/>
  <c r="C22" i="16"/>
  <c r="E21" i="16"/>
  <c r="D21" i="16"/>
  <c r="C21" i="16"/>
  <c r="E20" i="16"/>
  <c r="D20" i="16"/>
  <c r="C20" i="16"/>
  <c r="E19" i="16"/>
  <c r="D19" i="16"/>
  <c r="C19" i="16"/>
  <c r="E18" i="16"/>
  <c r="D18" i="16"/>
  <c r="C18" i="16"/>
  <c r="E17" i="16"/>
  <c r="D17" i="16"/>
  <c r="C17" i="16"/>
  <c r="E16" i="16"/>
  <c r="D16" i="16"/>
  <c r="C16" i="16"/>
  <c r="E15" i="16"/>
  <c r="D15" i="16"/>
  <c r="C15" i="16"/>
  <c r="E14" i="16"/>
  <c r="D14" i="16"/>
  <c r="C14" i="16"/>
  <c r="E13" i="16"/>
  <c r="D13" i="16"/>
  <c r="C13" i="16"/>
  <c r="E12" i="16"/>
  <c r="D12" i="16"/>
  <c r="C12" i="16"/>
  <c r="E11" i="16"/>
  <c r="D11" i="16"/>
  <c r="C11" i="16"/>
  <c r="E10" i="16"/>
  <c r="D10" i="16"/>
  <c r="C10" i="16"/>
  <c r="E9" i="16"/>
  <c r="F9" i="9" s="1"/>
  <c r="D9" i="16"/>
  <c r="C9" i="16"/>
  <c r="E8" i="16"/>
  <c r="D8" i="16"/>
  <c r="C8" i="16"/>
  <c r="E7" i="16"/>
  <c r="D7" i="16"/>
  <c r="C7" i="16"/>
  <c r="E6" i="16"/>
  <c r="D6" i="16"/>
  <c r="C6" i="16"/>
  <c r="E5" i="16"/>
  <c r="D5" i="16"/>
  <c r="C5" i="16"/>
  <c r="AF4" i="16"/>
  <c r="AF5" i="16" s="1"/>
  <c r="AF6" i="16" s="1"/>
  <c r="AF7" i="16" s="1"/>
  <c r="AF8" i="16" s="1"/>
  <c r="AF9" i="16" s="1"/>
  <c r="AF10" i="16" s="1"/>
  <c r="AF11" i="16" s="1"/>
  <c r="AF12" i="16" s="1"/>
  <c r="AF13" i="16" s="1"/>
  <c r="AF14" i="16" s="1"/>
  <c r="AF15" i="16" s="1"/>
  <c r="AF16" i="16" s="1"/>
  <c r="AF17" i="16" s="1"/>
  <c r="AF18" i="16" s="1"/>
  <c r="AF19" i="16" s="1"/>
  <c r="AF20" i="16" s="1"/>
  <c r="AF21" i="16" s="1"/>
  <c r="AF22" i="16" s="1"/>
  <c r="AA4" i="16"/>
  <c r="AA5" i="16" s="1"/>
  <c r="AA6" i="16" s="1"/>
  <c r="AA7" i="16" s="1"/>
  <c r="AA8" i="16" s="1"/>
  <c r="AA9" i="16" s="1"/>
  <c r="AA10" i="16" s="1"/>
  <c r="AA11" i="16" s="1"/>
  <c r="AA12" i="16" s="1"/>
  <c r="AA13" i="16" s="1"/>
  <c r="AA14" i="16" s="1"/>
  <c r="AA15" i="16" s="1"/>
  <c r="AA16" i="16" s="1"/>
  <c r="AA17" i="16" s="1"/>
  <c r="AA18" i="16" s="1"/>
  <c r="AA19" i="16" s="1"/>
  <c r="AA20" i="16" s="1"/>
  <c r="AA21" i="16" s="1"/>
  <c r="AA22" i="16" s="1"/>
  <c r="V4" i="16"/>
  <c r="V5" i="16" s="1"/>
  <c r="V6" i="16" s="1"/>
  <c r="V7" i="16" s="1"/>
  <c r="V8" i="16" s="1"/>
  <c r="V9" i="16" s="1"/>
  <c r="V10" i="16" s="1"/>
  <c r="V11" i="16" s="1"/>
  <c r="V12" i="16" s="1"/>
  <c r="V13" i="16" s="1"/>
  <c r="V14" i="16" s="1"/>
  <c r="V15" i="16" s="1"/>
  <c r="V16" i="16" s="1"/>
  <c r="V17" i="16" s="1"/>
  <c r="V18" i="16" s="1"/>
  <c r="V19" i="16" s="1"/>
  <c r="V20" i="16" s="1"/>
  <c r="V21" i="16" s="1"/>
  <c r="V22" i="16" s="1"/>
  <c r="V23" i="16" s="1"/>
  <c r="V24" i="16" s="1"/>
  <c r="V25" i="16" s="1"/>
  <c r="V26" i="16" s="1"/>
  <c r="V27" i="16" s="1"/>
  <c r="V28" i="16" s="1"/>
  <c r="V29" i="16" s="1"/>
  <c r="V30" i="16" s="1"/>
  <c r="V31" i="16" s="1"/>
  <c r="V32" i="16" s="1"/>
  <c r="Q4" i="16"/>
  <c r="Q5" i="16" s="1"/>
  <c r="Q6" i="16" s="1"/>
  <c r="Q7" i="16" s="1"/>
  <c r="Q8" i="16" s="1"/>
  <c r="Q9" i="16" s="1"/>
  <c r="Q10" i="16" s="1"/>
  <c r="Q11" i="16" s="1"/>
  <c r="Q12" i="16" s="1"/>
  <c r="Q13" i="16" s="1"/>
  <c r="Q14" i="16" s="1"/>
  <c r="Q15" i="16" s="1"/>
  <c r="Q16" i="16" s="1"/>
  <c r="Q17" i="16" s="1"/>
  <c r="Q18" i="16" s="1"/>
  <c r="Q19" i="16" s="1"/>
  <c r="Q20" i="16" s="1"/>
  <c r="Q21" i="16" s="1"/>
  <c r="Q22" i="16" s="1"/>
  <c r="Q23" i="16" s="1"/>
  <c r="Q24" i="16" s="1"/>
  <c r="Q25" i="16" s="1"/>
  <c r="Q26" i="16" s="1"/>
  <c r="Q27" i="16" s="1"/>
  <c r="Q28" i="16" s="1"/>
  <c r="Q29" i="16" s="1"/>
  <c r="Q30" i="16" s="1"/>
  <c r="Q31" i="16" s="1"/>
  <c r="Q32" i="16" s="1"/>
  <c r="Q33" i="16" s="1"/>
  <c r="Q34" i="16" s="1"/>
  <c r="Q35" i="16" s="1"/>
  <c r="Q36" i="16" s="1"/>
  <c r="Q37" i="16" s="1"/>
  <c r="Q38" i="16" s="1"/>
  <c r="Q39" i="16" s="1"/>
  <c r="Q40" i="16" s="1"/>
  <c r="Q41" i="16" s="1"/>
  <c r="Q42" i="16" s="1"/>
  <c r="Q43" i="16" s="1"/>
  <c r="Q44" i="16" s="1"/>
  <c r="Q45" i="16" s="1"/>
  <c r="Q46" i="16" s="1"/>
  <c r="Q47" i="16" s="1"/>
  <c r="Q48" i="16" s="1"/>
  <c r="Q49" i="16" s="1"/>
  <c r="Q50" i="16" s="1"/>
  <c r="Q51" i="16" s="1"/>
  <c r="Q52" i="16" s="1"/>
  <c r="Q53" i="16" s="1"/>
  <c r="Q54" i="16" s="1"/>
  <c r="Q55" i="16" s="1"/>
  <c r="Q56" i="16" s="1"/>
  <c r="Q57" i="16" s="1"/>
  <c r="Q58" i="16" s="1"/>
  <c r="Q59" i="16" s="1"/>
  <c r="Q60" i="16" s="1"/>
  <c r="Q61" i="16" s="1"/>
  <c r="Q62" i="16" s="1"/>
  <c r="Q63" i="16" s="1"/>
  <c r="Q64" i="16" s="1"/>
  <c r="Q65" i="16" s="1"/>
  <c r="Q66" i="16" s="1"/>
  <c r="Q67" i="16" s="1"/>
  <c r="Q68" i="16" s="1"/>
  <c r="Q69" i="16" s="1"/>
  <c r="Q70" i="16" s="1"/>
  <c r="Q71" i="16" s="1"/>
  <c r="Q72" i="16" s="1"/>
  <c r="Q73" i="16" s="1"/>
  <c r="Q74" i="16" s="1"/>
  <c r="Q75" i="16" s="1"/>
  <c r="Q76" i="16" s="1"/>
  <c r="Q77" i="16" s="1"/>
  <c r="L4" i="16"/>
  <c r="L5" i="16" s="1"/>
  <c r="L6" i="16" s="1"/>
  <c r="L7" i="16" s="1"/>
  <c r="L8" i="16" s="1"/>
  <c r="L9" i="16" s="1"/>
  <c r="L10" i="16" s="1"/>
  <c r="L11" i="16" s="1"/>
  <c r="L12" i="16" s="1"/>
  <c r="L13" i="16" s="1"/>
  <c r="L14" i="16" s="1"/>
  <c r="L15" i="16" s="1"/>
  <c r="L16" i="16" s="1"/>
  <c r="L17" i="16" s="1"/>
  <c r="L18" i="16" s="1"/>
  <c r="L19" i="16" s="1"/>
  <c r="L20" i="16" s="1"/>
  <c r="L21" i="16" s="1"/>
  <c r="L22" i="16" s="1"/>
  <c r="L23" i="16" s="1"/>
  <c r="L24" i="16" s="1"/>
  <c r="L25" i="16" s="1"/>
  <c r="L26" i="16" s="1"/>
  <c r="L27" i="16" s="1"/>
  <c r="L28" i="16" s="1"/>
  <c r="L29" i="16" s="1"/>
  <c r="L30" i="16" s="1"/>
  <c r="L31" i="16" s="1"/>
  <c r="L32" i="16" s="1"/>
  <c r="L33" i="16" s="1"/>
  <c r="L34" i="16" s="1"/>
  <c r="L35" i="16" s="1"/>
  <c r="L36" i="16" s="1"/>
  <c r="L37" i="16" s="1"/>
  <c r="L38" i="16" s="1"/>
  <c r="L39" i="16" s="1"/>
  <c r="L40" i="16" s="1"/>
  <c r="L41" i="16" s="1"/>
  <c r="L42" i="16" s="1"/>
  <c r="L43" i="16" s="1"/>
  <c r="L44" i="16" s="1"/>
  <c r="L45" i="16" s="1"/>
  <c r="L46" i="16" s="1"/>
  <c r="L47" i="16" s="1"/>
  <c r="L48" i="16" s="1"/>
  <c r="L49" i="16" s="1"/>
  <c r="L50" i="16" s="1"/>
  <c r="L51" i="16" s="1"/>
  <c r="L52" i="16" s="1"/>
  <c r="L53" i="16" s="1"/>
  <c r="L54" i="16" s="1"/>
  <c r="L55" i="16" s="1"/>
  <c r="L56" i="16" s="1"/>
  <c r="L57" i="16" s="1"/>
  <c r="L58" i="16" s="1"/>
  <c r="L59" i="16" s="1"/>
  <c r="L60" i="16" s="1"/>
  <c r="L61" i="16" s="1"/>
  <c r="L62" i="16" s="1"/>
  <c r="L63" i="16" s="1"/>
  <c r="L64" i="16" s="1"/>
  <c r="L65" i="16" s="1"/>
  <c r="L66" i="16" s="1"/>
  <c r="L67" i="16" s="1"/>
  <c r="L68" i="16" s="1"/>
  <c r="L69" i="16" s="1"/>
  <c r="L70" i="16" s="1"/>
  <c r="L71" i="16" s="1"/>
  <c r="L72" i="16" s="1"/>
  <c r="L73" i="16" s="1"/>
  <c r="L74" i="16" s="1"/>
  <c r="L75" i="16" s="1"/>
  <c r="L76" i="16" s="1"/>
  <c r="L77" i="16" s="1"/>
  <c r="G4" i="16"/>
  <c r="G5" i="16" s="1"/>
  <c r="G6" i="16" s="1"/>
  <c r="G7" i="16" s="1"/>
  <c r="G8" i="16" s="1"/>
  <c r="G9" i="16" s="1"/>
  <c r="G10" i="16" s="1"/>
  <c r="G11" i="16" s="1"/>
  <c r="G12" i="16" s="1"/>
  <c r="G13" i="16" s="1"/>
  <c r="G14" i="16" s="1"/>
  <c r="G15" i="16" s="1"/>
  <c r="G16" i="16" s="1"/>
  <c r="G17" i="16" s="1"/>
  <c r="G18" i="16" s="1"/>
  <c r="G19" i="16" s="1"/>
  <c r="G20" i="16" s="1"/>
  <c r="G21" i="16" s="1"/>
  <c r="G22" i="16" s="1"/>
  <c r="G23" i="16" s="1"/>
  <c r="G24" i="16" s="1"/>
  <c r="G25" i="16" s="1"/>
  <c r="G26" i="16" s="1"/>
  <c r="G27" i="16" s="1"/>
  <c r="G28" i="16" s="1"/>
  <c r="G29" i="16" s="1"/>
  <c r="G30" i="16" s="1"/>
  <c r="G31" i="16" s="1"/>
  <c r="G32" i="16" s="1"/>
  <c r="E4" i="16"/>
  <c r="D4" i="16"/>
  <c r="C4" i="16"/>
  <c r="B4" i="16"/>
  <c r="B5" i="16" s="1"/>
  <c r="B6" i="16" s="1"/>
  <c r="B7" i="16" s="1"/>
  <c r="B8" i="16" s="1"/>
  <c r="B9" i="16" s="1"/>
  <c r="B10" i="16" s="1"/>
  <c r="B11" i="16" s="1"/>
  <c r="B12" i="16" s="1"/>
  <c r="B13" i="16" s="1"/>
  <c r="B14" i="16" s="1"/>
  <c r="B15" i="16" s="1"/>
  <c r="B16" i="16" s="1"/>
  <c r="B17" i="16" s="1"/>
  <c r="B18" i="16" s="1"/>
  <c r="B19" i="16" s="1"/>
  <c r="B20" i="16" s="1"/>
  <c r="B21" i="16" s="1"/>
  <c r="B22" i="16" s="1"/>
  <c r="B23" i="16" s="1"/>
  <c r="B24" i="16" s="1"/>
  <c r="B25" i="16" s="1"/>
  <c r="B26" i="16" s="1"/>
  <c r="B27" i="16" s="1"/>
  <c r="B28" i="16" s="1"/>
  <c r="B29" i="16" s="1"/>
  <c r="B30" i="16" s="1"/>
  <c r="B31" i="16" s="1"/>
  <c r="B32" i="16" s="1"/>
  <c r="B33" i="16" s="1"/>
  <c r="B34" i="16" s="1"/>
  <c r="B35" i="16" s="1"/>
  <c r="B36" i="16" s="1"/>
  <c r="B37" i="16" s="1"/>
  <c r="B38" i="16" s="1"/>
  <c r="B39" i="16" s="1"/>
  <c r="B40" i="16" s="1"/>
  <c r="B41" i="16" s="1"/>
  <c r="B42" i="16" s="1"/>
  <c r="B43" i="16" s="1"/>
  <c r="B44" i="16" s="1"/>
  <c r="B45" i="16" s="1"/>
  <c r="B46" i="16" s="1"/>
  <c r="B47" i="16" s="1"/>
  <c r="B48" i="16" s="1"/>
  <c r="B49" i="16" s="1"/>
  <c r="B50" i="16" s="1"/>
  <c r="B51" i="16" s="1"/>
  <c r="B52" i="16" s="1"/>
  <c r="B53" i="16" s="1"/>
  <c r="B54" i="16" s="1"/>
  <c r="B55" i="16" s="1"/>
  <c r="B56" i="16" s="1"/>
  <c r="B57" i="16" s="1"/>
  <c r="B58" i="16" s="1"/>
  <c r="B59" i="16" s="1"/>
  <c r="B60" i="16" s="1"/>
  <c r="B61" i="16" s="1"/>
  <c r="B62" i="16" s="1"/>
  <c r="B63" i="16" s="1"/>
  <c r="B64" i="16" s="1"/>
  <c r="B65" i="16" s="1"/>
  <c r="B66" i="16" s="1"/>
  <c r="B67" i="16" s="1"/>
  <c r="B68" i="16" s="1"/>
  <c r="B69" i="16" s="1"/>
  <c r="B70" i="16" s="1"/>
  <c r="B71" i="16" s="1"/>
  <c r="B72" i="16" s="1"/>
  <c r="B73" i="16" s="1"/>
  <c r="B74" i="16" s="1"/>
  <c r="B75" i="16" s="1"/>
  <c r="B76" i="16" s="1"/>
  <c r="B77" i="16" s="1"/>
  <c r="B78" i="16" s="1"/>
  <c r="B79" i="16" s="1"/>
  <c r="B80" i="16" s="1"/>
  <c r="B81" i="16" s="1"/>
  <c r="B82" i="16" s="1"/>
  <c r="B83" i="16" s="1"/>
  <c r="B84" i="16" s="1"/>
  <c r="B85" i="16" s="1"/>
  <c r="B86" i="16" s="1"/>
  <c r="B87" i="16" s="1"/>
  <c r="B88" i="16" s="1"/>
  <c r="B89" i="16" s="1"/>
  <c r="B90" i="16" s="1"/>
  <c r="B91" i="16" s="1"/>
  <c r="B92" i="16" s="1"/>
  <c r="B93" i="16" s="1"/>
  <c r="B94" i="16" s="1"/>
  <c r="B95" i="16" s="1"/>
  <c r="B96" i="16" s="1"/>
  <c r="B97" i="16" s="1"/>
  <c r="B98" i="16" s="1"/>
  <c r="B99" i="16" s="1"/>
  <c r="B100" i="16" s="1"/>
  <c r="B101" i="16" s="1"/>
  <c r="B102" i="16" s="1"/>
  <c r="B103" i="16" s="1"/>
  <c r="B104" i="16" s="1"/>
  <c r="B105" i="16" s="1"/>
  <c r="B106" i="16" s="1"/>
  <c r="B107" i="16" s="1"/>
  <c r="B108" i="16" s="1"/>
  <c r="B109" i="16" s="1"/>
  <c r="B110" i="16" s="1"/>
  <c r="B111" i="16" s="1"/>
  <c r="B112" i="16" s="1"/>
  <c r="B113" i="16" s="1"/>
  <c r="B114" i="16" s="1"/>
  <c r="B115" i="16" s="1"/>
  <c r="B116" i="16" s="1"/>
  <c r="B117" i="16" s="1"/>
  <c r="B118" i="16" s="1"/>
  <c r="B119" i="16" s="1"/>
  <c r="B120" i="16" s="1"/>
  <c r="B121" i="16" s="1"/>
  <c r="B122" i="16" s="1"/>
  <c r="B123" i="16" s="1"/>
  <c r="B124" i="16" s="1"/>
  <c r="B125" i="16" s="1"/>
  <c r="B126" i="16" s="1"/>
  <c r="B127" i="16" s="1"/>
  <c r="B128" i="16" s="1"/>
  <c r="B129" i="16" s="1"/>
  <c r="B130" i="16" s="1"/>
  <c r="B131" i="16" s="1"/>
  <c r="B132" i="16" s="1"/>
  <c r="B133" i="16" s="1"/>
  <c r="B134" i="16" s="1"/>
  <c r="B135" i="16" s="1"/>
  <c r="B136" i="16" s="1"/>
  <c r="B137" i="16" s="1"/>
  <c r="B138" i="16" s="1"/>
  <c r="B139" i="16" s="1"/>
  <c r="B140" i="16" s="1"/>
  <c r="B141" i="16" s="1"/>
  <c r="B142" i="16" s="1"/>
  <c r="B143" i="16" s="1"/>
  <c r="B144" i="16" s="1"/>
  <c r="B145" i="16" s="1"/>
  <c r="B146" i="16" s="1"/>
  <c r="B147" i="16" s="1"/>
  <c r="B148" i="16" s="1"/>
  <c r="B149" i="16" s="1"/>
  <c r="B150" i="16" s="1"/>
  <c r="B151" i="16" s="1"/>
  <c r="B152" i="16" s="1"/>
  <c r="B153" i="16" s="1"/>
  <c r="B154" i="16" s="1"/>
  <c r="B155" i="16" s="1"/>
  <c r="B156" i="16" s="1"/>
  <c r="B157" i="16" s="1"/>
  <c r="B158" i="16" s="1"/>
  <c r="B159" i="16" s="1"/>
  <c r="B160" i="16" s="1"/>
  <c r="B161" i="16" s="1"/>
  <c r="B162" i="16" s="1"/>
  <c r="B163" i="16" s="1"/>
  <c r="B164" i="16" s="1"/>
  <c r="B165" i="16" s="1"/>
  <c r="B166" i="16" s="1"/>
  <c r="B167" i="16" s="1"/>
  <c r="B168" i="16" s="1"/>
  <c r="B169" i="16" s="1"/>
  <c r="B170" i="16" s="1"/>
  <c r="B171" i="16" s="1"/>
  <c r="B172" i="16" s="1"/>
  <c r="B173" i="16" s="1"/>
  <c r="B174" i="16" s="1"/>
  <c r="B175" i="16" s="1"/>
  <c r="B176" i="16" s="1"/>
  <c r="B177" i="16" s="1"/>
  <c r="B178" i="16" s="1"/>
  <c r="B179" i="16" s="1"/>
  <c r="B180" i="16" s="1"/>
  <c r="B181" i="16" s="1"/>
  <c r="B182" i="16" s="1"/>
  <c r="B183" i="16" s="1"/>
  <c r="B184" i="16" s="1"/>
  <c r="B185" i="16" s="1"/>
  <c r="B186" i="16" s="1"/>
  <c r="B187" i="16" s="1"/>
  <c r="B188" i="16" s="1"/>
  <c r="B189" i="16" s="1"/>
  <c r="B190" i="16" s="1"/>
  <c r="B191" i="16" s="1"/>
  <c r="B192" i="16" s="1"/>
  <c r="B193" i="16" s="1"/>
  <c r="B194" i="16" s="1"/>
  <c r="B195" i="16" s="1"/>
  <c r="B196" i="16" s="1"/>
  <c r="B197" i="16" s="1"/>
  <c r="B198" i="16" s="1"/>
  <c r="B199" i="16" s="1"/>
  <c r="B200" i="16" s="1"/>
  <c r="B201" i="16" s="1"/>
  <c r="B202" i="16" s="1"/>
  <c r="B203" i="16" s="1"/>
  <c r="B204" i="16" s="1"/>
  <c r="B205" i="16" s="1"/>
  <c r="B206" i="16" s="1"/>
  <c r="B207" i="16" s="1"/>
  <c r="B208" i="16" s="1"/>
  <c r="B209" i="16" s="1"/>
  <c r="B210" i="16" s="1"/>
  <c r="B211" i="16" s="1"/>
  <c r="B212" i="16" s="1"/>
  <c r="B213" i="16" s="1"/>
  <c r="B214" i="16" s="1"/>
  <c r="B215" i="16" s="1"/>
  <c r="B216" i="16" s="1"/>
  <c r="B217" i="16" s="1"/>
  <c r="B218" i="16" s="1"/>
  <c r="B219" i="16" s="1"/>
  <c r="B220" i="16" s="1"/>
  <c r="B221" i="16" s="1"/>
  <c r="B222" i="16" s="1"/>
  <c r="B223" i="16" s="1"/>
  <c r="B224" i="16" s="1"/>
  <c r="B225" i="16" s="1"/>
  <c r="B226" i="16" s="1"/>
  <c r="B227" i="16" s="1"/>
  <c r="B228" i="16" s="1"/>
  <c r="B229" i="16" s="1"/>
  <c r="B230" i="16" s="1"/>
  <c r="B231" i="16" s="1"/>
  <c r="B232" i="16" s="1"/>
  <c r="B233" i="16" s="1"/>
  <c r="B234" i="16" s="1"/>
  <c r="B235" i="16" s="1"/>
  <c r="B236" i="16" s="1"/>
  <c r="B237" i="16" s="1"/>
  <c r="B238" i="16" s="1"/>
  <c r="B239" i="16" s="1"/>
  <c r="B240" i="16" s="1"/>
  <c r="B241" i="16" s="1"/>
  <c r="B242" i="16" s="1"/>
  <c r="B243" i="16" s="1"/>
  <c r="B244" i="16" s="1"/>
  <c r="B245" i="16" s="1"/>
  <c r="B246" i="16" s="1"/>
  <c r="B247" i="16" s="1"/>
  <c r="B248" i="16" s="1"/>
  <c r="B249" i="16" s="1"/>
  <c r="B250" i="16" s="1"/>
  <c r="B251" i="16" s="1"/>
  <c r="B252" i="16" s="1"/>
  <c r="B253" i="16" s="1"/>
  <c r="B254" i="16" s="1"/>
  <c r="B255" i="16" s="1"/>
  <c r="B256" i="16" s="1"/>
  <c r="B257" i="16" s="1"/>
  <c r="B258" i="16" s="1"/>
  <c r="B259" i="16" s="1"/>
  <c r="B260" i="16" s="1"/>
  <c r="B261" i="16" s="1"/>
  <c r="B262" i="16" s="1"/>
  <c r="B263" i="16" s="1"/>
  <c r="B264" i="16" s="1"/>
  <c r="B265" i="16" s="1"/>
  <c r="B266" i="16" s="1"/>
  <c r="B267" i="16" s="1"/>
  <c r="B268" i="16" s="1"/>
  <c r="B269" i="16" s="1"/>
  <c r="B270" i="16" s="1"/>
  <c r="B271" i="16" s="1"/>
  <c r="B272" i="16" s="1"/>
  <c r="B273" i="16" s="1"/>
  <c r="B274" i="16" s="1"/>
  <c r="B275" i="16" s="1"/>
  <c r="B276" i="16" s="1"/>
  <c r="B277" i="16" s="1"/>
  <c r="B278" i="16" s="1"/>
  <c r="B279" i="16" s="1"/>
  <c r="B280" i="16" s="1"/>
  <c r="B281" i="16" s="1"/>
  <c r="B282" i="16" s="1"/>
  <c r="B283" i="16" s="1"/>
  <c r="B284" i="16" s="1"/>
  <c r="B285" i="16" s="1"/>
  <c r="B286" i="16" s="1"/>
  <c r="B287" i="16" s="1"/>
  <c r="B288" i="16" s="1"/>
  <c r="B289" i="16" s="1"/>
  <c r="B290" i="16" s="1"/>
  <c r="B291" i="16" s="1"/>
  <c r="B292" i="16" s="1"/>
  <c r="B293" i="16" s="1"/>
  <c r="B294" i="16" s="1"/>
  <c r="B295" i="16" s="1"/>
  <c r="B296" i="16" s="1"/>
  <c r="B297" i="16" s="1"/>
  <c r="B298" i="16" s="1"/>
  <c r="B299" i="16" s="1"/>
  <c r="B300" i="16" s="1"/>
  <c r="B301" i="16" s="1"/>
  <c r="B302" i="16" s="1"/>
  <c r="B303" i="16" s="1"/>
  <c r="B304" i="16" s="1"/>
  <c r="B305" i="16" s="1"/>
  <c r="B306" i="16" s="1"/>
  <c r="B307" i="16" s="1"/>
  <c r="B308" i="16" s="1"/>
  <c r="B309" i="16" s="1"/>
  <c r="B310" i="16" s="1"/>
  <c r="B311" i="16" s="1"/>
  <c r="B312" i="16" s="1"/>
  <c r="B313" i="16" s="1"/>
  <c r="B314" i="16" s="1"/>
  <c r="B315" i="16" s="1"/>
  <c r="B316" i="16" s="1"/>
  <c r="B317" i="16" s="1"/>
  <c r="B318" i="16" s="1"/>
  <c r="B319" i="16" s="1"/>
  <c r="B320" i="16" s="1"/>
  <c r="B321" i="16" s="1"/>
  <c r="B322" i="16" s="1"/>
  <c r="B323" i="16" s="1"/>
  <c r="B324" i="16" s="1"/>
  <c r="B325" i="16" s="1"/>
  <c r="B326" i="16" s="1"/>
  <c r="B327" i="16" s="1"/>
  <c r="B328" i="16" s="1"/>
  <c r="B329" i="16" s="1"/>
  <c r="B330" i="16" s="1"/>
  <c r="B331" i="16" s="1"/>
  <c r="B332" i="16" s="1"/>
  <c r="B333" i="16" s="1"/>
  <c r="B334" i="16" s="1"/>
  <c r="B335" i="16" s="1"/>
  <c r="B336" i="16" s="1"/>
  <c r="B337" i="16" s="1"/>
  <c r="B338" i="16" s="1"/>
  <c r="B339" i="16" s="1"/>
  <c r="B340" i="16" s="1"/>
  <c r="B341" i="16" s="1"/>
  <c r="B342" i="16" s="1"/>
  <c r="B343" i="16" s="1"/>
  <c r="B344" i="16" s="1"/>
  <c r="B345" i="16" s="1"/>
  <c r="B346" i="16" s="1"/>
  <c r="B347" i="16" s="1"/>
  <c r="B348" i="16" s="1"/>
  <c r="B349" i="16" s="1"/>
  <c r="B350" i="16" s="1"/>
  <c r="B351" i="16" s="1"/>
  <c r="B352" i="16" s="1"/>
  <c r="B353" i="16" s="1"/>
  <c r="B354" i="16" s="1"/>
  <c r="B355" i="16" s="1"/>
  <c r="B356" i="16" s="1"/>
  <c r="B357" i="16" s="1"/>
  <c r="B358" i="16" s="1"/>
  <c r="B359" i="16" s="1"/>
  <c r="B360" i="16" s="1"/>
  <c r="B361" i="16" s="1"/>
  <c r="B362" i="16" s="1"/>
  <c r="B363" i="16" s="1"/>
  <c r="B364" i="16" s="1"/>
  <c r="B365" i="16" s="1"/>
  <c r="B366" i="16" s="1"/>
  <c r="B367" i="16" s="1"/>
  <c r="B368" i="16" s="1"/>
  <c r="B369" i="16" s="1"/>
  <c r="B370" i="16" s="1"/>
  <c r="B371" i="16" s="1"/>
  <c r="B372" i="16" s="1"/>
  <c r="B373" i="16" s="1"/>
  <c r="B374" i="16" s="1"/>
  <c r="B375" i="16" s="1"/>
  <c r="B376" i="16" s="1"/>
  <c r="B377" i="16" s="1"/>
  <c r="B378" i="16" s="1"/>
  <c r="B379" i="16" s="1"/>
  <c r="B380" i="16" s="1"/>
  <c r="B381" i="16" s="1"/>
  <c r="B382" i="16" s="1"/>
  <c r="B383" i="16" s="1"/>
  <c r="B384" i="16" s="1"/>
  <c r="B385" i="16" s="1"/>
  <c r="B386" i="16" s="1"/>
  <c r="B387" i="16" s="1"/>
  <c r="B388" i="16" s="1"/>
  <c r="B389" i="16" s="1"/>
  <c r="B390" i="16" s="1"/>
  <c r="B391" i="16" s="1"/>
  <c r="B392" i="16" s="1"/>
  <c r="B393" i="16" s="1"/>
  <c r="B394" i="16" s="1"/>
  <c r="B395" i="16" s="1"/>
  <c r="B396" i="16" s="1"/>
  <c r="B397" i="16" s="1"/>
  <c r="B398" i="16" s="1"/>
  <c r="B399" i="16" s="1"/>
  <c r="B400" i="16" s="1"/>
  <c r="E3" i="16"/>
  <c r="D3" i="16"/>
  <c r="C3" i="16"/>
  <c r="K70" i="20" l="1" a="1"/>
  <c r="K70" i="20" s="1"/>
  <c r="L70" i="20" a="1"/>
  <c r="L70" i="20" s="1"/>
  <c r="M34" i="20" a="1"/>
  <c r="M34" i="20" s="1"/>
  <c r="N34" i="20" a="1"/>
  <c r="N34" i="20" s="1"/>
  <c r="O34" i="20" a="1"/>
  <c r="O34" i="20" s="1"/>
  <c r="P34" i="20" a="1"/>
  <c r="P34" i="20" s="1"/>
  <c r="Q34" i="20" a="1"/>
  <c r="Q34" i="20" s="1"/>
  <c r="K34" i="20" a="1"/>
  <c r="K34" i="20" s="1"/>
  <c r="R34" i="20" a="1"/>
  <c r="R34" i="20" s="1"/>
  <c r="L34" i="20" a="1"/>
  <c r="L34" i="20" s="1"/>
  <c r="R27" i="20" a="1"/>
  <c r="R27" i="20" s="1"/>
  <c r="R28" i="20" a="1"/>
  <c r="R28" i="20" s="1"/>
  <c r="R29" i="20" a="1"/>
  <c r="R29" i="20" s="1"/>
  <c r="R30" i="20" a="1"/>
  <c r="R30" i="20" s="1"/>
  <c r="R31" i="20" a="1"/>
  <c r="R31" i="20" s="1"/>
  <c r="R32" i="20" a="1"/>
  <c r="R32" i="20" s="1"/>
  <c r="N46" i="20" a="1"/>
  <c r="N46" i="20" s="1"/>
  <c r="K46" i="20" a="1"/>
  <c r="K46" i="20" s="1"/>
  <c r="L46" i="20" a="1"/>
  <c r="L46" i="20" s="1"/>
  <c r="M46" i="20" a="1"/>
  <c r="M46" i="20" s="1"/>
  <c r="Q22" i="20" a="1"/>
  <c r="Q22" i="20" s="1"/>
  <c r="R22" i="20" a="1"/>
  <c r="R22" i="20" s="1"/>
  <c r="P22" i="20" a="1"/>
  <c r="P22" i="20" s="1"/>
  <c r="R15" i="20" a="1"/>
  <c r="R15" i="20" s="1"/>
  <c r="R16" i="20" a="1"/>
  <c r="R16" i="20" s="1"/>
  <c r="R17" i="20" a="1"/>
  <c r="R17" i="20" s="1"/>
  <c r="R18" i="20" a="1"/>
  <c r="R18" i="20" s="1"/>
  <c r="R19" i="20" a="1"/>
  <c r="R19" i="20" s="1"/>
  <c r="R20" i="20" a="1"/>
  <c r="R20" i="20" s="1"/>
  <c r="K58" i="20" a="1"/>
  <c r="K58" i="20" s="1"/>
  <c r="L58" i="20" a="1"/>
  <c r="L58" i="20" s="1"/>
  <c r="A11" i="20"/>
  <c r="B10" i="20"/>
  <c r="F10" i="20"/>
  <c r="E10" i="20"/>
  <c r="D10" i="20"/>
  <c r="G10" i="20"/>
  <c r="F55" i="9"/>
  <c r="F120" i="9"/>
  <c r="F125" i="9"/>
  <c r="F121" i="9"/>
  <c r="F86" i="9"/>
  <c r="E8" i="9"/>
  <c r="F4" i="9"/>
  <c r="E26" i="9"/>
  <c r="F45" i="9"/>
  <c r="F44" i="9"/>
  <c r="E48" i="9"/>
  <c r="F3" i="9"/>
  <c r="AI4" i="16" a="1"/>
  <c r="AI4" i="16" s="1"/>
  <c r="AI11" i="16" a="1"/>
  <c r="AI11" i="16" s="1"/>
  <c r="AI17" i="16" a="1"/>
  <c r="AI17" i="16" s="1"/>
  <c r="AD4" i="16" a="1"/>
  <c r="AD4" i="16" s="1"/>
  <c r="AD18" i="16" a="1"/>
  <c r="AD18" i="16" s="1"/>
  <c r="Y6" i="16" a="1"/>
  <c r="Y6" i="16" s="1"/>
  <c r="Y13" i="16" a="1"/>
  <c r="Y13" i="16" s="1"/>
  <c r="Y21" i="16" a="1"/>
  <c r="Y21" i="16" s="1"/>
  <c r="Y29" i="16" a="1"/>
  <c r="Y29" i="16" s="1"/>
  <c r="T7" i="16" a="1"/>
  <c r="T7" i="16" s="1"/>
  <c r="T15" i="16" a="1"/>
  <c r="T15" i="16" s="1"/>
  <c r="T23" i="16" a="1"/>
  <c r="T23" i="16" s="1"/>
  <c r="T31" i="16" a="1"/>
  <c r="T31" i="16" s="1"/>
  <c r="T39" i="16" a="1"/>
  <c r="T39" i="16" s="1"/>
  <c r="T47" i="16" a="1"/>
  <c r="T47" i="16" s="1"/>
  <c r="T55" i="16" a="1"/>
  <c r="T55" i="16" s="1"/>
  <c r="T63" i="16" a="1"/>
  <c r="T63" i="16" s="1"/>
  <c r="T71" i="16" a="1"/>
  <c r="T71" i="16" s="1"/>
  <c r="O4" i="16" a="1"/>
  <c r="O4" i="16" s="1"/>
  <c r="O12" i="16" a="1"/>
  <c r="O12" i="16" s="1"/>
  <c r="O20" i="16" a="1"/>
  <c r="O20" i="16" s="1"/>
  <c r="O28" i="16" a="1"/>
  <c r="O28" i="16" s="1"/>
  <c r="O36" i="16" a="1"/>
  <c r="O36" i="16" s="1"/>
  <c r="O44" i="16" a="1"/>
  <c r="O44" i="16" s="1"/>
  <c r="O51" i="16" a="1"/>
  <c r="O51" i="16" s="1"/>
  <c r="O59" i="16" a="1"/>
  <c r="O59" i="16" s="1"/>
  <c r="O67" i="16" a="1"/>
  <c r="O67" i="16" s="1"/>
  <c r="O75" i="16" a="1"/>
  <c r="O75" i="16" s="1"/>
  <c r="J8" i="16" a="1"/>
  <c r="J8" i="16" s="1"/>
  <c r="J16" i="16" a="1"/>
  <c r="J16" i="16" s="1"/>
  <c r="J24" i="16" a="1"/>
  <c r="J24" i="16" s="1"/>
  <c r="J32" i="16" a="1"/>
  <c r="J32" i="16" s="1"/>
  <c r="AG10" i="16" a="1"/>
  <c r="AG10" i="16" s="1"/>
  <c r="AG18" i="16" a="1"/>
  <c r="AG18" i="16" s="1"/>
  <c r="AB6" i="16" a="1"/>
  <c r="AB6" i="16" s="1"/>
  <c r="AB14" i="16" a="1"/>
  <c r="AB14" i="16" s="1"/>
  <c r="AB22" i="16" a="1"/>
  <c r="AB22" i="16" s="1"/>
  <c r="W10" i="16" a="1"/>
  <c r="W10" i="16" s="1"/>
  <c r="W18" i="16" a="1"/>
  <c r="W18" i="16" s="1"/>
  <c r="W26" i="16" a="1"/>
  <c r="W26" i="16" s="1"/>
  <c r="R4" i="16" a="1"/>
  <c r="R4" i="16" s="1"/>
  <c r="R12" i="16" a="1"/>
  <c r="R12" i="16" s="1"/>
  <c r="R20" i="16" a="1"/>
  <c r="R20" i="16" s="1"/>
  <c r="R28" i="16" a="1"/>
  <c r="R28" i="16" s="1"/>
  <c r="R36" i="16" a="1"/>
  <c r="R36" i="16" s="1"/>
  <c r="R44" i="16" a="1"/>
  <c r="R44" i="16" s="1"/>
  <c r="R52" i="16" a="1"/>
  <c r="R52" i="16" s="1"/>
  <c r="R60" i="16" a="1"/>
  <c r="R60" i="16" s="1"/>
  <c r="R68" i="16" a="1"/>
  <c r="R68" i="16" s="1"/>
  <c r="R76" i="16" a="1"/>
  <c r="R76" i="16" s="1"/>
  <c r="M9" i="16" a="1"/>
  <c r="M9" i="16" s="1"/>
  <c r="M17" i="16" a="1"/>
  <c r="M17" i="16" s="1"/>
  <c r="M25" i="16" a="1"/>
  <c r="M25" i="16" s="1"/>
  <c r="M33" i="16" a="1"/>
  <c r="M33" i="16" s="1"/>
  <c r="M41" i="16" a="1"/>
  <c r="M41" i="16" s="1"/>
  <c r="M49" i="16" a="1"/>
  <c r="M49" i="16" s="1"/>
  <c r="M57" i="16" a="1"/>
  <c r="M57" i="16" s="1"/>
  <c r="M65" i="16" a="1"/>
  <c r="M65" i="16" s="1"/>
  <c r="M73" i="16" a="1"/>
  <c r="M73" i="16" s="1"/>
  <c r="H6" i="16" a="1"/>
  <c r="H6" i="16" s="1"/>
  <c r="H14" i="16" a="1"/>
  <c r="H14" i="16" s="1"/>
  <c r="H22" i="16" a="1"/>
  <c r="H22" i="16" s="1"/>
  <c r="H30" i="16" a="1"/>
  <c r="H30" i="16" s="1"/>
  <c r="AI5" i="16" a="1"/>
  <c r="AI5" i="16" s="1"/>
  <c r="AI18" i="16" a="1"/>
  <c r="AI18" i="16" s="1"/>
  <c r="AD5" i="16" a="1"/>
  <c r="AD5" i="16" s="1"/>
  <c r="AD12" i="16" a="1"/>
  <c r="AD12" i="16" s="1"/>
  <c r="AD19" i="16" a="1"/>
  <c r="AD19" i="16" s="1"/>
  <c r="Y7" i="16" a="1"/>
  <c r="Y7" i="16" s="1"/>
  <c r="Y14" i="16" a="1"/>
  <c r="Y14" i="16" s="1"/>
  <c r="Y22" i="16" a="1"/>
  <c r="Y22" i="16" s="1"/>
  <c r="Y30" i="16" a="1"/>
  <c r="Y30" i="16" s="1"/>
  <c r="T8" i="16" a="1"/>
  <c r="T8" i="16" s="1"/>
  <c r="T16" i="16" a="1"/>
  <c r="T16" i="16" s="1"/>
  <c r="T24" i="16" a="1"/>
  <c r="T24" i="16" s="1"/>
  <c r="T32" i="16" a="1"/>
  <c r="T32" i="16" s="1"/>
  <c r="T40" i="16" a="1"/>
  <c r="T40" i="16" s="1"/>
  <c r="T48" i="16" a="1"/>
  <c r="T48" i="16" s="1"/>
  <c r="T56" i="16" a="1"/>
  <c r="T56" i="16" s="1"/>
  <c r="T64" i="16" a="1"/>
  <c r="T64" i="16" s="1"/>
  <c r="T72" i="16" a="1"/>
  <c r="T72" i="16" s="1"/>
  <c r="O5" i="16" a="1"/>
  <c r="O5" i="16" s="1"/>
  <c r="O13" i="16" a="1"/>
  <c r="O13" i="16" s="1"/>
  <c r="O21" i="16" a="1"/>
  <c r="O21" i="16" s="1"/>
  <c r="O29" i="16" a="1"/>
  <c r="O29" i="16" s="1"/>
  <c r="O37" i="16" a="1"/>
  <c r="O37" i="16" s="1"/>
  <c r="O45" i="16" a="1"/>
  <c r="O45" i="16" s="1"/>
  <c r="O52" i="16" a="1"/>
  <c r="O52" i="16" s="1"/>
  <c r="O60" i="16" a="1"/>
  <c r="O60" i="16" s="1"/>
  <c r="O68" i="16" a="1"/>
  <c r="O68" i="16" s="1"/>
  <c r="O76" i="16" a="1"/>
  <c r="O76" i="16" s="1"/>
  <c r="J9" i="16" a="1"/>
  <c r="J9" i="16" s="1"/>
  <c r="J17" i="16" a="1"/>
  <c r="J17" i="16" s="1"/>
  <c r="J25" i="16" a="1"/>
  <c r="J25" i="16" s="1"/>
  <c r="J3" i="16" a="1"/>
  <c r="J3" i="16" s="1"/>
  <c r="AG11" i="16" a="1"/>
  <c r="AG11" i="16" s="1"/>
  <c r="AG19" i="16" a="1"/>
  <c r="AG19" i="16" s="1"/>
  <c r="AB7" i="16" a="1"/>
  <c r="AB7" i="16" s="1"/>
  <c r="AB15" i="16" a="1"/>
  <c r="AB15" i="16" s="1"/>
  <c r="AB3" i="16" a="1"/>
  <c r="AB3" i="16" s="1"/>
  <c r="W11" i="16" a="1"/>
  <c r="W11" i="16" s="1"/>
  <c r="W19" i="16" a="1"/>
  <c r="W19" i="16" s="1"/>
  <c r="W27" i="16" a="1"/>
  <c r="W27" i="16" s="1"/>
  <c r="R5" i="16" a="1"/>
  <c r="R5" i="16" s="1"/>
  <c r="R13" i="16" a="1"/>
  <c r="R13" i="16" s="1"/>
  <c r="R21" i="16" a="1"/>
  <c r="R21" i="16" s="1"/>
  <c r="R29" i="16" a="1"/>
  <c r="R29" i="16" s="1"/>
  <c r="R37" i="16" a="1"/>
  <c r="R37" i="16" s="1"/>
  <c r="R45" i="16" a="1"/>
  <c r="R45" i="16" s="1"/>
  <c r="R53" i="16" a="1"/>
  <c r="R53" i="16" s="1"/>
  <c r="R61" i="16" a="1"/>
  <c r="R61" i="16" s="1"/>
  <c r="R69" i="16" a="1"/>
  <c r="R69" i="16" s="1"/>
  <c r="R77" i="16" a="1"/>
  <c r="R77" i="16" s="1"/>
  <c r="M10" i="16" a="1"/>
  <c r="M10" i="16" s="1"/>
  <c r="M18" i="16" a="1"/>
  <c r="M18" i="16" s="1"/>
  <c r="M26" i="16" a="1"/>
  <c r="M26" i="16" s="1"/>
  <c r="M34" i="16" a="1"/>
  <c r="M34" i="16" s="1"/>
  <c r="M42" i="16" a="1"/>
  <c r="M42" i="16" s="1"/>
  <c r="M50" i="16" a="1"/>
  <c r="M50" i="16" s="1"/>
  <c r="M58" i="16" a="1"/>
  <c r="M58" i="16" s="1"/>
  <c r="M66" i="16" a="1"/>
  <c r="M66" i="16" s="1"/>
  <c r="M74" i="16" a="1"/>
  <c r="M74" i="16" s="1"/>
  <c r="H7" i="16" a="1"/>
  <c r="H7" i="16" s="1"/>
  <c r="H15" i="16" a="1"/>
  <c r="H15" i="16" s="1"/>
  <c r="H23" i="16" a="1"/>
  <c r="H23" i="16" s="1"/>
  <c r="H31" i="16" a="1"/>
  <c r="H31" i="16" s="1"/>
  <c r="AI6" i="16" a="1"/>
  <c r="AI6" i="16" s="1"/>
  <c r="AI12" i="16" a="1"/>
  <c r="AI12" i="16" s="1"/>
  <c r="AI19" i="16" a="1"/>
  <c r="AI19" i="16" s="1"/>
  <c r="AD6" i="16" a="1"/>
  <c r="AD6" i="16" s="1"/>
  <c r="AD13" i="16" a="1"/>
  <c r="AD13" i="16" s="1"/>
  <c r="AD20" i="16" a="1"/>
  <c r="AD20" i="16" s="1"/>
  <c r="Y8" i="16" a="1"/>
  <c r="Y8" i="16" s="1"/>
  <c r="Y15" i="16" a="1"/>
  <c r="Y15" i="16" s="1"/>
  <c r="Y23" i="16" a="1"/>
  <c r="Y23" i="16" s="1"/>
  <c r="Y31" i="16" a="1"/>
  <c r="Y31" i="16" s="1"/>
  <c r="T9" i="16" a="1"/>
  <c r="T9" i="16" s="1"/>
  <c r="T17" i="16" a="1"/>
  <c r="T17" i="16" s="1"/>
  <c r="T25" i="16" a="1"/>
  <c r="T25" i="16" s="1"/>
  <c r="T33" i="16" a="1"/>
  <c r="T33" i="16" s="1"/>
  <c r="T41" i="16" a="1"/>
  <c r="T41" i="16" s="1"/>
  <c r="T49" i="16" a="1"/>
  <c r="T49" i="16" s="1"/>
  <c r="T57" i="16" a="1"/>
  <c r="T57" i="16" s="1"/>
  <c r="T65" i="16" a="1"/>
  <c r="T65" i="16" s="1"/>
  <c r="T73" i="16" a="1"/>
  <c r="T73" i="16" s="1"/>
  <c r="O6" i="16" a="1"/>
  <c r="O6" i="16" s="1"/>
  <c r="O14" i="16" a="1"/>
  <c r="O14" i="16" s="1"/>
  <c r="O22" i="16" a="1"/>
  <c r="O22" i="16" s="1"/>
  <c r="O30" i="16" a="1"/>
  <c r="O30" i="16" s="1"/>
  <c r="O38" i="16" a="1"/>
  <c r="O38" i="16" s="1"/>
  <c r="O46" i="16" a="1"/>
  <c r="O46" i="16" s="1"/>
  <c r="O53" i="16" a="1"/>
  <c r="O53" i="16" s="1"/>
  <c r="O61" i="16" a="1"/>
  <c r="O61" i="16" s="1"/>
  <c r="O69" i="16" a="1"/>
  <c r="O69" i="16" s="1"/>
  <c r="O77" i="16" a="1"/>
  <c r="O77" i="16" s="1"/>
  <c r="J10" i="16" a="1"/>
  <c r="J10" i="16" s="1"/>
  <c r="J18" i="16" a="1"/>
  <c r="J18" i="16" s="1"/>
  <c r="J26" i="16" a="1"/>
  <c r="J26" i="16" s="1"/>
  <c r="AG4" i="16" a="1"/>
  <c r="AG4" i="16" s="1"/>
  <c r="AG12" i="16" a="1"/>
  <c r="AG12" i="16" s="1"/>
  <c r="AG20" i="16" a="1"/>
  <c r="AG20" i="16" s="1"/>
  <c r="AB8" i="16" a="1"/>
  <c r="AB8" i="16" s="1"/>
  <c r="AB16" i="16" a="1"/>
  <c r="AB16" i="16" s="1"/>
  <c r="W4" i="16" a="1"/>
  <c r="W4" i="16" s="1"/>
  <c r="W12" i="16" a="1"/>
  <c r="W12" i="16" s="1"/>
  <c r="W20" i="16" a="1"/>
  <c r="W20" i="16" s="1"/>
  <c r="W28" i="16" a="1"/>
  <c r="W28" i="16" s="1"/>
  <c r="R6" i="16" a="1"/>
  <c r="R6" i="16" s="1"/>
  <c r="R14" i="16" a="1"/>
  <c r="R14" i="16" s="1"/>
  <c r="R22" i="16" a="1"/>
  <c r="R22" i="16" s="1"/>
  <c r="R30" i="16" a="1"/>
  <c r="R30" i="16" s="1"/>
  <c r="R38" i="16" a="1"/>
  <c r="R38" i="16" s="1"/>
  <c r="R46" i="16" a="1"/>
  <c r="R46" i="16" s="1"/>
  <c r="R54" i="16" a="1"/>
  <c r="R54" i="16" s="1"/>
  <c r="R62" i="16" a="1"/>
  <c r="R62" i="16" s="1"/>
  <c r="R70" i="16" a="1"/>
  <c r="R70" i="16" s="1"/>
  <c r="R3" i="16" a="1"/>
  <c r="R3" i="16" s="1"/>
  <c r="M11" i="16" a="1"/>
  <c r="M11" i="16" s="1"/>
  <c r="M19" i="16" a="1"/>
  <c r="M19" i="16" s="1"/>
  <c r="M27" i="16" a="1"/>
  <c r="M27" i="16" s="1"/>
  <c r="M35" i="16" a="1"/>
  <c r="M35" i="16" s="1"/>
  <c r="M43" i="16" a="1"/>
  <c r="M43" i="16" s="1"/>
  <c r="M51" i="16" a="1"/>
  <c r="M51" i="16" s="1"/>
  <c r="M59" i="16" a="1"/>
  <c r="M59" i="16" s="1"/>
  <c r="M67" i="16" a="1"/>
  <c r="M67" i="16" s="1"/>
  <c r="M75" i="16" a="1"/>
  <c r="M75" i="16" s="1"/>
  <c r="H8" i="16" a="1"/>
  <c r="H8" i="16" s="1"/>
  <c r="H16" i="16" a="1"/>
  <c r="H16" i="16" s="1"/>
  <c r="H24" i="16" a="1"/>
  <c r="H24" i="16" s="1"/>
  <c r="H32" i="16" a="1"/>
  <c r="H32" i="16" s="1"/>
  <c r="AI7" i="16" a="1"/>
  <c r="AI7" i="16" s="1"/>
  <c r="AI13" i="16" a="1"/>
  <c r="AI13" i="16" s="1"/>
  <c r="AD7" i="16" a="1"/>
  <c r="AD7" i="16" s="1"/>
  <c r="AD14" i="16" a="1"/>
  <c r="AD14" i="16" s="1"/>
  <c r="AD21" i="16" a="1"/>
  <c r="AD21" i="16" s="1"/>
  <c r="Y9" i="16" a="1"/>
  <c r="Y9" i="16" s="1"/>
  <c r="Y16" i="16" a="1"/>
  <c r="Y16" i="16" s="1"/>
  <c r="Y24" i="16" a="1"/>
  <c r="Y24" i="16" s="1"/>
  <c r="Y32" i="16" a="1"/>
  <c r="Y32" i="16" s="1"/>
  <c r="T10" i="16" a="1"/>
  <c r="T10" i="16" s="1"/>
  <c r="T18" i="16" a="1"/>
  <c r="T18" i="16" s="1"/>
  <c r="T26" i="16" a="1"/>
  <c r="T26" i="16" s="1"/>
  <c r="T34" i="16" a="1"/>
  <c r="T34" i="16" s="1"/>
  <c r="T42" i="16" a="1"/>
  <c r="T42" i="16" s="1"/>
  <c r="T50" i="16" a="1"/>
  <c r="T50" i="16" s="1"/>
  <c r="T58" i="16" a="1"/>
  <c r="T58" i="16" s="1"/>
  <c r="T66" i="16" a="1"/>
  <c r="T66" i="16" s="1"/>
  <c r="T74" i="16" a="1"/>
  <c r="T74" i="16" s="1"/>
  <c r="O7" i="16" a="1"/>
  <c r="O7" i="16" s="1"/>
  <c r="O15" i="16" a="1"/>
  <c r="O15" i="16" s="1"/>
  <c r="O23" i="16" a="1"/>
  <c r="O23" i="16" s="1"/>
  <c r="O31" i="16" a="1"/>
  <c r="O31" i="16" s="1"/>
  <c r="O39" i="16" a="1"/>
  <c r="O39" i="16" s="1"/>
  <c r="O54" i="16" a="1"/>
  <c r="O54" i="16" s="1"/>
  <c r="O62" i="16" a="1"/>
  <c r="O62" i="16" s="1"/>
  <c r="O70" i="16" a="1"/>
  <c r="O70" i="16" s="1"/>
  <c r="O3" i="16" a="1"/>
  <c r="O3" i="16" s="1"/>
  <c r="J11" i="16" a="1"/>
  <c r="J11" i="16" s="1"/>
  <c r="J19" i="16" a="1"/>
  <c r="J19" i="16" s="1"/>
  <c r="J27" i="16" a="1"/>
  <c r="J27" i="16" s="1"/>
  <c r="AG5" i="16" a="1"/>
  <c r="AG5" i="16" s="1"/>
  <c r="AG13" i="16" a="1"/>
  <c r="AG13" i="16" s="1"/>
  <c r="AG21" i="16" a="1"/>
  <c r="AG21" i="16" s="1"/>
  <c r="AB9" i="16" a="1"/>
  <c r="AB9" i="16" s="1"/>
  <c r="AB17" i="16" a="1"/>
  <c r="AB17" i="16" s="1"/>
  <c r="W5" i="16" a="1"/>
  <c r="W5" i="16" s="1"/>
  <c r="W13" i="16" a="1"/>
  <c r="W13" i="16" s="1"/>
  <c r="W21" i="16" a="1"/>
  <c r="W21" i="16" s="1"/>
  <c r="W29" i="16" a="1"/>
  <c r="W29" i="16" s="1"/>
  <c r="R7" i="16" a="1"/>
  <c r="R7" i="16" s="1"/>
  <c r="R15" i="16" a="1"/>
  <c r="R15" i="16" s="1"/>
  <c r="R23" i="16" a="1"/>
  <c r="R23" i="16" s="1"/>
  <c r="R31" i="16" a="1"/>
  <c r="R31" i="16" s="1"/>
  <c r="R39" i="16" a="1"/>
  <c r="R39" i="16" s="1"/>
  <c r="R47" i="16" a="1"/>
  <c r="R47" i="16" s="1"/>
  <c r="R55" i="16" a="1"/>
  <c r="R55" i="16" s="1"/>
  <c r="R63" i="16" a="1"/>
  <c r="R63" i="16" s="1"/>
  <c r="R71" i="16" a="1"/>
  <c r="R71" i="16" s="1"/>
  <c r="M4" i="16" a="1"/>
  <c r="M4" i="16" s="1"/>
  <c r="M12" i="16" a="1"/>
  <c r="M12" i="16" s="1"/>
  <c r="M20" i="16" a="1"/>
  <c r="M20" i="16" s="1"/>
  <c r="M28" i="16" a="1"/>
  <c r="M28" i="16" s="1"/>
  <c r="M36" i="16" a="1"/>
  <c r="M36" i="16" s="1"/>
  <c r="M44" i="16" a="1"/>
  <c r="M44" i="16" s="1"/>
  <c r="M52" i="16" a="1"/>
  <c r="M52" i="16" s="1"/>
  <c r="M60" i="16" a="1"/>
  <c r="M60" i="16" s="1"/>
  <c r="M68" i="16" a="1"/>
  <c r="M68" i="16" s="1"/>
  <c r="M76" i="16" a="1"/>
  <c r="M76" i="16" s="1"/>
  <c r="H9" i="16" a="1"/>
  <c r="H9" i="16" s="1"/>
  <c r="H17" i="16" a="1"/>
  <c r="H17" i="16" s="1"/>
  <c r="H25" i="16" a="1"/>
  <c r="H25" i="16" s="1"/>
  <c r="H3" i="16" a="1"/>
  <c r="H3" i="16" s="1"/>
  <c r="M64" i="16" a="1"/>
  <c r="M64" i="16" s="1"/>
  <c r="H29" i="16" a="1"/>
  <c r="H29" i="16" s="1"/>
  <c r="AI14" i="16" a="1"/>
  <c r="AI14" i="16" s="1"/>
  <c r="AI20" i="16" a="1"/>
  <c r="AI20" i="16" s="1"/>
  <c r="AD8" i="16" a="1"/>
  <c r="AD8" i="16" s="1"/>
  <c r="AD15" i="16" a="1"/>
  <c r="AD15" i="16" s="1"/>
  <c r="AD22" i="16" a="1"/>
  <c r="AD22" i="16" s="1"/>
  <c r="Y10" i="16" a="1"/>
  <c r="Y10" i="16" s="1"/>
  <c r="Y17" i="16" a="1"/>
  <c r="Y17" i="16" s="1"/>
  <c r="Y25" i="16" a="1"/>
  <c r="Y25" i="16" s="1"/>
  <c r="Y3" i="16" a="1"/>
  <c r="Y3" i="16" s="1"/>
  <c r="T11" i="16" a="1"/>
  <c r="T11" i="16" s="1"/>
  <c r="T19" i="16" a="1"/>
  <c r="T19" i="16" s="1"/>
  <c r="T27" i="16" a="1"/>
  <c r="T27" i="16" s="1"/>
  <c r="T35" i="16" a="1"/>
  <c r="T35" i="16" s="1"/>
  <c r="T43" i="16" a="1"/>
  <c r="T43" i="16" s="1"/>
  <c r="T51" i="16" a="1"/>
  <c r="T51" i="16" s="1"/>
  <c r="T59" i="16" a="1"/>
  <c r="T59" i="16" s="1"/>
  <c r="T67" i="16" a="1"/>
  <c r="T67" i="16" s="1"/>
  <c r="T75" i="16" a="1"/>
  <c r="T75" i="16" s="1"/>
  <c r="O8" i="16" a="1"/>
  <c r="O8" i="16" s="1"/>
  <c r="O16" i="16" a="1"/>
  <c r="O16" i="16" s="1"/>
  <c r="O24" i="16" a="1"/>
  <c r="O24" i="16" s="1"/>
  <c r="O32" i="16" a="1"/>
  <c r="O32" i="16" s="1"/>
  <c r="O40" i="16" a="1"/>
  <c r="O40" i="16" s="1"/>
  <c r="O47" i="16" a="1"/>
  <c r="O47" i="16" s="1"/>
  <c r="O55" i="16" a="1"/>
  <c r="O55" i="16" s="1"/>
  <c r="O63" i="16" a="1"/>
  <c r="O63" i="16" s="1"/>
  <c r="O71" i="16" a="1"/>
  <c r="O71" i="16" s="1"/>
  <c r="J4" i="16" a="1"/>
  <c r="J4" i="16" s="1"/>
  <c r="J12" i="16" a="1"/>
  <c r="J12" i="16" s="1"/>
  <c r="J20" i="16" a="1"/>
  <c r="J20" i="16" s="1"/>
  <c r="J28" i="16" a="1"/>
  <c r="J28" i="16" s="1"/>
  <c r="AG6" i="16" a="1"/>
  <c r="AG6" i="16" s="1"/>
  <c r="AG14" i="16" a="1"/>
  <c r="AG14" i="16" s="1"/>
  <c r="AG22" i="16" a="1"/>
  <c r="AG22" i="16" s="1"/>
  <c r="AB10" i="16" a="1"/>
  <c r="AB10" i="16" s="1"/>
  <c r="AB18" i="16" a="1"/>
  <c r="AB18" i="16" s="1"/>
  <c r="W6" i="16" a="1"/>
  <c r="W6" i="16" s="1"/>
  <c r="W14" i="16" a="1"/>
  <c r="W14" i="16" s="1"/>
  <c r="W22" i="16" a="1"/>
  <c r="W22" i="16" s="1"/>
  <c r="W30" i="16" a="1"/>
  <c r="W30" i="16" s="1"/>
  <c r="R8" i="16" a="1"/>
  <c r="R8" i="16" s="1"/>
  <c r="R16" i="16" a="1"/>
  <c r="R16" i="16" s="1"/>
  <c r="R24" i="16" a="1"/>
  <c r="R24" i="16" s="1"/>
  <c r="R32" i="16" a="1"/>
  <c r="R32" i="16" s="1"/>
  <c r="R40" i="16" a="1"/>
  <c r="R40" i="16" s="1"/>
  <c r="R48" i="16" a="1"/>
  <c r="R48" i="16" s="1"/>
  <c r="R56" i="16" a="1"/>
  <c r="R56" i="16" s="1"/>
  <c r="R64" i="16" a="1"/>
  <c r="R64" i="16" s="1"/>
  <c r="R72" i="16" a="1"/>
  <c r="R72" i="16" s="1"/>
  <c r="M5" i="16" a="1"/>
  <c r="M5" i="16" s="1"/>
  <c r="M13" i="16" a="1"/>
  <c r="M13" i="16" s="1"/>
  <c r="M21" i="16" a="1"/>
  <c r="M21" i="16" s="1"/>
  <c r="M29" i="16" a="1"/>
  <c r="M29" i="16" s="1"/>
  <c r="M37" i="16" a="1"/>
  <c r="M37" i="16" s="1"/>
  <c r="M45" i="16" a="1"/>
  <c r="M45" i="16" s="1"/>
  <c r="M53" i="16" a="1"/>
  <c r="M53" i="16" s="1"/>
  <c r="M61" i="16" a="1"/>
  <c r="M61" i="16" s="1"/>
  <c r="M69" i="16" a="1"/>
  <c r="M69" i="16" s="1"/>
  <c r="M77" i="16" a="1"/>
  <c r="M77" i="16" s="1"/>
  <c r="H10" i="16" a="1"/>
  <c r="H10" i="16" s="1"/>
  <c r="H18" i="16" a="1"/>
  <c r="H18" i="16" s="1"/>
  <c r="H26" i="16" a="1"/>
  <c r="H26" i="16" s="1"/>
  <c r="AI8" i="16" a="1"/>
  <c r="AI8" i="16" s="1"/>
  <c r="AI15" i="16" a="1"/>
  <c r="AI15" i="16" s="1"/>
  <c r="AI21" i="16" a="1"/>
  <c r="AI21" i="16" s="1"/>
  <c r="AD9" i="16" a="1"/>
  <c r="AD9" i="16" s="1"/>
  <c r="AD3" i="16" a="1"/>
  <c r="AD3" i="16" s="1"/>
  <c r="Y11" i="16" a="1"/>
  <c r="Y11" i="16" s="1"/>
  <c r="Y18" i="16" a="1"/>
  <c r="Y18" i="16" s="1"/>
  <c r="Y26" i="16" a="1"/>
  <c r="Y26" i="16" s="1"/>
  <c r="T4" i="16" a="1"/>
  <c r="T4" i="16" s="1"/>
  <c r="T12" i="16" a="1"/>
  <c r="T12" i="16" s="1"/>
  <c r="T20" i="16" a="1"/>
  <c r="T20" i="16" s="1"/>
  <c r="T28" i="16" a="1"/>
  <c r="T28" i="16" s="1"/>
  <c r="T36" i="16" a="1"/>
  <c r="T36" i="16" s="1"/>
  <c r="T44" i="16" a="1"/>
  <c r="T44" i="16" s="1"/>
  <c r="T52" i="16" a="1"/>
  <c r="T52" i="16" s="1"/>
  <c r="T60" i="16" a="1"/>
  <c r="T60" i="16" s="1"/>
  <c r="T68" i="16" a="1"/>
  <c r="T68" i="16" s="1"/>
  <c r="T76" i="16" a="1"/>
  <c r="T76" i="16" s="1"/>
  <c r="O9" i="16" a="1"/>
  <c r="O9" i="16" s="1"/>
  <c r="O17" i="16" a="1"/>
  <c r="O17" i="16" s="1"/>
  <c r="O25" i="16" a="1"/>
  <c r="O25" i="16" s="1"/>
  <c r="O33" i="16" a="1"/>
  <c r="O33" i="16" s="1"/>
  <c r="O41" i="16" a="1"/>
  <c r="O41" i="16" s="1"/>
  <c r="O48" i="16" a="1"/>
  <c r="O48" i="16" s="1"/>
  <c r="O56" i="16" a="1"/>
  <c r="O56" i="16" s="1"/>
  <c r="O64" i="16" a="1"/>
  <c r="O64" i="16" s="1"/>
  <c r="O72" i="16" a="1"/>
  <c r="O72" i="16" s="1"/>
  <c r="J5" i="16" a="1"/>
  <c r="J5" i="16" s="1"/>
  <c r="J13" i="16" a="1"/>
  <c r="J13" i="16" s="1"/>
  <c r="J21" i="16" a="1"/>
  <c r="J21" i="16" s="1"/>
  <c r="J29" i="16" a="1"/>
  <c r="J29" i="16" s="1"/>
  <c r="AG7" i="16" a="1"/>
  <c r="AG7" i="16" s="1"/>
  <c r="AG15" i="16" a="1"/>
  <c r="AG15" i="16" s="1"/>
  <c r="AG3" i="16" a="1"/>
  <c r="AG3" i="16" s="1"/>
  <c r="AB11" i="16" a="1"/>
  <c r="AB11" i="16" s="1"/>
  <c r="AB19" i="16" a="1"/>
  <c r="AB19" i="16" s="1"/>
  <c r="W7" i="16" a="1"/>
  <c r="W7" i="16" s="1"/>
  <c r="W15" i="16" a="1"/>
  <c r="W15" i="16" s="1"/>
  <c r="W23" i="16" a="1"/>
  <c r="W23" i="16" s="1"/>
  <c r="W31" i="16" a="1"/>
  <c r="W31" i="16" s="1"/>
  <c r="R9" i="16" a="1"/>
  <c r="R9" i="16" s="1"/>
  <c r="R17" i="16" a="1"/>
  <c r="R17" i="16" s="1"/>
  <c r="R25" i="16" a="1"/>
  <c r="R25" i="16" s="1"/>
  <c r="R33" i="16" a="1"/>
  <c r="R33" i="16" s="1"/>
  <c r="R41" i="16" a="1"/>
  <c r="R41" i="16" s="1"/>
  <c r="R49" i="16" a="1"/>
  <c r="R49" i="16" s="1"/>
  <c r="R57" i="16" a="1"/>
  <c r="R57" i="16" s="1"/>
  <c r="R65" i="16" a="1"/>
  <c r="R65" i="16" s="1"/>
  <c r="R73" i="16" a="1"/>
  <c r="R73" i="16" s="1"/>
  <c r="M6" i="16" a="1"/>
  <c r="M6" i="16" s="1"/>
  <c r="M14" i="16" a="1"/>
  <c r="M14" i="16" s="1"/>
  <c r="M22" i="16" a="1"/>
  <c r="M22" i="16" s="1"/>
  <c r="M30" i="16" a="1"/>
  <c r="M30" i="16" s="1"/>
  <c r="M38" i="16" a="1"/>
  <c r="M38" i="16" s="1"/>
  <c r="M46" i="16" a="1"/>
  <c r="M46" i="16" s="1"/>
  <c r="M54" i="16" a="1"/>
  <c r="M54" i="16" s="1"/>
  <c r="M62" i="16" a="1"/>
  <c r="M62" i="16" s="1"/>
  <c r="M70" i="16" a="1"/>
  <c r="M70" i="16" s="1"/>
  <c r="M3" i="16" a="1"/>
  <c r="M3" i="16" s="1"/>
  <c r="H11" i="16" a="1"/>
  <c r="H11" i="16" s="1"/>
  <c r="H19" i="16" a="1"/>
  <c r="H19" i="16" s="1"/>
  <c r="H27" i="16" a="1"/>
  <c r="H27" i="16" s="1"/>
  <c r="M56" i="16" a="1"/>
  <c r="M56" i="16" s="1"/>
  <c r="H13" i="16" a="1"/>
  <c r="H13" i="16" s="1"/>
  <c r="AI9" i="16" a="1"/>
  <c r="AI9" i="16" s="1"/>
  <c r="AI22" i="16" a="1"/>
  <c r="AI22" i="16" s="1"/>
  <c r="AD10" i="16" a="1"/>
  <c r="AD10" i="16" s="1"/>
  <c r="AD16" i="16" a="1"/>
  <c r="AD16" i="16" s="1"/>
  <c r="Y4" i="16" a="1"/>
  <c r="Y4" i="16" s="1"/>
  <c r="Y19" i="16" a="1"/>
  <c r="Y19" i="16" s="1"/>
  <c r="Y27" i="16" a="1"/>
  <c r="Y27" i="16" s="1"/>
  <c r="T5" i="16" a="1"/>
  <c r="T5" i="16" s="1"/>
  <c r="T13" i="16" a="1"/>
  <c r="T13" i="16" s="1"/>
  <c r="T21" i="16" a="1"/>
  <c r="T21" i="16" s="1"/>
  <c r="T29" i="16" a="1"/>
  <c r="T29" i="16" s="1"/>
  <c r="T37" i="16" a="1"/>
  <c r="T37" i="16" s="1"/>
  <c r="T45" i="16" a="1"/>
  <c r="T45" i="16" s="1"/>
  <c r="T53" i="16" a="1"/>
  <c r="T53" i="16" s="1"/>
  <c r="T61" i="16" a="1"/>
  <c r="T61" i="16" s="1"/>
  <c r="T69" i="16" a="1"/>
  <c r="T69" i="16" s="1"/>
  <c r="T77" i="16" a="1"/>
  <c r="T77" i="16" s="1"/>
  <c r="O10" i="16" a="1"/>
  <c r="O10" i="16" s="1"/>
  <c r="O18" i="16" a="1"/>
  <c r="O18" i="16" s="1"/>
  <c r="O26" i="16" a="1"/>
  <c r="O26" i="16" s="1"/>
  <c r="O34" i="16" a="1"/>
  <c r="O34" i="16" s="1"/>
  <c r="O42" i="16" a="1"/>
  <c r="O42" i="16" s="1"/>
  <c r="O49" i="16" a="1"/>
  <c r="O49" i="16" s="1"/>
  <c r="O57" i="16" a="1"/>
  <c r="O57" i="16" s="1"/>
  <c r="O65" i="16" a="1"/>
  <c r="O65" i="16" s="1"/>
  <c r="O73" i="16" a="1"/>
  <c r="O73" i="16" s="1"/>
  <c r="J6" i="16" a="1"/>
  <c r="J6" i="16" s="1"/>
  <c r="J14" i="16" a="1"/>
  <c r="J14" i="16" s="1"/>
  <c r="J22" i="16" a="1"/>
  <c r="J22" i="16" s="1"/>
  <c r="J30" i="16" a="1"/>
  <c r="J30" i="16" s="1"/>
  <c r="AG8" i="16" a="1"/>
  <c r="AG8" i="16" s="1"/>
  <c r="AG16" i="16" a="1"/>
  <c r="AG16" i="16" s="1"/>
  <c r="AB4" i="16" a="1"/>
  <c r="AB4" i="16" s="1"/>
  <c r="AB12" i="16" a="1"/>
  <c r="AB12" i="16" s="1"/>
  <c r="AB20" i="16" a="1"/>
  <c r="AB20" i="16" s="1"/>
  <c r="W8" i="16" a="1"/>
  <c r="W8" i="16" s="1"/>
  <c r="W16" i="16" a="1"/>
  <c r="W16" i="16" s="1"/>
  <c r="W24" i="16" a="1"/>
  <c r="W24" i="16" s="1"/>
  <c r="W32" i="16" a="1"/>
  <c r="W32" i="16" s="1"/>
  <c r="R10" i="16" a="1"/>
  <c r="R10" i="16" s="1"/>
  <c r="R18" i="16" a="1"/>
  <c r="R18" i="16" s="1"/>
  <c r="R26" i="16" a="1"/>
  <c r="R26" i="16" s="1"/>
  <c r="R34" i="16" a="1"/>
  <c r="R34" i="16" s="1"/>
  <c r="R42" i="16" a="1"/>
  <c r="R42" i="16" s="1"/>
  <c r="R50" i="16" a="1"/>
  <c r="R50" i="16" s="1"/>
  <c r="R58" i="16" a="1"/>
  <c r="R58" i="16" s="1"/>
  <c r="R66" i="16" a="1"/>
  <c r="R66" i="16" s="1"/>
  <c r="R74" i="16" a="1"/>
  <c r="R74" i="16" s="1"/>
  <c r="M7" i="16" a="1"/>
  <c r="M7" i="16" s="1"/>
  <c r="M15" i="16" a="1"/>
  <c r="M15" i="16" s="1"/>
  <c r="M23" i="16" a="1"/>
  <c r="M23" i="16" s="1"/>
  <c r="M31" i="16" a="1"/>
  <c r="M31" i="16" s="1"/>
  <c r="M39" i="16" a="1"/>
  <c r="M39" i="16" s="1"/>
  <c r="M47" i="16" a="1"/>
  <c r="M47" i="16" s="1"/>
  <c r="M55" i="16" a="1"/>
  <c r="M55" i="16" s="1"/>
  <c r="M63" i="16" a="1"/>
  <c r="M63" i="16" s="1"/>
  <c r="M71" i="16" a="1"/>
  <c r="M71" i="16" s="1"/>
  <c r="H4" i="16" a="1"/>
  <c r="H4" i="16" s="1"/>
  <c r="H12" i="16" a="1"/>
  <c r="H12" i="16" s="1"/>
  <c r="H20" i="16" a="1"/>
  <c r="H20" i="16" s="1"/>
  <c r="H28" i="16" a="1"/>
  <c r="H28" i="16" s="1"/>
  <c r="M24" i="16" a="1"/>
  <c r="M24" i="16" s="1"/>
  <c r="M48" i="16" a="1"/>
  <c r="M48" i="16" s="1"/>
  <c r="H5" i="16" a="1"/>
  <c r="H5" i="16" s="1"/>
  <c r="AI10" i="16" a="1"/>
  <c r="AI10" i="16" s="1"/>
  <c r="AI16" i="16" a="1"/>
  <c r="AI16" i="16" s="1"/>
  <c r="AI3" i="16" a="1"/>
  <c r="AI3" i="16" s="1"/>
  <c r="AD11" i="16" a="1"/>
  <c r="AD11" i="16" s="1"/>
  <c r="AD17" i="16" a="1"/>
  <c r="AD17" i="16" s="1"/>
  <c r="Y5" i="16" a="1"/>
  <c r="Y5" i="16" s="1"/>
  <c r="Y12" i="16" a="1"/>
  <c r="Y12" i="16" s="1"/>
  <c r="Y20" i="16" a="1"/>
  <c r="Y20" i="16" s="1"/>
  <c r="Y28" i="16" a="1"/>
  <c r="Y28" i="16" s="1"/>
  <c r="T6" i="16" a="1"/>
  <c r="T6" i="16" s="1"/>
  <c r="T14" i="16" a="1"/>
  <c r="T14" i="16" s="1"/>
  <c r="T22" i="16" a="1"/>
  <c r="T22" i="16" s="1"/>
  <c r="T30" i="16" a="1"/>
  <c r="T30" i="16" s="1"/>
  <c r="T38" i="16" a="1"/>
  <c r="T38" i="16" s="1"/>
  <c r="T46" i="16" a="1"/>
  <c r="T46" i="16" s="1"/>
  <c r="T54" i="16" a="1"/>
  <c r="T54" i="16" s="1"/>
  <c r="T62" i="16" a="1"/>
  <c r="T62" i="16" s="1"/>
  <c r="T70" i="16" a="1"/>
  <c r="T70" i="16" s="1"/>
  <c r="T3" i="16" a="1"/>
  <c r="T3" i="16" s="1"/>
  <c r="O11" i="16" a="1"/>
  <c r="O11" i="16" s="1"/>
  <c r="O19" i="16" a="1"/>
  <c r="O19" i="16" s="1"/>
  <c r="O27" i="16" a="1"/>
  <c r="O27" i="16" s="1"/>
  <c r="O35" i="16" a="1"/>
  <c r="O35" i="16" s="1"/>
  <c r="O43" i="16" a="1"/>
  <c r="O43" i="16" s="1"/>
  <c r="O50" i="16" a="1"/>
  <c r="O50" i="16" s="1"/>
  <c r="O58" i="16" a="1"/>
  <c r="O58" i="16" s="1"/>
  <c r="O66" i="16" a="1"/>
  <c r="O66" i="16" s="1"/>
  <c r="O74" i="16" a="1"/>
  <c r="O74" i="16" s="1"/>
  <c r="J7" i="16" a="1"/>
  <c r="J7" i="16" s="1"/>
  <c r="J15" i="16" a="1"/>
  <c r="J15" i="16" s="1"/>
  <c r="J23" i="16" a="1"/>
  <c r="J23" i="16" s="1"/>
  <c r="J31" i="16" a="1"/>
  <c r="J31" i="16" s="1"/>
  <c r="AG9" i="16" a="1"/>
  <c r="AG9" i="16" s="1"/>
  <c r="AG17" i="16" a="1"/>
  <c r="AG17" i="16" s="1"/>
  <c r="AB5" i="16" a="1"/>
  <c r="AB5" i="16" s="1"/>
  <c r="AB13" i="16" a="1"/>
  <c r="AB13" i="16" s="1"/>
  <c r="AB21" i="16" a="1"/>
  <c r="AB21" i="16" s="1"/>
  <c r="W9" i="16" a="1"/>
  <c r="W9" i="16" s="1"/>
  <c r="W17" i="16" a="1"/>
  <c r="W17" i="16" s="1"/>
  <c r="W25" i="16" a="1"/>
  <c r="W25" i="16" s="1"/>
  <c r="W3" i="16" a="1"/>
  <c r="W3" i="16" s="1"/>
  <c r="R11" i="16" a="1"/>
  <c r="R11" i="16" s="1"/>
  <c r="R19" i="16" a="1"/>
  <c r="R19" i="16" s="1"/>
  <c r="R27" i="16" a="1"/>
  <c r="R27" i="16" s="1"/>
  <c r="R35" i="16" a="1"/>
  <c r="R35" i="16" s="1"/>
  <c r="R43" i="16" a="1"/>
  <c r="R43" i="16" s="1"/>
  <c r="R51" i="16" a="1"/>
  <c r="R51" i="16" s="1"/>
  <c r="R59" i="16" a="1"/>
  <c r="R59" i="16" s="1"/>
  <c r="R67" i="16" a="1"/>
  <c r="R67" i="16" s="1"/>
  <c r="R75" i="16" a="1"/>
  <c r="R75" i="16" s="1"/>
  <c r="M8" i="16" a="1"/>
  <c r="M8" i="16" s="1"/>
  <c r="M16" i="16" a="1"/>
  <c r="M16" i="16" s="1"/>
  <c r="M32" i="16" a="1"/>
  <c r="M32" i="16" s="1"/>
  <c r="M40" i="16" a="1"/>
  <c r="M40" i="16" s="1"/>
  <c r="M72" i="16" a="1"/>
  <c r="M72" i="16" s="1"/>
  <c r="H21" i="16" a="1"/>
  <c r="H21" i="16" s="1"/>
  <c r="F128" i="9"/>
  <c r="F90" i="9"/>
  <c r="F137" i="9"/>
  <c r="E146" i="9"/>
  <c r="F127" i="9"/>
  <c r="F142" i="9"/>
  <c r="F135" i="9"/>
  <c r="E149" i="9"/>
  <c r="E151" i="9"/>
  <c r="E152" i="9"/>
  <c r="F138" i="9"/>
  <c r="F130" i="9"/>
  <c r="F134" i="9"/>
  <c r="F139" i="9"/>
  <c r="F140" i="9"/>
  <c r="F144" i="9"/>
  <c r="F147" i="9"/>
  <c r="F132" i="9"/>
  <c r="F131" i="9"/>
  <c r="E145" i="9"/>
  <c r="F124" i="9"/>
  <c r="E144" i="9"/>
  <c r="E147" i="9"/>
  <c r="F143" i="9"/>
  <c r="F145" i="9"/>
  <c r="F133" i="9"/>
  <c r="E150" i="9"/>
  <c r="F108" i="9"/>
  <c r="F85" i="9"/>
  <c r="F111" i="9"/>
  <c r="F62" i="9"/>
  <c r="F8" i="9"/>
  <c r="E141" i="9"/>
  <c r="E143" i="9"/>
  <c r="F116" i="9"/>
  <c r="E142" i="9"/>
  <c r="F84" i="9"/>
  <c r="F95" i="9"/>
  <c r="F123" i="9"/>
  <c r="E135" i="9"/>
  <c r="E130" i="9"/>
  <c r="E132" i="9"/>
  <c r="F119" i="9"/>
  <c r="E136" i="9"/>
  <c r="E137" i="9"/>
  <c r="F126" i="9"/>
  <c r="E131" i="9"/>
  <c r="F129" i="9"/>
  <c r="E134" i="9"/>
  <c r="F122" i="9"/>
  <c r="E133" i="9"/>
  <c r="E104" i="9"/>
  <c r="E138" i="9"/>
  <c r="E128" i="9"/>
  <c r="E139" i="9"/>
  <c r="F105" i="9"/>
  <c r="F117" i="9"/>
  <c r="F114" i="9"/>
  <c r="F104" i="9"/>
  <c r="F110" i="9"/>
  <c r="F109" i="9"/>
  <c r="F113" i="9"/>
  <c r="F115" i="9"/>
  <c r="E118" i="9"/>
  <c r="F106" i="9"/>
  <c r="F112" i="9"/>
  <c r="F118" i="9"/>
  <c r="F107" i="9"/>
  <c r="F98" i="9"/>
  <c r="F101" i="9"/>
  <c r="F97" i="9"/>
  <c r="F102" i="9"/>
  <c r="F103" i="9"/>
  <c r="F94" i="9"/>
  <c r="F92" i="9"/>
  <c r="F96" i="9"/>
  <c r="F99" i="9"/>
  <c r="F89" i="9"/>
  <c r="F93" i="9"/>
  <c r="F80" i="9"/>
  <c r="F88" i="9"/>
  <c r="F87" i="9"/>
  <c r="F81" i="9"/>
  <c r="F83" i="9"/>
  <c r="F82" i="9"/>
  <c r="F61" i="9"/>
  <c r="E79" i="9"/>
  <c r="F79" i="9"/>
  <c r="F69" i="9"/>
  <c r="F78" i="9"/>
  <c r="E34" i="9"/>
  <c r="F39" i="9"/>
  <c r="F20" i="9"/>
  <c r="E63" i="9"/>
  <c r="E40" i="9"/>
  <c r="F48" i="9"/>
  <c r="F31" i="9"/>
  <c r="F34" i="9"/>
  <c r="F36" i="9"/>
  <c r="F19" i="9"/>
  <c r="F5" i="9"/>
  <c r="F12" i="9"/>
  <c r="F74" i="9"/>
  <c r="F75" i="9"/>
  <c r="F71" i="9"/>
  <c r="F76" i="9"/>
  <c r="F72" i="9"/>
  <c r="F68" i="9"/>
  <c r="F77" i="9"/>
  <c r="F70" i="9"/>
  <c r="F67" i="9"/>
  <c r="F58" i="9"/>
  <c r="F65" i="9"/>
  <c r="F54" i="9"/>
  <c r="F59" i="9"/>
  <c r="F66" i="9"/>
  <c r="F63" i="9"/>
  <c r="F64" i="9"/>
  <c r="F60" i="9"/>
  <c r="F53" i="9"/>
  <c r="F50" i="9"/>
  <c r="F47" i="9"/>
  <c r="F51" i="9"/>
  <c r="F52" i="9"/>
  <c r="F56" i="9"/>
  <c r="F49" i="9"/>
  <c r="F57" i="9"/>
  <c r="F40" i="9"/>
  <c r="F38" i="9"/>
  <c r="F43" i="9"/>
  <c r="F41" i="9"/>
  <c r="F42" i="9"/>
  <c r="F37" i="9"/>
  <c r="F46" i="9"/>
  <c r="F29" i="9"/>
  <c r="F28" i="9"/>
  <c r="F32" i="9"/>
  <c r="F27" i="9"/>
  <c r="F33" i="9"/>
  <c r="F35" i="9"/>
  <c r="F21" i="9"/>
  <c r="F24" i="9"/>
  <c r="F22" i="9"/>
  <c r="F26" i="9"/>
  <c r="F23" i="9"/>
  <c r="F18" i="9"/>
  <c r="F25" i="9"/>
  <c r="F7" i="9"/>
  <c r="F16" i="9"/>
  <c r="F14" i="9"/>
  <c r="E17" i="9"/>
  <c r="F11" i="9"/>
  <c r="F17" i="9"/>
  <c r="F13" i="9"/>
  <c r="F15" i="9"/>
  <c r="F10" i="9"/>
  <c r="F6" i="9"/>
  <c r="E119" i="9"/>
  <c r="E120" i="9"/>
  <c r="E124" i="9"/>
  <c r="E116" i="9"/>
  <c r="E113" i="9"/>
  <c r="E121" i="9"/>
  <c r="E117" i="9"/>
  <c r="E122" i="9"/>
  <c r="E126" i="9"/>
  <c r="E115" i="9"/>
  <c r="E127" i="9"/>
  <c r="E125" i="9"/>
  <c r="E123" i="9"/>
  <c r="E110" i="9"/>
  <c r="E111" i="9"/>
  <c r="E112" i="9"/>
  <c r="E95" i="9"/>
  <c r="E97" i="9"/>
  <c r="E109" i="9"/>
  <c r="E105" i="9"/>
  <c r="E89" i="9"/>
  <c r="E93" i="9"/>
  <c r="E107" i="9"/>
  <c r="E103" i="9"/>
  <c r="E99" i="9"/>
  <c r="E96" i="9"/>
  <c r="E101" i="9"/>
  <c r="E106" i="9"/>
  <c r="E102" i="9"/>
  <c r="E108" i="9"/>
  <c r="E100" i="9"/>
  <c r="E98" i="9"/>
  <c r="E55" i="9"/>
  <c r="E62" i="9"/>
  <c r="E73" i="9"/>
  <c r="E91" i="9"/>
  <c r="E86" i="9"/>
  <c r="E82" i="9"/>
  <c r="E90" i="9"/>
  <c r="E94" i="9"/>
  <c r="E85" i="9"/>
  <c r="E92" i="9"/>
  <c r="E75" i="9"/>
  <c r="E80" i="9"/>
  <c r="E88" i="9"/>
  <c r="E77" i="9"/>
  <c r="E84" i="9"/>
  <c r="E87" i="9"/>
  <c r="E78" i="9"/>
  <c r="E56" i="9"/>
  <c r="E72" i="9"/>
  <c r="E71" i="9"/>
  <c r="E70" i="9"/>
  <c r="E59" i="9"/>
  <c r="E57" i="9"/>
  <c r="E61" i="9"/>
  <c r="E66" i="9"/>
  <c r="E69" i="9"/>
  <c r="E51" i="9"/>
  <c r="E68" i="9"/>
  <c r="E60" i="9"/>
  <c r="E67" i="9"/>
  <c r="E58" i="9"/>
  <c r="E65" i="9"/>
  <c r="E64" i="9"/>
  <c r="E38" i="9"/>
  <c r="E43" i="9"/>
  <c r="E41" i="9"/>
  <c r="E50" i="9"/>
  <c r="E52" i="9"/>
  <c r="E54" i="9"/>
  <c r="E53" i="9"/>
  <c r="E37" i="9"/>
  <c r="E49" i="9"/>
  <c r="E35" i="9"/>
  <c r="E36" i="9"/>
  <c r="E28" i="9"/>
  <c r="E31" i="9"/>
  <c r="E47" i="9"/>
  <c r="E42" i="9"/>
  <c r="E33" i="9"/>
  <c r="E46" i="9"/>
  <c r="E44" i="9"/>
  <c r="E45" i="9"/>
  <c r="E39" i="9"/>
  <c r="E30" i="9"/>
  <c r="E32" i="9"/>
  <c r="E16" i="9"/>
  <c r="E18" i="9"/>
  <c r="E25" i="9"/>
  <c r="E21" i="9"/>
  <c r="E23" i="9"/>
  <c r="E20" i="9"/>
  <c r="E15" i="9"/>
  <c r="E27" i="9"/>
  <c r="E19" i="9"/>
  <c r="E24" i="9"/>
  <c r="E22" i="9"/>
  <c r="E29" i="9"/>
  <c r="E11" i="9"/>
  <c r="E6" i="9"/>
  <c r="E13" i="9"/>
  <c r="E10" i="9"/>
  <c r="E3" i="9"/>
  <c r="E7" i="9"/>
  <c r="E12" i="9"/>
  <c r="E14" i="9"/>
  <c r="E4" i="9"/>
  <c r="E5" i="9"/>
  <c r="E9" i="9"/>
  <c r="T4" i="15"/>
  <c r="S4" i="15"/>
  <c r="L71" i="20" l="1" a="1"/>
  <c r="L71" i="20" s="1"/>
  <c r="K71" i="20" a="1"/>
  <c r="K71" i="20" s="1"/>
  <c r="P35" i="20" a="1"/>
  <c r="P35" i="20" s="1"/>
  <c r="K35" i="20" a="1"/>
  <c r="K35" i="20" s="1"/>
  <c r="Q35" i="20" a="1"/>
  <c r="Q35" i="20" s="1"/>
  <c r="L35" i="20" a="1"/>
  <c r="L35" i="20" s="1"/>
  <c r="R35" i="20" a="1"/>
  <c r="R35" i="20" s="1"/>
  <c r="S35" i="20" a="1"/>
  <c r="S35" i="20" s="1"/>
  <c r="M35" i="20" a="1"/>
  <c r="M35" i="20" s="1"/>
  <c r="N35" i="20" a="1"/>
  <c r="N35" i="20" s="1"/>
  <c r="O35" i="20" a="1"/>
  <c r="O35" i="20" s="1"/>
  <c r="S27" i="20" a="1"/>
  <c r="S27" i="20" s="1"/>
  <c r="S28" i="20" a="1"/>
  <c r="S28" i="20" s="1"/>
  <c r="S29" i="20" a="1"/>
  <c r="S29" i="20" s="1"/>
  <c r="S30" i="20" a="1"/>
  <c r="S30" i="20" s="1"/>
  <c r="S31" i="20" a="1"/>
  <c r="S31" i="20" s="1"/>
  <c r="S32" i="20" a="1"/>
  <c r="S32" i="20" s="1"/>
  <c r="S33" i="20" a="1"/>
  <c r="S33" i="20" s="1"/>
  <c r="K47" i="20" a="1"/>
  <c r="K47" i="20" s="1"/>
  <c r="L47" i="20" a="1"/>
  <c r="L47" i="20" s="1"/>
  <c r="M47" i="20" a="1"/>
  <c r="M47" i="20" s="1"/>
  <c r="N47" i="20" a="1"/>
  <c r="N47" i="20" s="1"/>
  <c r="S34" i="20" a="1"/>
  <c r="S34" i="20" s="1"/>
  <c r="K59" i="20" a="1"/>
  <c r="K59" i="20" s="1"/>
  <c r="L59" i="20" a="1"/>
  <c r="L59" i="20" s="1"/>
  <c r="P23" i="20" a="1"/>
  <c r="P23" i="20" s="1"/>
  <c r="Q23" i="20" a="1"/>
  <c r="Q23" i="20" s="1"/>
  <c r="R23" i="20" a="1"/>
  <c r="R23" i="20" s="1"/>
  <c r="S23" i="20" a="1"/>
  <c r="S23" i="20" s="1"/>
  <c r="S15" i="20" a="1"/>
  <c r="S15" i="20" s="1"/>
  <c r="S16" i="20" a="1"/>
  <c r="S16" i="20" s="1"/>
  <c r="S17" i="20" a="1"/>
  <c r="S17" i="20" s="1"/>
  <c r="S18" i="20" a="1"/>
  <c r="S18" i="20" s="1"/>
  <c r="S19" i="20" a="1"/>
  <c r="S19" i="20" s="1"/>
  <c r="S20" i="20" a="1"/>
  <c r="S20" i="20" s="1"/>
  <c r="S21" i="20" a="1"/>
  <c r="S21" i="20" s="1"/>
  <c r="S22" i="20" a="1"/>
  <c r="S22" i="20" s="1"/>
  <c r="G11" i="20"/>
  <c r="B11" i="20"/>
  <c r="F11" i="20"/>
  <c r="E11" i="20"/>
  <c r="D11" i="20"/>
  <c r="D3" i="6"/>
  <c r="S44" i="16"/>
  <c r="X22" i="16"/>
  <c r="X18" i="16"/>
  <c r="AC8" i="16"/>
  <c r="N16" i="16"/>
  <c r="AC10" i="16"/>
  <c r="S33" i="16"/>
  <c r="S47" i="16"/>
  <c r="X23" i="16"/>
  <c r="X31" i="16"/>
  <c r="S52" i="16"/>
  <c r="I32" i="16"/>
  <c r="S63" i="16"/>
  <c r="N48" i="16"/>
  <c r="N64" i="16"/>
  <c r="S57" i="16"/>
  <c r="S73" i="16"/>
  <c r="I22" i="16"/>
  <c r="N74" i="16"/>
  <c r="I24" i="16"/>
  <c r="X10" i="16"/>
  <c r="N10" i="16"/>
  <c r="I4" i="16"/>
  <c r="S64" i="16"/>
  <c r="N38" i="16"/>
  <c r="X24" i="16"/>
  <c r="X32" i="16"/>
  <c r="S35" i="16"/>
  <c r="S24" i="16"/>
  <c r="S32" i="16"/>
  <c r="S50" i="16"/>
  <c r="S66" i="16"/>
  <c r="N62" i="16"/>
  <c r="S3" i="16"/>
  <c r="N46" i="16"/>
  <c r="AC22" i="16"/>
  <c r="N44" i="16"/>
  <c r="N8" i="16"/>
  <c r="N26" i="16"/>
  <c r="I28" i="16"/>
  <c r="AC20" i="16"/>
  <c r="AC16" i="16"/>
  <c r="AC12" i="16"/>
  <c r="N20" i="16"/>
  <c r="S8" i="16"/>
  <c r="AC14" i="16"/>
  <c r="S20" i="16"/>
  <c r="N30" i="16"/>
  <c r="S37" i="16"/>
  <c r="X25" i="16"/>
  <c r="S51" i="16"/>
  <c r="S67" i="16"/>
  <c r="N52" i="16"/>
  <c r="N68" i="16"/>
  <c r="S61" i="16"/>
  <c r="S68" i="16"/>
  <c r="AC4" i="16"/>
  <c r="S10" i="16"/>
  <c r="N6" i="16"/>
  <c r="AC3" i="16"/>
  <c r="N4" i="16"/>
  <c r="I14" i="16"/>
  <c r="X6" i="16"/>
  <c r="S42" i="16"/>
  <c r="N28" i="16"/>
  <c r="N12" i="16"/>
  <c r="I16" i="16"/>
  <c r="X14" i="16"/>
  <c r="N14" i="16"/>
  <c r="I8" i="16"/>
  <c r="S34" i="16"/>
  <c r="S60" i="16"/>
  <c r="N42" i="16"/>
  <c r="X26" i="16"/>
  <c r="S36" i="16"/>
  <c r="X20" i="16"/>
  <c r="S39" i="16"/>
  <c r="S26" i="16"/>
  <c r="N36" i="16"/>
  <c r="S54" i="16"/>
  <c r="S70" i="16"/>
  <c r="N50" i="16"/>
  <c r="N66" i="16"/>
  <c r="X8" i="16"/>
  <c r="S6" i="16"/>
  <c r="X3" i="16"/>
  <c r="S4" i="16"/>
  <c r="N34" i="16"/>
  <c r="X30" i="16"/>
  <c r="S30" i="16"/>
  <c r="S46" i="16"/>
  <c r="S62" i="16"/>
  <c r="N58" i="16"/>
  <c r="N22" i="16"/>
  <c r="I26" i="16"/>
  <c r="S12" i="16"/>
  <c r="S18" i="16"/>
  <c r="S16" i="16"/>
  <c r="S41" i="16"/>
  <c r="X27" i="16"/>
  <c r="I30" i="16"/>
  <c r="S55" i="16"/>
  <c r="S71" i="16"/>
  <c r="N56" i="16"/>
  <c r="N72" i="16"/>
  <c r="S65" i="16"/>
  <c r="S72" i="16"/>
  <c r="X4" i="16"/>
  <c r="I18" i="16"/>
  <c r="I12" i="16"/>
  <c r="S38" i="16"/>
  <c r="S48" i="16"/>
  <c r="X28" i="16"/>
  <c r="S40" i="16"/>
  <c r="X16" i="16"/>
  <c r="S43" i="16"/>
  <c r="S28" i="16"/>
  <c r="N40" i="16"/>
  <c r="S58" i="16"/>
  <c r="S74" i="16"/>
  <c r="N54" i="16"/>
  <c r="N70" i="16"/>
  <c r="X12" i="16"/>
  <c r="I10" i="16"/>
  <c r="I20" i="16"/>
  <c r="S14" i="16"/>
  <c r="N24" i="16"/>
  <c r="N18" i="16"/>
  <c r="S22" i="16"/>
  <c r="AC18" i="16"/>
  <c r="AC6" i="16"/>
  <c r="N32" i="16"/>
  <c r="S45" i="16"/>
  <c r="S49" i="16"/>
  <c r="X29" i="16"/>
  <c r="S56" i="16"/>
  <c r="S59" i="16"/>
  <c r="S75" i="16"/>
  <c r="N60" i="16"/>
  <c r="N76" i="16"/>
  <c r="S53" i="16"/>
  <c r="S69" i="16"/>
  <c r="S76" i="16"/>
  <c r="S77" i="16"/>
  <c r="I6" i="16"/>
  <c r="AC13" i="16"/>
  <c r="S9" i="16"/>
  <c r="N11" i="16"/>
  <c r="S11" i="16"/>
  <c r="N17" i="16"/>
  <c r="N77" i="16"/>
  <c r="N5" i="16"/>
  <c r="I11" i="16"/>
  <c r="N47" i="16"/>
  <c r="N35" i="16"/>
  <c r="N29" i="16"/>
  <c r="N45" i="16"/>
  <c r="S23" i="16"/>
  <c r="S31" i="16"/>
  <c r="N51" i="16"/>
  <c r="N67" i="16"/>
  <c r="N49" i="16"/>
  <c r="N65" i="16"/>
  <c r="AC21" i="16"/>
  <c r="S15" i="16"/>
  <c r="I7" i="16"/>
  <c r="X5" i="16"/>
  <c r="I17" i="16"/>
  <c r="I9" i="16"/>
  <c r="S17" i="16"/>
  <c r="S13" i="16"/>
  <c r="N15" i="16"/>
  <c r="N27" i="16"/>
  <c r="AC15" i="16"/>
  <c r="AC19" i="16"/>
  <c r="S21" i="16"/>
  <c r="N9" i="16"/>
  <c r="N41" i="16"/>
  <c r="N63" i="16"/>
  <c r="N25" i="16"/>
  <c r="I29" i="16"/>
  <c r="N33" i="16"/>
  <c r="S25" i="16"/>
  <c r="N55" i="16"/>
  <c r="N71" i="16"/>
  <c r="N53" i="16"/>
  <c r="N69" i="16"/>
  <c r="X19" i="16"/>
  <c r="I25" i="16"/>
  <c r="I23" i="16"/>
  <c r="I13" i="16"/>
  <c r="N39" i="16"/>
  <c r="N23" i="16"/>
  <c r="X7" i="16"/>
  <c r="X21" i="16"/>
  <c r="AC7" i="16"/>
  <c r="X9" i="16"/>
  <c r="N19" i="16"/>
  <c r="N13" i="16"/>
  <c r="AC5" i="16"/>
  <c r="X17" i="16"/>
  <c r="I31" i="16"/>
  <c r="AC17" i="16"/>
  <c r="X15" i="16"/>
  <c r="I21" i="16"/>
  <c r="N31" i="16"/>
  <c r="N37" i="16"/>
  <c r="S27" i="16"/>
  <c r="N59" i="16"/>
  <c r="N75" i="16"/>
  <c r="N57" i="16"/>
  <c r="N73" i="16"/>
  <c r="S5" i="16"/>
  <c r="I19" i="16"/>
  <c r="S29" i="16"/>
  <c r="I15" i="16"/>
  <c r="S19" i="16"/>
  <c r="I27" i="16"/>
  <c r="N43" i="16"/>
  <c r="X11" i="16"/>
  <c r="N7" i="16"/>
  <c r="AC11" i="16"/>
  <c r="X13" i="16"/>
  <c r="S7" i="16"/>
  <c r="N21" i="16"/>
  <c r="AC9" i="16"/>
  <c r="I5" i="16"/>
  <c r="N61" i="16"/>
  <c r="S5" i="6"/>
  <c r="S9" i="6"/>
  <c r="S13" i="6"/>
  <c r="S17" i="6"/>
  <c r="S21" i="6"/>
  <c r="S25" i="6"/>
  <c r="S29" i="6"/>
  <c r="T3" i="6"/>
  <c r="T5" i="6"/>
  <c r="T9" i="6"/>
  <c r="T13" i="6"/>
  <c r="T17" i="6"/>
  <c r="T21" i="6"/>
  <c r="T25" i="6"/>
  <c r="T29" i="6"/>
  <c r="S3" i="6"/>
  <c r="S6" i="6"/>
  <c r="S10" i="6"/>
  <c r="S14" i="6"/>
  <c r="S18" i="6"/>
  <c r="S22" i="6"/>
  <c r="S26" i="6"/>
  <c r="S30" i="6"/>
  <c r="T6" i="6"/>
  <c r="T10" i="6"/>
  <c r="T14" i="6"/>
  <c r="T18" i="6"/>
  <c r="T22" i="6"/>
  <c r="T26" i="6"/>
  <c r="T30" i="6"/>
  <c r="S7" i="6"/>
  <c r="S11" i="6"/>
  <c r="S15" i="6"/>
  <c r="S19" i="6"/>
  <c r="S23" i="6"/>
  <c r="S27" i="6"/>
  <c r="S31" i="6"/>
  <c r="T7" i="6"/>
  <c r="T11" i="6"/>
  <c r="T15" i="6"/>
  <c r="T19" i="6"/>
  <c r="T23" i="6"/>
  <c r="T27" i="6"/>
  <c r="T31" i="6"/>
  <c r="S4" i="6"/>
  <c r="S8" i="6"/>
  <c r="S12" i="6"/>
  <c r="S16" i="6"/>
  <c r="S20" i="6"/>
  <c r="S24" i="6"/>
  <c r="S28" i="6"/>
  <c r="S32" i="6"/>
  <c r="T4" i="6"/>
  <c r="T8" i="6"/>
  <c r="T12" i="6"/>
  <c r="T16" i="6"/>
  <c r="T20" i="6"/>
  <c r="T24" i="6"/>
  <c r="T28" i="6"/>
  <c r="T32" i="6"/>
  <c r="J4" i="6"/>
  <c r="J12" i="6"/>
  <c r="J20" i="6"/>
  <c r="J28" i="6"/>
  <c r="J36" i="6"/>
  <c r="J44" i="6"/>
  <c r="J52" i="6"/>
  <c r="J60" i="6"/>
  <c r="J68" i="6"/>
  <c r="J76" i="6"/>
  <c r="I9" i="6"/>
  <c r="I17" i="6"/>
  <c r="I25" i="6"/>
  <c r="I33" i="6"/>
  <c r="I41" i="6"/>
  <c r="I49" i="6"/>
  <c r="I57" i="6"/>
  <c r="I65" i="6"/>
  <c r="I73" i="6"/>
  <c r="I43" i="6"/>
  <c r="I76" i="6"/>
  <c r="J5" i="6"/>
  <c r="J13" i="6"/>
  <c r="J21" i="6"/>
  <c r="J29" i="6"/>
  <c r="J37" i="6"/>
  <c r="J45" i="6"/>
  <c r="J53" i="6"/>
  <c r="J61" i="6"/>
  <c r="J69" i="6"/>
  <c r="J77" i="6"/>
  <c r="I10" i="6"/>
  <c r="I18" i="6"/>
  <c r="I26" i="6"/>
  <c r="I34" i="6"/>
  <c r="I42" i="6"/>
  <c r="I50" i="6"/>
  <c r="I58" i="6"/>
  <c r="I66" i="6"/>
  <c r="I74" i="6"/>
  <c r="I27" i="6"/>
  <c r="I44" i="6"/>
  <c r="J6" i="6"/>
  <c r="J14" i="6"/>
  <c r="J22" i="6"/>
  <c r="J30" i="6"/>
  <c r="J38" i="6"/>
  <c r="J46" i="6"/>
  <c r="J54" i="6"/>
  <c r="J62" i="6"/>
  <c r="J70" i="6"/>
  <c r="J3" i="6"/>
  <c r="I11" i="6"/>
  <c r="I67" i="6"/>
  <c r="J7" i="6"/>
  <c r="J15" i="6"/>
  <c r="J23" i="6"/>
  <c r="J31" i="6"/>
  <c r="J39" i="6"/>
  <c r="J47" i="6"/>
  <c r="J55" i="6"/>
  <c r="J63" i="6"/>
  <c r="J71" i="6"/>
  <c r="I4" i="6"/>
  <c r="I12" i="6"/>
  <c r="P12" i="19" s="1"/>
  <c r="R12" i="19" s="1"/>
  <c r="I20" i="6"/>
  <c r="I28" i="6"/>
  <c r="I36" i="6"/>
  <c r="J8" i="6"/>
  <c r="J16" i="6"/>
  <c r="J24" i="6"/>
  <c r="J32" i="6"/>
  <c r="J40" i="6"/>
  <c r="J48" i="6"/>
  <c r="J56" i="6"/>
  <c r="J64" i="6"/>
  <c r="J72" i="6"/>
  <c r="I5" i="6"/>
  <c r="I13" i="6"/>
  <c r="I21" i="6"/>
  <c r="I29" i="6"/>
  <c r="I37" i="6"/>
  <c r="I45" i="6"/>
  <c r="I53" i="6"/>
  <c r="I61" i="6"/>
  <c r="I69" i="6"/>
  <c r="I77" i="6"/>
  <c r="I51" i="6"/>
  <c r="I68" i="6"/>
  <c r="J9" i="6"/>
  <c r="J17" i="6"/>
  <c r="J25" i="6"/>
  <c r="J33" i="6"/>
  <c r="J41" i="6"/>
  <c r="J49" i="6"/>
  <c r="J57" i="6"/>
  <c r="J65" i="6"/>
  <c r="J73" i="6"/>
  <c r="I6" i="6"/>
  <c r="I14" i="6"/>
  <c r="I22" i="6"/>
  <c r="I30" i="6"/>
  <c r="I38" i="6"/>
  <c r="I46" i="6"/>
  <c r="I54" i="6"/>
  <c r="I62" i="6"/>
  <c r="I70" i="6"/>
  <c r="I3" i="6"/>
  <c r="I59" i="6"/>
  <c r="I52" i="6"/>
  <c r="J10" i="6"/>
  <c r="J18" i="6"/>
  <c r="J26" i="6"/>
  <c r="J34" i="6"/>
  <c r="J42" i="6"/>
  <c r="J50" i="6"/>
  <c r="J58" i="6"/>
  <c r="J66" i="6"/>
  <c r="J74" i="6"/>
  <c r="I7" i="6"/>
  <c r="I15" i="6"/>
  <c r="I23" i="6"/>
  <c r="I31" i="6"/>
  <c r="I39" i="6"/>
  <c r="I47" i="6"/>
  <c r="I55" i="6"/>
  <c r="I63" i="6"/>
  <c r="I71" i="6"/>
  <c r="I35" i="6"/>
  <c r="I75" i="6"/>
  <c r="J11" i="6"/>
  <c r="J19" i="6"/>
  <c r="J27" i="6"/>
  <c r="J35" i="6"/>
  <c r="J43" i="6"/>
  <c r="J51" i="6"/>
  <c r="J59" i="6"/>
  <c r="J67" i="6"/>
  <c r="J75" i="6"/>
  <c r="I8" i="6"/>
  <c r="I16" i="6"/>
  <c r="I24" i="6"/>
  <c r="I32" i="6"/>
  <c r="I40" i="6"/>
  <c r="I48" i="6"/>
  <c r="I56" i="6"/>
  <c r="I64" i="6"/>
  <c r="I72" i="6"/>
  <c r="I19" i="6"/>
  <c r="I60" i="6"/>
  <c r="AC5" i="6"/>
  <c r="AC9" i="6"/>
  <c r="AC13" i="6"/>
  <c r="AC17" i="6"/>
  <c r="AC21" i="6"/>
  <c r="AD5" i="6"/>
  <c r="AD9" i="6"/>
  <c r="AD13" i="6"/>
  <c r="AD17" i="6"/>
  <c r="AD21" i="6"/>
  <c r="AC6" i="6"/>
  <c r="AC10" i="6"/>
  <c r="AC14" i="6"/>
  <c r="AC18" i="6"/>
  <c r="AC22" i="6"/>
  <c r="AD6" i="6"/>
  <c r="AD10" i="6"/>
  <c r="AD14" i="6"/>
  <c r="AD18" i="6"/>
  <c r="AD22" i="6"/>
  <c r="AC7" i="6"/>
  <c r="AC11" i="6"/>
  <c r="AC15" i="6"/>
  <c r="AC19" i="6"/>
  <c r="AD3" i="6"/>
  <c r="AD7" i="6"/>
  <c r="AD11" i="6"/>
  <c r="AD15" i="6"/>
  <c r="AD19" i="6"/>
  <c r="AC3" i="6"/>
  <c r="AC4" i="6"/>
  <c r="AC8" i="6"/>
  <c r="AC12" i="6"/>
  <c r="AC16" i="6"/>
  <c r="AC20" i="6"/>
  <c r="AD4" i="6"/>
  <c r="AD8" i="6"/>
  <c r="AD12" i="6"/>
  <c r="AD16" i="6"/>
  <c r="AD20" i="6"/>
  <c r="E6" i="6"/>
  <c r="E14" i="6"/>
  <c r="E22" i="6"/>
  <c r="E30" i="6"/>
  <c r="D8" i="6"/>
  <c r="D16" i="6"/>
  <c r="D24" i="6"/>
  <c r="D32" i="6"/>
  <c r="E32" i="6"/>
  <c r="D19" i="6"/>
  <c r="E7" i="6"/>
  <c r="E15" i="6"/>
  <c r="E23" i="6"/>
  <c r="E31" i="6"/>
  <c r="D9" i="6"/>
  <c r="D17" i="6"/>
  <c r="D25" i="6"/>
  <c r="E8" i="6"/>
  <c r="E3" i="6"/>
  <c r="D18" i="6"/>
  <c r="E25" i="6"/>
  <c r="E9" i="6"/>
  <c r="E10" i="6"/>
  <c r="E18" i="6"/>
  <c r="E26" i="6"/>
  <c r="D4" i="6"/>
  <c r="D12" i="6"/>
  <c r="D20" i="6"/>
  <c r="D28" i="6"/>
  <c r="E24" i="6"/>
  <c r="D27" i="6"/>
  <c r="E11" i="6"/>
  <c r="E19" i="6"/>
  <c r="E27" i="6"/>
  <c r="D5" i="6"/>
  <c r="D13" i="6"/>
  <c r="D21" i="6"/>
  <c r="D29" i="6"/>
  <c r="D10" i="6"/>
  <c r="E4" i="6"/>
  <c r="E12" i="6"/>
  <c r="E20" i="6"/>
  <c r="E28" i="6"/>
  <c r="D6" i="6"/>
  <c r="D14" i="6"/>
  <c r="D22" i="6"/>
  <c r="D30" i="6"/>
  <c r="D31" i="6"/>
  <c r="D26" i="6"/>
  <c r="E17" i="6"/>
  <c r="E5" i="6"/>
  <c r="E13" i="6"/>
  <c r="E21" i="6"/>
  <c r="E29" i="6"/>
  <c r="D7" i="6"/>
  <c r="D15" i="6"/>
  <c r="D23" i="6"/>
  <c r="E16" i="6"/>
  <c r="D11" i="6"/>
  <c r="O10" i="6"/>
  <c r="O18" i="6"/>
  <c r="O26" i="6"/>
  <c r="O34" i="6"/>
  <c r="O42" i="6"/>
  <c r="O50" i="6"/>
  <c r="O58" i="6"/>
  <c r="O66" i="6"/>
  <c r="O74" i="6"/>
  <c r="N7" i="6"/>
  <c r="N15" i="6"/>
  <c r="N23" i="6"/>
  <c r="N31" i="6"/>
  <c r="N39" i="6"/>
  <c r="N47" i="6"/>
  <c r="N55" i="6"/>
  <c r="N63" i="6"/>
  <c r="N71" i="6"/>
  <c r="O11" i="6"/>
  <c r="O19" i="6"/>
  <c r="O27" i="6"/>
  <c r="O35" i="6"/>
  <c r="O43" i="6"/>
  <c r="O51" i="6"/>
  <c r="O59" i="6"/>
  <c r="O67" i="6"/>
  <c r="O75" i="6"/>
  <c r="N8" i="6"/>
  <c r="N16" i="6"/>
  <c r="N24" i="6"/>
  <c r="N32" i="6"/>
  <c r="N40" i="6"/>
  <c r="N48" i="6"/>
  <c r="N56" i="6"/>
  <c r="N64" i="6"/>
  <c r="N72" i="6"/>
  <c r="O4" i="6"/>
  <c r="O12" i="6"/>
  <c r="O20" i="6"/>
  <c r="O28" i="6"/>
  <c r="O36" i="6"/>
  <c r="O44" i="6"/>
  <c r="O52" i="6"/>
  <c r="O60" i="6"/>
  <c r="O68" i="6"/>
  <c r="O76" i="6"/>
  <c r="N9" i="6"/>
  <c r="N17" i="6"/>
  <c r="N25" i="6"/>
  <c r="N33" i="6"/>
  <c r="N41" i="6"/>
  <c r="N49" i="6"/>
  <c r="N57" i="6"/>
  <c r="N65" i="6"/>
  <c r="N73" i="6"/>
  <c r="O5" i="6"/>
  <c r="O13" i="6"/>
  <c r="O21" i="6"/>
  <c r="O29" i="6"/>
  <c r="O37" i="6"/>
  <c r="O45" i="6"/>
  <c r="O53" i="6"/>
  <c r="O61" i="6"/>
  <c r="O69" i="6"/>
  <c r="O77" i="6"/>
  <c r="N10" i="6"/>
  <c r="N18" i="6"/>
  <c r="N26" i="6"/>
  <c r="N34" i="6"/>
  <c r="N42" i="6"/>
  <c r="N50" i="6"/>
  <c r="N58" i="6"/>
  <c r="N66" i="6"/>
  <c r="N74" i="6"/>
  <c r="O6" i="6"/>
  <c r="O14" i="6"/>
  <c r="O22" i="6"/>
  <c r="O30" i="6"/>
  <c r="O38" i="6"/>
  <c r="O46" i="6"/>
  <c r="O54" i="6"/>
  <c r="O62" i="6"/>
  <c r="O70" i="6"/>
  <c r="O3" i="6"/>
  <c r="N11" i="6"/>
  <c r="N19" i="6"/>
  <c r="N27" i="6"/>
  <c r="N35" i="6"/>
  <c r="N43" i="6"/>
  <c r="N51" i="6"/>
  <c r="N59" i="6"/>
  <c r="N67" i="6"/>
  <c r="N75" i="6"/>
  <c r="O7" i="6"/>
  <c r="O15" i="6"/>
  <c r="O23" i="6"/>
  <c r="O31" i="6"/>
  <c r="O39" i="6"/>
  <c r="O47" i="6"/>
  <c r="O55" i="6"/>
  <c r="O63" i="6"/>
  <c r="O71" i="6"/>
  <c r="N4" i="6"/>
  <c r="N12" i="6"/>
  <c r="N20" i="6"/>
  <c r="N28" i="6"/>
  <c r="N36" i="6"/>
  <c r="N44" i="6"/>
  <c r="N52" i="6"/>
  <c r="N60" i="6"/>
  <c r="N68" i="6"/>
  <c r="N76" i="6"/>
  <c r="O8" i="6"/>
  <c r="O16" i="6"/>
  <c r="O24" i="6"/>
  <c r="O32" i="6"/>
  <c r="O40" i="6"/>
  <c r="O48" i="6"/>
  <c r="O56" i="6"/>
  <c r="O64" i="6"/>
  <c r="O72" i="6"/>
  <c r="N5" i="6"/>
  <c r="N13" i="6"/>
  <c r="N21" i="6"/>
  <c r="N29" i="6"/>
  <c r="N37" i="6"/>
  <c r="N45" i="6"/>
  <c r="N53" i="6"/>
  <c r="N61" i="6"/>
  <c r="N69" i="6"/>
  <c r="N77" i="6"/>
  <c r="O9" i="6"/>
  <c r="O17" i="6"/>
  <c r="O25" i="6"/>
  <c r="O33" i="6"/>
  <c r="O41" i="6"/>
  <c r="O49" i="6"/>
  <c r="O57" i="6"/>
  <c r="O65" i="6"/>
  <c r="O73" i="6"/>
  <c r="N6" i="6"/>
  <c r="N14" i="6"/>
  <c r="N22" i="6"/>
  <c r="N30" i="6"/>
  <c r="N38" i="6"/>
  <c r="N46" i="6"/>
  <c r="N54" i="6"/>
  <c r="N62" i="6"/>
  <c r="N70" i="6"/>
  <c r="N3" i="6"/>
  <c r="X5" i="6"/>
  <c r="X9" i="6"/>
  <c r="X13" i="6"/>
  <c r="X17" i="6"/>
  <c r="X21" i="6"/>
  <c r="Y5" i="6"/>
  <c r="Y9" i="6"/>
  <c r="Y13" i="6"/>
  <c r="Y17" i="6"/>
  <c r="Y21" i="6"/>
  <c r="X6" i="6"/>
  <c r="X10" i="6"/>
  <c r="X14" i="6"/>
  <c r="X18" i="6"/>
  <c r="X22" i="6"/>
  <c r="Y6" i="6"/>
  <c r="Y10" i="6"/>
  <c r="Y14" i="6"/>
  <c r="Y18" i="6"/>
  <c r="Y22" i="6"/>
  <c r="X7" i="6"/>
  <c r="X11" i="6"/>
  <c r="X15" i="6"/>
  <c r="X19" i="6"/>
  <c r="Y3" i="6"/>
  <c r="Y7" i="6"/>
  <c r="Y11" i="6"/>
  <c r="Y15" i="6"/>
  <c r="Y19" i="6"/>
  <c r="X3" i="6"/>
  <c r="X4" i="6"/>
  <c r="X8" i="6"/>
  <c r="X12" i="6"/>
  <c r="X16" i="6"/>
  <c r="X20" i="6"/>
  <c r="Y4" i="6"/>
  <c r="Y8" i="6"/>
  <c r="Y12" i="6"/>
  <c r="Y16" i="6"/>
  <c r="Y20" i="6"/>
  <c r="K60" i="20" l="1" a="1"/>
  <c r="K60" i="20" s="1"/>
  <c r="L60" i="20" a="1"/>
  <c r="L60" i="20" s="1"/>
  <c r="P24" i="20" a="1"/>
  <c r="P24" i="20" s="1"/>
  <c r="Q24" i="20" a="1"/>
  <c r="Q24" i="20" s="1"/>
  <c r="R24" i="20" a="1"/>
  <c r="R24" i="20" s="1"/>
  <c r="S24" i="20" a="1"/>
  <c r="S24" i="20" s="1"/>
  <c r="T24" i="20" a="1"/>
  <c r="T24" i="20" s="1"/>
  <c r="T15" i="20" a="1"/>
  <c r="T15" i="20" s="1"/>
  <c r="T16" i="20" a="1"/>
  <c r="T16" i="20" s="1"/>
  <c r="T17" i="20" a="1"/>
  <c r="T17" i="20" s="1"/>
  <c r="T18" i="20" a="1"/>
  <c r="T18" i="20" s="1"/>
  <c r="T19" i="20" a="1"/>
  <c r="T19" i="20" s="1"/>
  <c r="T20" i="20" a="1"/>
  <c r="T20" i="20" s="1"/>
  <c r="T21" i="20" a="1"/>
  <c r="T21" i="20" s="1"/>
  <c r="T22" i="20" a="1"/>
  <c r="T22" i="20" s="1"/>
  <c r="T23" i="20" a="1"/>
  <c r="T23" i="20" s="1"/>
  <c r="K72" i="20" a="1"/>
  <c r="K72" i="20" s="1"/>
  <c r="L72" i="20" a="1"/>
  <c r="L72" i="20" s="1"/>
  <c r="L36" i="20" a="1"/>
  <c r="L36" i="20" s="1"/>
  <c r="M36" i="20" a="1"/>
  <c r="M36" i="20" s="1"/>
  <c r="S36" i="20" a="1"/>
  <c r="S36" i="20" s="1"/>
  <c r="N36" i="20" a="1"/>
  <c r="N36" i="20" s="1"/>
  <c r="T36" i="20" a="1"/>
  <c r="T36" i="20" s="1"/>
  <c r="O36" i="20" a="1"/>
  <c r="O36" i="20" s="1"/>
  <c r="P36" i="20" a="1"/>
  <c r="P36" i="20" s="1"/>
  <c r="Q36" i="20" a="1"/>
  <c r="Q36" i="20" s="1"/>
  <c r="K36" i="20" a="1"/>
  <c r="K36" i="20" s="1"/>
  <c r="R36" i="20" a="1"/>
  <c r="R36" i="20" s="1"/>
  <c r="T27" i="20" a="1"/>
  <c r="T27" i="20" s="1"/>
  <c r="T28" i="20" a="1"/>
  <c r="T28" i="20" s="1"/>
  <c r="T29" i="20" a="1"/>
  <c r="T29" i="20" s="1"/>
  <c r="T30" i="20" a="1"/>
  <c r="T30" i="20" s="1"/>
  <c r="T31" i="20" a="1"/>
  <c r="T31" i="20" s="1"/>
  <c r="T32" i="20" a="1"/>
  <c r="T32" i="20" s="1"/>
  <c r="T33" i="20" a="1"/>
  <c r="T33" i="20" s="1"/>
  <c r="T34" i="20" a="1"/>
  <c r="T34" i="20" s="1"/>
  <c r="T35" i="20" a="1"/>
  <c r="T35" i="20" s="1"/>
  <c r="N48" i="20" a="1"/>
  <c r="N48" i="20" s="1"/>
  <c r="K48" i="20" a="1"/>
  <c r="K48" i="20" s="1"/>
  <c r="L48" i="20" a="1"/>
  <c r="L48" i="20" s="1"/>
  <c r="M48" i="20" a="1"/>
  <c r="M48" i="20" s="1"/>
  <c r="O12" i="19"/>
  <c r="AW6" i="19"/>
  <c r="AY6" i="19" s="1"/>
  <c r="AW16" i="19"/>
  <c r="AY16" i="19" s="1"/>
  <c r="AW9" i="19"/>
  <c r="AY9" i="19" s="1"/>
  <c r="AA30" i="19"/>
  <c r="AC30" i="19" s="1"/>
  <c r="AA53" i="19"/>
  <c r="AC53" i="19" s="1"/>
  <c r="AA76" i="19"/>
  <c r="AC76" i="19" s="1"/>
  <c r="AA12" i="19"/>
  <c r="AC12" i="19" s="1"/>
  <c r="AA35" i="19"/>
  <c r="AC35" i="19" s="1"/>
  <c r="AA58" i="19"/>
  <c r="AC58" i="19" s="1"/>
  <c r="AA17" i="19"/>
  <c r="AC17" i="19" s="1"/>
  <c r="AA40" i="19"/>
  <c r="AC40" i="19" s="1"/>
  <c r="AA55" i="19"/>
  <c r="AC55" i="19" s="1"/>
  <c r="E11" i="19"/>
  <c r="G11" i="19" s="1"/>
  <c r="E5" i="19"/>
  <c r="G5" i="19" s="1"/>
  <c r="E12" i="19"/>
  <c r="G12" i="19" s="1"/>
  <c r="BH10" i="19"/>
  <c r="BJ10" i="19" s="1"/>
  <c r="BH17" i="19"/>
  <c r="BJ17" i="19" s="1"/>
  <c r="P56" i="19"/>
  <c r="R56" i="19" s="1"/>
  <c r="P75" i="19"/>
  <c r="R75" i="19" s="1"/>
  <c r="P23" i="19"/>
  <c r="R23" i="19" s="1"/>
  <c r="P62" i="19"/>
  <c r="R62" i="19" s="1"/>
  <c r="P37" i="19"/>
  <c r="R37" i="19" s="1"/>
  <c r="P20" i="19"/>
  <c r="R20" i="19" s="1"/>
  <c r="P44" i="19"/>
  <c r="R44" i="19" s="1"/>
  <c r="P26" i="19"/>
  <c r="R26" i="19" s="1"/>
  <c r="P65" i="19"/>
  <c r="R65" i="19" s="1"/>
  <c r="AL8" i="19"/>
  <c r="AN8" i="19" s="1"/>
  <c r="AL26" i="19"/>
  <c r="AN26" i="19" s="1"/>
  <c r="AL25" i="19"/>
  <c r="AN25" i="19" s="1"/>
  <c r="AW17" i="19"/>
  <c r="AY17" i="19" s="1"/>
  <c r="AA38" i="19"/>
  <c r="AC38" i="19" s="1"/>
  <c r="AW12" i="19"/>
  <c r="AY12" i="19" s="1"/>
  <c r="AA22" i="19"/>
  <c r="AC22" i="19" s="1"/>
  <c r="AA45" i="19"/>
  <c r="AC45" i="19" s="1"/>
  <c r="AA68" i="19"/>
  <c r="AC68" i="19" s="1"/>
  <c r="AA4" i="19"/>
  <c r="AC4" i="19" s="1"/>
  <c r="AA27" i="19"/>
  <c r="AC27" i="19" s="1"/>
  <c r="AA50" i="19"/>
  <c r="AC50" i="19" s="1"/>
  <c r="AA73" i="19"/>
  <c r="AC73" i="19" s="1"/>
  <c r="AA9" i="19"/>
  <c r="AC9" i="19" s="1"/>
  <c r="AA32" i="19"/>
  <c r="AC32" i="19" s="1"/>
  <c r="AA47" i="19"/>
  <c r="AC47" i="19" s="1"/>
  <c r="E4" i="19"/>
  <c r="G4" i="19" s="1"/>
  <c r="BH20" i="19"/>
  <c r="BJ20" i="19" s="1"/>
  <c r="BH6" i="19"/>
  <c r="BJ6" i="19" s="1"/>
  <c r="BH13" i="19"/>
  <c r="BJ13" i="19" s="1"/>
  <c r="P48" i="19"/>
  <c r="R48" i="19" s="1"/>
  <c r="P35" i="19"/>
  <c r="R35" i="19" s="1"/>
  <c r="P15" i="19"/>
  <c r="R15" i="19" s="1"/>
  <c r="P54" i="19"/>
  <c r="R54" i="19" s="1"/>
  <c r="P68" i="19"/>
  <c r="R68" i="19" s="1"/>
  <c r="P29" i="19"/>
  <c r="R29" i="19" s="1"/>
  <c r="P27" i="19"/>
  <c r="R27" i="19" s="1"/>
  <c r="P18" i="19"/>
  <c r="R18" i="19" s="1"/>
  <c r="P57" i="19"/>
  <c r="R57" i="19" s="1"/>
  <c r="AL4" i="19"/>
  <c r="AN4" i="19" s="1"/>
  <c r="AL31" i="19"/>
  <c r="AN31" i="19" s="1"/>
  <c r="AL22" i="19"/>
  <c r="AN22" i="19" s="1"/>
  <c r="AL21" i="19"/>
  <c r="AN21" i="19" s="1"/>
  <c r="AW5" i="19"/>
  <c r="AY5" i="19" s="1"/>
  <c r="AW8" i="19"/>
  <c r="AY8" i="19" s="1"/>
  <c r="AW19" i="19"/>
  <c r="AY19" i="19" s="1"/>
  <c r="AA3" i="19"/>
  <c r="AC3" i="19" s="1"/>
  <c r="AA14" i="19"/>
  <c r="AC14" i="19" s="1"/>
  <c r="AA37" i="19"/>
  <c r="AC37" i="19" s="1"/>
  <c r="AA60" i="19"/>
  <c r="AC60" i="19" s="1"/>
  <c r="AA19" i="19"/>
  <c r="AC19" i="19" s="1"/>
  <c r="AA42" i="19"/>
  <c r="AC42" i="19" s="1"/>
  <c r="AA65" i="19"/>
  <c r="AC65" i="19" s="1"/>
  <c r="AA24" i="19"/>
  <c r="AC24" i="19" s="1"/>
  <c r="AA39" i="19"/>
  <c r="AC39" i="19" s="1"/>
  <c r="E23" i="19"/>
  <c r="G23" i="19" s="1"/>
  <c r="E26" i="19"/>
  <c r="G26" i="19" s="1"/>
  <c r="E3" i="19"/>
  <c r="G3" i="19" s="1"/>
  <c r="E19" i="19"/>
  <c r="G19" i="19" s="1"/>
  <c r="BH16" i="19"/>
  <c r="BJ16" i="19" s="1"/>
  <c r="BH9" i="19"/>
  <c r="BJ9" i="19" s="1"/>
  <c r="P40" i="19"/>
  <c r="R40" i="19" s="1"/>
  <c r="P71" i="19"/>
  <c r="R71" i="19" s="1"/>
  <c r="P7" i="19"/>
  <c r="R7" i="19" s="1"/>
  <c r="P46" i="19"/>
  <c r="R46" i="19" s="1"/>
  <c r="P51" i="19"/>
  <c r="R51" i="19" s="1"/>
  <c r="P21" i="19"/>
  <c r="R21" i="19" s="1"/>
  <c r="P4" i="19"/>
  <c r="R4" i="19" s="1"/>
  <c r="P74" i="19"/>
  <c r="R74" i="19" s="1"/>
  <c r="P10" i="19"/>
  <c r="R10" i="19" s="1"/>
  <c r="P49" i="19"/>
  <c r="R49" i="19" s="1"/>
  <c r="AL32" i="19"/>
  <c r="AN32" i="19" s="1"/>
  <c r="AL27" i="19"/>
  <c r="AN27" i="19" s="1"/>
  <c r="AL18" i="19"/>
  <c r="AN18" i="19" s="1"/>
  <c r="AL17" i="19"/>
  <c r="AN17" i="19" s="1"/>
  <c r="AW4" i="19"/>
  <c r="AY4" i="19" s="1"/>
  <c r="AW15" i="19"/>
  <c r="AY15" i="19" s="1"/>
  <c r="AW22" i="19"/>
  <c r="AY22" i="19" s="1"/>
  <c r="AA70" i="19"/>
  <c r="AC70" i="19" s="1"/>
  <c r="AA6" i="19"/>
  <c r="AC6" i="19" s="1"/>
  <c r="AA29" i="19"/>
  <c r="AC29" i="19" s="1"/>
  <c r="AA52" i="19"/>
  <c r="AC52" i="19" s="1"/>
  <c r="AA75" i="19"/>
  <c r="AC75" i="19" s="1"/>
  <c r="AA11" i="19"/>
  <c r="AC11" i="19" s="1"/>
  <c r="AA34" i="19"/>
  <c r="AC34" i="19" s="1"/>
  <c r="AA57" i="19"/>
  <c r="AC57" i="19" s="1"/>
  <c r="AA16" i="19"/>
  <c r="AC16" i="19" s="1"/>
  <c r="AA31" i="19"/>
  <c r="AC31" i="19" s="1"/>
  <c r="E15" i="19"/>
  <c r="G15" i="19" s="1"/>
  <c r="E31" i="19"/>
  <c r="G31" i="19" s="1"/>
  <c r="E25" i="19"/>
  <c r="G25" i="19" s="1"/>
  <c r="BH12" i="19"/>
  <c r="BJ12" i="19" s="1"/>
  <c r="BH5" i="19"/>
  <c r="BJ5" i="19" s="1"/>
  <c r="P32" i="19"/>
  <c r="R32" i="19" s="1"/>
  <c r="P63" i="19"/>
  <c r="R63" i="19" s="1"/>
  <c r="P38" i="19"/>
  <c r="R38" i="19" s="1"/>
  <c r="P77" i="19"/>
  <c r="R77" i="19" s="1"/>
  <c r="P13" i="19"/>
  <c r="R13" i="19" s="1"/>
  <c r="P66" i="19"/>
  <c r="R66" i="19" s="1"/>
  <c r="P41" i="19"/>
  <c r="R41" i="19" s="1"/>
  <c r="AL28" i="19"/>
  <c r="AN28" i="19" s="1"/>
  <c r="AL23" i="19"/>
  <c r="AN23" i="19" s="1"/>
  <c r="AL14" i="19"/>
  <c r="AN14" i="19" s="1"/>
  <c r="AL13" i="19"/>
  <c r="AN13" i="19" s="1"/>
  <c r="AA46" i="19"/>
  <c r="AC46" i="19" s="1"/>
  <c r="AW3" i="19"/>
  <c r="AY3" i="19" s="1"/>
  <c r="AW18" i="19"/>
  <c r="AY18" i="19" s="1"/>
  <c r="AA21" i="19"/>
  <c r="AC21" i="19" s="1"/>
  <c r="AA44" i="19"/>
  <c r="AC44" i="19" s="1"/>
  <c r="AA67" i="19"/>
  <c r="AC67" i="19" s="1"/>
  <c r="AA26" i="19"/>
  <c r="AC26" i="19" s="1"/>
  <c r="AA49" i="19"/>
  <c r="AC49" i="19" s="1"/>
  <c r="AA72" i="19"/>
  <c r="AC72" i="19" s="1"/>
  <c r="AA8" i="19"/>
  <c r="AC8" i="19" s="1"/>
  <c r="AA23" i="19"/>
  <c r="AC23" i="19" s="1"/>
  <c r="E7" i="19"/>
  <c r="G7" i="19" s="1"/>
  <c r="E30" i="19"/>
  <c r="G30" i="19" s="1"/>
  <c r="E10" i="19"/>
  <c r="G10" i="19" s="1"/>
  <c r="E27" i="19"/>
  <c r="G27" i="19" s="1"/>
  <c r="E17" i="19"/>
  <c r="G17" i="19" s="1"/>
  <c r="E32" i="19"/>
  <c r="G32" i="19" s="1"/>
  <c r="BH8" i="19"/>
  <c r="BJ8" i="19" s="1"/>
  <c r="BH19" i="19"/>
  <c r="BJ19" i="19" s="1"/>
  <c r="P60" i="19"/>
  <c r="R60" i="19" s="1"/>
  <c r="P24" i="19"/>
  <c r="R24" i="19" s="1"/>
  <c r="P55" i="19"/>
  <c r="R55" i="19" s="1"/>
  <c r="P52" i="19"/>
  <c r="R52" i="19" s="1"/>
  <c r="P30" i="19"/>
  <c r="R30" i="19" s="1"/>
  <c r="P69" i="19"/>
  <c r="R69" i="19" s="1"/>
  <c r="P5" i="19"/>
  <c r="R5" i="19" s="1"/>
  <c r="P67" i="19"/>
  <c r="R67" i="19" s="1"/>
  <c r="P58" i="19"/>
  <c r="R58" i="19" s="1"/>
  <c r="P33" i="19"/>
  <c r="R33" i="19" s="1"/>
  <c r="AL24" i="19"/>
  <c r="AN24" i="19" s="1"/>
  <c r="AL19" i="19"/>
  <c r="AN19" i="19" s="1"/>
  <c r="AL10" i="19"/>
  <c r="AN10" i="19" s="1"/>
  <c r="AL9" i="19"/>
  <c r="AN9" i="19" s="1"/>
  <c r="AW11" i="19"/>
  <c r="AY11" i="19" s="1"/>
  <c r="AA62" i="19"/>
  <c r="AC62" i="19" s="1"/>
  <c r="AW7" i="19"/>
  <c r="AY7" i="19" s="1"/>
  <c r="AW14" i="19"/>
  <c r="AY14" i="19" s="1"/>
  <c r="AW21" i="19"/>
  <c r="AY21" i="19" s="1"/>
  <c r="AA54" i="19"/>
  <c r="AC54" i="19" s="1"/>
  <c r="AA77" i="19"/>
  <c r="AC77" i="19" s="1"/>
  <c r="AA13" i="19"/>
  <c r="AC13" i="19" s="1"/>
  <c r="AA36" i="19"/>
  <c r="AC36" i="19" s="1"/>
  <c r="AA59" i="19"/>
  <c r="AC59" i="19" s="1"/>
  <c r="AA18" i="19"/>
  <c r="AC18" i="19" s="1"/>
  <c r="AA41" i="19"/>
  <c r="AC41" i="19" s="1"/>
  <c r="AA64" i="19"/>
  <c r="AC64" i="19" s="1"/>
  <c r="AA15" i="19"/>
  <c r="AC15" i="19" s="1"/>
  <c r="E22" i="19"/>
  <c r="G22" i="19" s="1"/>
  <c r="E29" i="19"/>
  <c r="G29" i="19" s="1"/>
  <c r="E9" i="19"/>
  <c r="G9" i="19" s="1"/>
  <c r="E24" i="19"/>
  <c r="G24" i="19" s="1"/>
  <c r="BH4" i="19"/>
  <c r="BJ4" i="19" s="1"/>
  <c r="BH15" i="19"/>
  <c r="BJ15" i="19" s="1"/>
  <c r="BH22" i="19"/>
  <c r="BJ22" i="19" s="1"/>
  <c r="P19" i="19"/>
  <c r="R19" i="19" s="1"/>
  <c r="P16" i="19"/>
  <c r="R16" i="19" s="1"/>
  <c r="P47" i="19"/>
  <c r="R47" i="19" s="1"/>
  <c r="P59" i="19"/>
  <c r="R59" i="19" s="1"/>
  <c r="P22" i="19"/>
  <c r="R22" i="19" s="1"/>
  <c r="P61" i="19"/>
  <c r="R61" i="19" s="1"/>
  <c r="P11" i="19"/>
  <c r="R11" i="19" s="1"/>
  <c r="P50" i="19"/>
  <c r="R50" i="19" s="1"/>
  <c r="P76" i="19"/>
  <c r="R76" i="19" s="1"/>
  <c r="P25" i="19"/>
  <c r="R25" i="19" s="1"/>
  <c r="AL20" i="19"/>
  <c r="AN20" i="19" s="1"/>
  <c r="AL15" i="19"/>
  <c r="AN15" i="19" s="1"/>
  <c r="AL6" i="19"/>
  <c r="AN6" i="19" s="1"/>
  <c r="AL5" i="19"/>
  <c r="AN5" i="19" s="1"/>
  <c r="AW10" i="19"/>
  <c r="AY10" i="19" s="1"/>
  <c r="AA69" i="19"/>
  <c r="AC69" i="19" s="1"/>
  <c r="AA5" i="19"/>
  <c r="AC5" i="19" s="1"/>
  <c r="AA28" i="19"/>
  <c r="AC28" i="19" s="1"/>
  <c r="AA51" i="19"/>
  <c r="AC51" i="19" s="1"/>
  <c r="AA74" i="19"/>
  <c r="AC74" i="19" s="1"/>
  <c r="AA10" i="19"/>
  <c r="AC10" i="19" s="1"/>
  <c r="AA33" i="19"/>
  <c r="AC33" i="19" s="1"/>
  <c r="AA56" i="19"/>
  <c r="AC56" i="19" s="1"/>
  <c r="AA71" i="19"/>
  <c r="AC71" i="19" s="1"/>
  <c r="AA7" i="19"/>
  <c r="AC7" i="19" s="1"/>
  <c r="E14" i="19"/>
  <c r="G14" i="19" s="1"/>
  <c r="E21" i="19"/>
  <c r="G21" i="19" s="1"/>
  <c r="E28" i="19"/>
  <c r="G28" i="19" s="1"/>
  <c r="E16" i="19"/>
  <c r="G16" i="19" s="1"/>
  <c r="BH3" i="19"/>
  <c r="BJ3" i="19" s="1"/>
  <c r="BH11" i="19"/>
  <c r="BJ11" i="19" s="1"/>
  <c r="BH18" i="19"/>
  <c r="BJ18" i="19" s="1"/>
  <c r="P72" i="19"/>
  <c r="R72" i="19" s="1"/>
  <c r="P8" i="19"/>
  <c r="R8" i="19" s="1"/>
  <c r="P39" i="19"/>
  <c r="R39" i="19" s="1"/>
  <c r="P3" i="19"/>
  <c r="R3" i="19" s="1"/>
  <c r="P14" i="19"/>
  <c r="R14" i="19" s="1"/>
  <c r="P53" i="19"/>
  <c r="R53" i="19" s="1"/>
  <c r="P36" i="19"/>
  <c r="R36" i="19" s="1"/>
  <c r="P42" i="19"/>
  <c r="R42" i="19" s="1"/>
  <c r="P43" i="19"/>
  <c r="R43" i="19" s="1"/>
  <c r="P17" i="19"/>
  <c r="R17" i="19" s="1"/>
  <c r="AL16" i="19"/>
  <c r="AN16" i="19" s="1"/>
  <c r="AL11" i="19"/>
  <c r="AN11" i="19" s="1"/>
  <c r="AL3" i="19"/>
  <c r="AN3" i="19" s="1"/>
  <c r="AW20" i="19"/>
  <c r="AY20" i="19" s="1"/>
  <c r="AW13" i="19"/>
  <c r="AY13" i="19" s="1"/>
  <c r="AA61" i="19"/>
  <c r="AC61" i="19" s="1"/>
  <c r="AA20" i="19"/>
  <c r="AC20" i="19" s="1"/>
  <c r="AA43" i="19"/>
  <c r="AC43" i="19" s="1"/>
  <c r="AA66" i="19"/>
  <c r="AC66" i="19" s="1"/>
  <c r="AA25" i="19"/>
  <c r="AC25" i="19" s="1"/>
  <c r="AA48" i="19"/>
  <c r="AC48" i="19" s="1"/>
  <c r="AA63" i="19"/>
  <c r="AC63" i="19" s="1"/>
  <c r="E6" i="19"/>
  <c r="G6" i="19" s="1"/>
  <c r="E13" i="19"/>
  <c r="G13" i="19" s="1"/>
  <c r="E20" i="19"/>
  <c r="G20" i="19" s="1"/>
  <c r="E18" i="19"/>
  <c r="G18" i="19" s="1"/>
  <c r="E8" i="19"/>
  <c r="G8" i="19" s="1"/>
  <c r="BH7" i="19"/>
  <c r="BJ7" i="19" s="1"/>
  <c r="BH14" i="19"/>
  <c r="BJ14" i="19" s="1"/>
  <c r="BH21" i="19"/>
  <c r="BJ21" i="19" s="1"/>
  <c r="P64" i="19"/>
  <c r="R64" i="19" s="1"/>
  <c r="P31" i="19"/>
  <c r="R31" i="19" s="1"/>
  <c r="P70" i="19"/>
  <c r="R70" i="19" s="1"/>
  <c r="P6" i="19"/>
  <c r="R6" i="19" s="1"/>
  <c r="P45" i="19"/>
  <c r="R45" i="19" s="1"/>
  <c r="P28" i="19"/>
  <c r="R28" i="19" s="1"/>
  <c r="P34" i="19"/>
  <c r="R34" i="19" s="1"/>
  <c r="P73" i="19"/>
  <c r="R73" i="19" s="1"/>
  <c r="P9" i="19"/>
  <c r="R9" i="19" s="1"/>
  <c r="AL12" i="19"/>
  <c r="AN12" i="19" s="1"/>
  <c r="AL7" i="19"/>
  <c r="AN7" i="19" s="1"/>
  <c r="AL30" i="19"/>
  <c r="AN30" i="19" s="1"/>
  <c r="AL29" i="19"/>
  <c r="AN29" i="19" s="1"/>
  <c r="AV6" i="19" l="1"/>
  <c r="AK26" i="19"/>
  <c r="Z76" i="19"/>
  <c r="Z40" i="19"/>
  <c r="Z30" i="19"/>
  <c r="O44" i="19"/>
  <c r="Z16" i="19"/>
  <c r="AV16" i="19"/>
  <c r="D5" i="19"/>
  <c r="AK25" i="19"/>
  <c r="O18" i="19"/>
  <c r="Z53" i="19"/>
  <c r="Z71" i="19"/>
  <c r="O58" i="19"/>
  <c r="O23" i="19"/>
  <c r="O40" i="19"/>
  <c r="Z73" i="19"/>
  <c r="Z35" i="19"/>
  <c r="D22" i="19"/>
  <c r="D12" i="19"/>
  <c r="AV9" i="19"/>
  <c r="Z49" i="19"/>
  <c r="Z22" i="19"/>
  <c r="Z55" i="19"/>
  <c r="Z25" i="19"/>
  <c r="AK17" i="19"/>
  <c r="Z37" i="19"/>
  <c r="O76" i="19"/>
  <c r="Z29" i="19"/>
  <c r="O37" i="19"/>
  <c r="Z17" i="19"/>
  <c r="O28" i="19"/>
  <c r="AV7" i="19"/>
  <c r="O74" i="19"/>
  <c r="D4" i="19"/>
  <c r="O56" i="19"/>
  <c r="Z12" i="19"/>
  <c r="Z38" i="19"/>
  <c r="O24" i="19"/>
  <c r="Z39" i="19"/>
  <c r="O3" i="19"/>
  <c r="AK28" i="19"/>
  <c r="AK22" i="19"/>
  <c r="Z46" i="19"/>
  <c r="D10" i="19"/>
  <c r="O19" i="19"/>
  <c r="AV18" i="19"/>
  <c r="Z36" i="19"/>
  <c r="O32" i="19"/>
  <c r="Z74" i="19"/>
  <c r="Z64" i="19"/>
  <c r="O77" i="19"/>
  <c r="O49" i="19"/>
  <c r="AV19" i="19"/>
  <c r="Z27" i="19"/>
  <c r="O75" i="19"/>
  <c r="AK15" i="19"/>
  <c r="Z54" i="19"/>
  <c r="D7" i="19"/>
  <c r="D25" i="19"/>
  <c r="O46" i="19"/>
  <c r="O42" i="19"/>
  <c r="O59" i="19"/>
  <c r="AK24" i="19"/>
  <c r="Z44" i="19"/>
  <c r="Z34" i="19"/>
  <c r="D19" i="19"/>
  <c r="O15" i="19"/>
  <c r="O65" i="19"/>
  <c r="O30" i="19"/>
  <c r="AK14" i="19"/>
  <c r="AV22" i="19"/>
  <c r="Z65" i="19"/>
  <c r="D28" i="19"/>
  <c r="O25" i="19"/>
  <c r="D9" i="19"/>
  <c r="AV21" i="19"/>
  <c r="O55" i="19"/>
  <c r="Z8" i="19"/>
  <c r="AK23" i="19"/>
  <c r="D15" i="19"/>
  <c r="AV15" i="19"/>
  <c r="O71" i="19"/>
  <c r="Z19" i="19"/>
  <c r="O27" i="19"/>
  <c r="Z32" i="19"/>
  <c r="Z61" i="19"/>
  <c r="AK11" i="19"/>
  <c r="Z56" i="19"/>
  <c r="O50" i="19"/>
  <c r="Z15" i="19"/>
  <c r="AK10" i="19"/>
  <c r="O60" i="19"/>
  <c r="Z67" i="19"/>
  <c r="O66" i="19"/>
  <c r="Z57" i="19"/>
  <c r="AK27" i="19"/>
  <c r="Z3" i="19"/>
  <c r="O68" i="19"/>
  <c r="Z50" i="19"/>
  <c r="O26" i="19"/>
  <c r="Z58" i="19"/>
  <c r="AK12" i="19"/>
  <c r="AV13" i="19"/>
  <c r="O36" i="19"/>
  <c r="Z69" i="19"/>
  <c r="O16" i="19"/>
  <c r="Z18" i="19"/>
  <c r="O33" i="19"/>
  <c r="D17" i="19"/>
  <c r="Z21" i="19"/>
  <c r="O63" i="19"/>
  <c r="Z75" i="19"/>
  <c r="O10" i="19"/>
  <c r="D26" i="19"/>
  <c r="AV8" i="19"/>
  <c r="O48" i="19"/>
  <c r="Z68" i="19"/>
  <c r="O20" i="19"/>
  <c r="O31" i="19"/>
  <c r="AV17" i="19"/>
  <c r="Z77" i="19"/>
  <c r="O5" i="19"/>
  <c r="D30" i="19"/>
  <c r="AV3" i="19"/>
  <c r="Z70" i="19"/>
  <c r="O21" i="19"/>
  <c r="Z24" i="19"/>
  <c r="AK4" i="19"/>
  <c r="AV12" i="19"/>
  <c r="O62" i="19"/>
  <c r="D11" i="19"/>
  <c r="D13" i="19"/>
  <c r="O9" i="19"/>
  <c r="O64" i="19"/>
  <c r="D6" i="19"/>
  <c r="O73" i="19"/>
  <c r="Z63" i="19"/>
  <c r="O53" i="19"/>
  <c r="Z33" i="19"/>
  <c r="AK3" i="19"/>
  <c r="O14" i="19"/>
  <c r="D16" i="19"/>
  <c r="Z10" i="19"/>
  <c r="AV10" i="19"/>
  <c r="O11" i="19"/>
  <c r="Z41" i="19"/>
  <c r="AV14" i="19"/>
  <c r="O67" i="19"/>
  <c r="Z23" i="19"/>
  <c r="Z62" i="19"/>
  <c r="O41" i="19"/>
  <c r="Z11" i="19"/>
  <c r="AV4" i="19"/>
  <c r="O4" i="19"/>
  <c r="Z42" i="19"/>
  <c r="AK21" i="19"/>
  <c r="O29" i="19"/>
  <c r="Z4" i="19"/>
  <c r="AK8" i="19"/>
  <c r="O34" i="19"/>
  <c r="Z48" i="19"/>
  <c r="AV20" i="19"/>
  <c r="AK5" i="19"/>
  <c r="AK16" i="19"/>
  <c r="O39" i="19"/>
  <c r="D21" i="19"/>
  <c r="Z51" i="19"/>
  <c r="AK6" i="19"/>
  <c r="O22" i="19"/>
  <c r="D24" i="19"/>
  <c r="Z59" i="19"/>
  <c r="AK9" i="19"/>
  <c r="O69" i="19"/>
  <c r="D32" i="19"/>
  <c r="Z72" i="19"/>
  <c r="AV11" i="19"/>
  <c r="O13" i="19"/>
  <c r="D31" i="19"/>
  <c r="Z52" i="19"/>
  <c r="AK18" i="19"/>
  <c r="O51" i="19"/>
  <c r="D3" i="19"/>
  <c r="Z60" i="19"/>
  <c r="AK31" i="19"/>
  <c r="O54" i="19"/>
  <c r="Z47" i="19"/>
  <c r="Z45" i="19"/>
  <c r="AK29" i="19"/>
  <c r="O45" i="19"/>
  <c r="D8" i="19"/>
  <c r="Z66" i="19"/>
  <c r="O61" i="19"/>
  <c r="O8" i="19"/>
  <c r="AK30" i="19"/>
  <c r="O6" i="19"/>
  <c r="D18" i="19"/>
  <c r="Z43" i="19"/>
  <c r="O17" i="19"/>
  <c r="D14" i="19"/>
  <c r="Z28" i="19"/>
  <c r="O43" i="19"/>
  <c r="O72" i="19"/>
  <c r="Z7" i="19"/>
  <c r="Z5" i="19"/>
  <c r="AK20" i="19"/>
  <c r="O47" i="19"/>
  <c r="D29" i="19"/>
  <c r="Z13" i="19"/>
  <c r="AK19" i="19"/>
  <c r="O52" i="19"/>
  <c r="D27" i="19"/>
  <c r="Z26" i="19"/>
  <c r="AK13" i="19"/>
  <c r="O38" i="19"/>
  <c r="Z31" i="19"/>
  <c r="Z6" i="19"/>
  <c r="AK32" i="19"/>
  <c r="O7" i="19"/>
  <c r="D23" i="19"/>
  <c r="Z14" i="19"/>
  <c r="O57" i="19"/>
  <c r="O35" i="19"/>
  <c r="Z9" i="19"/>
  <c r="AV5" i="19"/>
  <c r="AK7" i="19"/>
  <c r="O70" i="19"/>
  <c r="D20" i="19"/>
  <c r="Z20" i="19"/>
  <c r="BS5" i="19"/>
  <c r="BS4" i="19"/>
  <c r="BT4" i="19" s="1"/>
  <c r="BV4" i="19" s="1"/>
  <c r="BS9" i="19"/>
  <c r="BT9" i="19" s="1"/>
  <c r="BV9" i="19" s="1"/>
  <c r="BS8" i="19"/>
  <c r="BT8" i="19" s="1"/>
  <c r="BV8" i="19" s="1"/>
  <c r="BS7" i="19"/>
  <c r="BT7" i="19" s="1"/>
  <c r="BV7" i="19" s="1"/>
  <c r="BS6" i="19"/>
  <c r="BT6" i="19" s="1"/>
  <c r="BV6" i="19" s="1"/>
  <c r="M78" i="13"/>
  <c r="H78" i="13"/>
  <c r="M77" i="13"/>
  <c r="H77" i="13"/>
  <c r="M76" i="13"/>
  <c r="H76" i="13"/>
  <c r="M75" i="13"/>
  <c r="H75" i="13"/>
  <c r="M74" i="13"/>
  <c r="H74" i="13"/>
  <c r="M73" i="13"/>
  <c r="H73" i="13"/>
  <c r="M72" i="13"/>
  <c r="H72" i="13"/>
  <c r="M71" i="13"/>
  <c r="H71" i="13"/>
  <c r="M70" i="13"/>
  <c r="H70" i="13"/>
  <c r="M69" i="13"/>
  <c r="H69" i="13"/>
  <c r="M68" i="13"/>
  <c r="H68" i="13"/>
  <c r="M67" i="13"/>
  <c r="H67" i="13"/>
  <c r="M66" i="13"/>
  <c r="H66" i="13"/>
  <c r="M65" i="13"/>
  <c r="H65" i="13"/>
  <c r="M64" i="13"/>
  <c r="H64" i="13"/>
  <c r="M63" i="13"/>
  <c r="H63" i="13"/>
  <c r="M62" i="13"/>
  <c r="H62" i="13"/>
  <c r="M61" i="13"/>
  <c r="H61" i="13"/>
  <c r="M60" i="13"/>
  <c r="H60" i="13"/>
  <c r="M59" i="13"/>
  <c r="H59" i="13"/>
  <c r="M58" i="13"/>
  <c r="H58" i="13"/>
  <c r="M57" i="13"/>
  <c r="H57" i="13"/>
  <c r="M56" i="13"/>
  <c r="H56" i="13"/>
  <c r="M55" i="13"/>
  <c r="H55" i="13"/>
  <c r="M54" i="13"/>
  <c r="H54" i="13"/>
  <c r="M53" i="13"/>
  <c r="H53" i="13"/>
  <c r="M52" i="13"/>
  <c r="H52" i="13"/>
  <c r="M51" i="13"/>
  <c r="H51" i="13"/>
  <c r="M50" i="13"/>
  <c r="H50" i="13"/>
  <c r="M49" i="13"/>
  <c r="H49" i="13"/>
  <c r="M48" i="13"/>
  <c r="H48" i="13"/>
  <c r="M47" i="13"/>
  <c r="H47" i="13"/>
  <c r="M46" i="13"/>
  <c r="H46" i="13"/>
  <c r="M45" i="13"/>
  <c r="H45" i="13"/>
  <c r="M44" i="13"/>
  <c r="H44" i="13"/>
  <c r="M43" i="13"/>
  <c r="H43" i="13"/>
  <c r="M42" i="13"/>
  <c r="H42" i="13"/>
  <c r="M41" i="13"/>
  <c r="H41" i="13"/>
  <c r="M40" i="13"/>
  <c r="H40" i="13"/>
  <c r="M39" i="13"/>
  <c r="H39" i="13"/>
  <c r="M38" i="13"/>
  <c r="H38" i="13"/>
  <c r="M37" i="13"/>
  <c r="H37" i="13"/>
  <c r="M36" i="13"/>
  <c r="H36" i="13"/>
  <c r="M35" i="13"/>
  <c r="H35" i="13"/>
  <c r="M34" i="13"/>
  <c r="H34" i="13"/>
  <c r="R33" i="13"/>
  <c r="M33" i="13"/>
  <c r="H33" i="13"/>
  <c r="C33" i="13"/>
  <c r="R32" i="13"/>
  <c r="M32" i="13"/>
  <c r="H32" i="13"/>
  <c r="C32" i="13"/>
  <c r="R31" i="13"/>
  <c r="M31" i="13"/>
  <c r="H31" i="13"/>
  <c r="C31" i="13"/>
  <c r="R30" i="13"/>
  <c r="M30" i="13"/>
  <c r="H30" i="13"/>
  <c r="C30" i="13"/>
  <c r="R29" i="13"/>
  <c r="M29" i="13"/>
  <c r="H29" i="13"/>
  <c r="C29" i="13"/>
  <c r="R28" i="13"/>
  <c r="M28" i="13"/>
  <c r="H28" i="13"/>
  <c r="C28" i="13"/>
  <c r="R27" i="13"/>
  <c r="M27" i="13"/>
  <c r="H27" i="13"/>
  <c r="C27" i="13"/>
  <c r="R26" i="13"/>
  <c r="M26" i="13"/>
  <c r="H26" i="13"/>
  <c r="C26" i="13"/>
  <c r="R25" i="13"/>
  <c r="M25" i="13"/>
  <c r="H25" i="13"/>
  <c r="C25" i="13"/>
  <c r="R24" i="13"/>
  <c r="M24" i="13"/>
  <c r="H24" i="13"/>
  <c r="C24" i="13"/>
  <c r="AB23" i="13"/>
  <c r="W23" i="13"/>
  <c r="R23" i="13"/>
  <c r="M23" i="13"/>
  <c r="H23" i="13"/>
  <c r="C23" i="13"/>
  <c r="AB22" i="13"/>
  <c r="W22" i="13"/>
  <c r="R22" i="13"/>
  <c r="M22" i="13"/>
  <c r="H22" i="13"/>
  <c r="C22" i="13"/>
  <c r="AB21" i="13"/>
  <c r="W21" i="13"/>
  <c r="R21" i="13"/>
  <c r="M21" i="13"/>
  <c r="H21" i="13"/>
  <c r="C21" i="13"/>
  <c r="AB20" i="13"/>
  <c r="W20" i="13"/>
  <c r="R20" i="13"/>
  <c r="M20" i="13"/>
  <c r="H20" i="13"/>
  <c r="C20" i="13"/>
  <c r="AB19" i="13"/>
  <c r="W19" i="13"/>
  <c r="R19" i="13"/>
  <c r="M19" i="13"/>
  <c r="H19" i="13"/>
  <c r="C19" i="13"/>
  <c r="AB18" i="13"/>
  <c r="W18" i="13"/>
  <c r="R18" i="13"/>
  <c r="M18" i="13"/>
  <c r="H18" i="13"/>
  <c r="C18" i="13"/>
  <c r="AB17" i="13"/>
  <c r="W17" i="13"/>
  <c r="R17" i="13"/>
  <c r="M17" i="13"/>
  <c r="H17" i="13"/>
  <c r="C17" i="13"/>
  <c r="AB16" i="13"/>
  <c r="W16" i="13"/>
  <c r="R16" i="13"/>
  <c r="M16" i="13"/>
  <c r="H16" i="13"/>
  <c r="C16" i="13"/>
  <c r="AB15" i="13"/>
  <c r="W15" i="13"/>
  <c r="R15" i="13"/>
  <c r="M15" i="13"/>
  <c r="H15" i="13"/>
  <c r="C15" i="13"/>
  <c r="AB14" i="13"/>
  <c r="W14" i="13"/>
  <c r="R14" i="13"/>
  <c r="M14" i="13"/>
  <c r="H14" i="13"/>
  <c r="C14" i="13"/>
  <c r="AB13" i="13"/>
  <c r="W13" i="13"/>
  <c r="R13" i="13"/>
  <c r="M13" i="13"/>
  <c r="H13" i="13"/>
  <c r="C13" i="13"/>
  <c r="AB12" i="13"/>
  <c r="W12" i="13"/>
  <c r="R12" i="13"/>
  <c r="M12" i="13"/>
  <c r="H12" i="13"/>
  <c r="C12" i="13"/>
  <c r="AB11" i="13"/>
  <c r="W11" i="13"/>
  <c r="R11" i="13"/>
  <c r="M11" i="13"/>
  <c r="H11" i="13"/>
  <c r="C11" i="13"/>
  <c r="AB10" i="13"/>
  <c r="W10" i="13"/>
  <c r="R10" i="13"/>
  <c r="M10" i="13"/>
  <c r="H10" i="13"/>
  <c r="C10" i="13"/>
  <c r="AB9" i="13"/>
  <c r="W9" i="13"/>
  <c r="R9" i="13"/>
  <c r="M9" i="13"/>
  <c r="H9" i="13"/>
  <c r="C9" i="13"/>
  <c r="AB8" i="13"/>
  <c r="W8" i="13"/>
  <c r="R8" i="13"/>
  <c r="M8" i="13"/>
  <c r="H8" i="13"/>
  <c r="C8" i="13"/>
  <c r="AB7" i="13"/>
  <c r="W7" i="13"/>
  <c r="R7" i="13"/>
  <c r="M7" i="13"/>
  <c r="H7" i="13"/>
  <c r="C7" i="13"/>
  <c r="AB6" i="13"/>
  <c r="W6" i="13"/>
  <c r="R6" i="13"/>
  <c r="M6" i="13"/>
  <c r="H6" i="13"/>
  <c r="C6" i="13"/>
  <c r="AB5" i="13"/>
  <c r="AA5" i="13"/>
  <c r="AA6" i="13" s="1"/>
  <c r="W5" i="13"/>
  <c r="V5" i="13"/>
  <c r="V6" i="13" s="1"/>
  <c r="R5" i="13"/>
  <c r="Q5" i="13"/>
  <c r="Q6" i="13" s="1"/>
  <c r="M5" i="13"/>
  <c r="L5" i="13"/>
  <c r="L6" i="13" s="1"/>
  <c r="H5" i="13"/>
  <c r="G5" i="13"/>
  <c r="G6" i="13" s="1"/>
  <c r="C5" i="13"/>
  <c r="B5" i="13"/>
  <c r="B6" i="13" s="1"/>
  <c r="AB4" i="13"/>
  <c r="W4" i="13"/>
  <c r="R4" i="13"/>
  <c r="M4" i="13"/>
  <c r="H4" i="13"/>
  <c r="C4" i="13"/>
  <c r="AM30" i="19"/>
  <c r="AB6" i="19"/>
  <c r="AX11" i="19"/>
  <c r="Q64" i="19"/>
  <c r="F31" i="19"/>
  <c r="AB25" i="19"/>
  <c r="Q51" i="19"/>
  <c r="Q38" i="19"/>
  <c r="Q48" i="19"/>
  <c r="Q71" i="19"/>
  <c r="Q17" i="19"/>
  <c r="AB26" i="19"/>
  <c r="AM14" i="19"/>
  <c r="AX9" i="19"/>
  <c r="AM26" i="19"/>
  <c r="AB64" i="19"/>
  <c r="Q8" i="19"/>
  <c r="AB10" i="19"/>
  <c r="AB14" i="19"/>
  <c r="AM8" i="19"/>
  <c r="Q5" i="19"/>
  <c r="Q13" i="19"/>
  <c r="AB60" i="19"/>
  <c r="AB21" i="19"/>
  <c r="AB43" i="19"/>
  <c r="AB29" i="19"/>
  <c r="F30" i="19"/>
  <c r="Q36" i="19"/>
  <c r="Q58" i="19"/>
  <c r="AB53" i="19"/>
  <c r="Q18" i="19"/>
  <c r="AX18" i="19"/>
  <c r="AM27" i="19"/>
  <c r="AB33" i="19"/>
  <c r="AB71" i="19"/>
  <c r="AM32" i="19"/>
  <c r="AB28" i="19"/>
  <c r="Q50" i="19"/>
  <c r="Q72" i="19"/>
  <c r="AX14" i="19"/>
  <c r="F4" i="19"/>
  <c r="AB31" i="19"/>
  <c r="AX10" i="19"/>
  <c r="Q57" i="19"/>
  <c r="F14" i="19"/>
  <c r="F21" i="19"/>
  <c r="AB72" i="19"/>
  <c r="Q14" i="19"/>
  <c r="Q10" i="19"/>
  <c r="AB65" i="19"/>
  <c r="Q28" i="19"/>
  <c r="Q19" i="19"/>
  <c r="Q60" i="19"/>
  <c r="F7" i="19"/>
  <c r="AB52" i="19"/>
  <c r="AB55" i="19"/>
  <c r="AB61" i="19"/>
  <c r="AB69" i="19"/>
  <c r="AB49" i="19"/>
  <c r="AB42" i="19"/>
  <c r="Q34" i="19"/>
  <c r="AB34" i="19"/>
  <c r="F8" i="19"/>
  <c r="Q61" i="19"/>
  <c r="AB23" i="19"/>
  <c r="AB58" i="19"/>
  <c r="AX20" i="19"/>
  <c r="AM13" i="19"/>
  <c r="AB15" i="19"/>
  <c r="F6" i="19"/>
  <c r="Q55" i="19"/>
  <c r="AM29" i="19"/>
  <c r="Q62" i="19"/>
  <c r="F25" i="19"/>
  <c r="F24" i="19"/>
  <c r="Q76" i="19"/>
  <c r="Q30" i="19"/>
  <c r="AB48" i="19"/>
  <c r="F20" i="19"/>
  <c r="AB19" i="19"/>
  <c r="AB9" i="19"/>
  <c r="AM16" i="19"/>
  <c r="F19" i="19"/>
  <c r="AB18" i="19"/>
  <c r="Q9" i="19"/>
  <c r="AB35" i="19"/>
  <c r="Q47" i="19"/>
  <c r="F13" i="19"/>
  <c r="AB40" i="19"/>
  <c r="AM31" i="19"/>
  <c r="AX3" i="19"/>
  <c r="Q42" i="19"/>
  <c r="AM25" i="19"/>
  <c r="F11" i="19"/>
  <c r="AB20" i="19"/>
  <c r="Q23" i="19"/>
  <c r="AM19" i="19"/>
  <c r="Q20" i="19"/>
  <c r="Q15" i="19"/>
  <c r="Q4" i="19"/>
  <c r="AB63" i="19"/>
  <c r="AB47" i="19"/>
  <c r="Q77" i="19"/>
  <c r="AB75" i="19"/>
  <c r="Q45" i="19"/>
  <c r="AM6" i="19"/>
  <c r="AB22" i="19"/>
  <c r="Q67" i="19"/>
  <c r="AM20" i="19"/>
  <c r="AM22" i="19"/>
  <c r="AX17" i="19"/>
  <c r="AB67" i="19"/>
  <c r="Q70" i="19"/>
  <c r="AB45" i="19"/>
  <c r="AX16" i="19"/>
  <c r="Q22" i="19"/>
  <c r="Q52" i="19"/>
  <c r="AB27" i="19"/>
  <c r="AX4" i="19"/>
  <c r="AX19" i="19"/>
  <c r="AB39" i="19"/>
  <c r="AB57" i="19"/>
  <c r="AB12" i="19"/>
  <c r="F9" i="19"/>
  <c r="Q68" i="19"/>
  <c r="F3" i="19"/>
  <c r="AB62" i="19"/>
  <c r="AM15" i="19"/>
  <c r="AM12" i="19"/>
  <c r="AB16" i="19"/>
  <c r="F5" i="19"/>
  <c r="Q35" i="19"/>
  <c r="AB51" i="19"/>
  <c r="Q75" i="19"/>
  <c r="AX12" i="19"/>
  <c r="F16" i="19"/>
  <c r="Q21" i="19"/>
  <c r="AB46" i="19"/>
  <c r="Q6" i="19"/>
  <c r="Q46" i="19"/>
  <c r="AB7" i="19"/>
  <c r="AX21" i="19"/>
  <c r="AM7" i="19"/>
  <c r="AB77" i="19"/>
  <c r="AX6" i="19"/>
  <c r="AM3" i="19"/>
  <c r="Q40" i="19"/>
  <c r="Q65" i="19"/>
  <c r="AB37" i="19"/>
  <c r="AM23" i="19"/>
  <c r="AB24" i="19"/>
  <c r="F15" i="19"/>
  <c r="AB36" i="19"/>
  <c r="Q26" i="19"/>
  <c r="Q39" i="19"/>
  <c r="AB73" i="19"/>
  <c r="Q37" i="19"/>
  <c r="AM4" i="19"/>
  <c r="Q63" i="19"/>
  <c r="AM28" i="19"/>
  <c r="AM24" i="19"/>
  <c r="Q3" i="19"/>
  <c r="Q74" i="19"/>
  <c r="AB11" i="19"/>
  <c r="Q43" i="19"/>
  <c r="Q44" i="19"/>
  <c r="AX22" i="19"/>
  <c r="F32" i="19"/>
  <c r="Q16" i="19"/>
  <c r="AX5" i="19"/>
  <c r="AM21" i="19"/>
  <c r="AB44" i="19"/>
  <c r="AM10" i="19"/>
  <c r="Q69" i="19"/>
  <c r="Q7" i="19"/>
  <c r="AB30" i="19"/>
  <c r="Q12" i="19"/>
  <c r="AB76" i="19"/>
  <c r="F22" i="19"/>
  <c r="AB38" i="19"/>
  <c r="AM18" i="19"/>
  <c r="AB3" i="19"/>
  <c r="Q29" i="19"/>
  <c r="F28" i="19"/>
  <c r="F12" i="19"/>
  <c r="Q11" i="19"/>
  <c r="Q32" i="19"/>
  <c r="AB32" i="19"/>
  <c r="AB74" i="19"/>
  <c r="AM11" i="19"/>
  <c r="F29" i="19"/>
  <c r="AX15" i="19"/>
  <c r="AX8" i="19"/>
  <c r="AB50" i="19"/>
  <c r="Q24" i="19"/>
  <c r="F18" i="19"/>
  <c r="AB56" i="19"/>
  <c r="Q73" i="19"/>
  <c r="Q49" i="19"/>
  <c r="F23" i="19"/>
  <c r="AB41" i="19"/>
  <c r="AM5" i="19"/>
  <c r="AM17" i="19"/>
  <c r="F10" i="19"/>
  <c r="Q27" i="19"/>
  <c r="AB66" i="19"/>
  <c r="Q56" i="19"/>
  <c r="AB70" i="19"/>
  <c r="AB17" i="19"/>
  <c r="Q66" i="19"/>
  <c r="Q31" i="19"/>
  <c r="Q25" i="19"/>
  <c r="AB13" i="19"/>
  <c r="Q59" i="19"/>
  <c r="AB4" i="19"/>
  <c r="AX13" i="19"/>
  <c r="AB8" i="19"/>
  <c r="Q53" i="19"/>
  <c r="AB68" i="19"/>
  <c r="F27" i="19"/>
  <c r="AM9" i="19"/>
  <c r="F26" i="19"/>
  <c r="AB54" i="19"/>
  <c r="AB5" i="19"/>
  <c r="F17" i="19"/>
  <c r="AB59" i="19"/>
  <c r="Q54" i="19"/>
  <c r="AX7" i="19"/>
  <c r="Q33" i="19"/>
  <c r="Q41" i="19"/>
  <c r="AA7" i="13" l="1"/>
  <c r="Q7" i="13"/>
  <c r="V7" i="13"/>
  <c r="L7" i="13"/>
  <c r="B7" i="13"/>
  <c r="G7" i="13"/>
  <c r="S22" i="3"/>
  <c r="T22" i="3" s="1"/>
  <c r="S5" i="3"/>
  <c r="S6" i="3"/>
  <c r="Z6" i="3" s="1"/>
  <c r="S7" i="3"/>
  <c r="AD7" i="3" s="1"/>
  <c r="S8" i="3"/>
  <c r="T8" i="3" s="1"/>
  <c r="S9" i="3"/>
  <c r="Z9" i="3" s="1"/>
  <c r="S10" i="3"/>
  <c r="V10" i="3" s="1"/>
  <c r="S11" i="3"/>
  <c r="T11" i="3" s="1"/>
  <c r="S12" i="3"/>
  <c r="AB12" i="3" s="1"/>
  <c r="S13" i="3"/>
  <c r="T13" i="3" s="1"/>
  <c r="S14" i="3"/>
  <c r="V14" i="3" s="1"/>
  <c r="S15" i="3"/>
  <c r="AB15" i="3" s="1"/>
  <c r="S16" i="3"/>
  <c r="T16" i="3" s="1"/>
  <c r="S17" i="3"/>
  <c r="X17" i="3" s="1"/>
  <c r="S18" i="3"/>
  <c r="AD18" i="3" s="1"/>
  <c r="S19" i="3"/>
  <c r="T19" i="3" s="1"/>
  <c r="S20" i="3"/>
  <c r="X20" i="3" s="1"/>
  <c r="S21" i="3"/>
  <c r="T21" i="3" s="1"/>
  <c r="AB19" i="3" l="1"/>
  <c r="AD14" i="3"/>
  <c r="X6" i="3"/>
  <c r="AD11" i="3"/>
  <c r="V17" i="3"/>
  <c r="X9" i="3"/>
  <c r="Z20" i="3"/>
  <c r="T14" i="3"/>
  <c r="T9" i="3"/>
  <c r="AB13" i="3"/>
  <c r="AB18" i="3"/>
  <c r="X10" i="3"/>
  <c r="Z16" i="3"/>
  <c r="AD21" i="3"/>
  <c r="AD10" i="3"/>
  <c r="Z15" i="3"/>
  <c r="V20" i="3"/>
  <c r="AB7" i="3"/>
  <c r="X12" i="3"/>
  <c r="Z12" i="3"/>
  <c r="V9" i="3"/>
  <c r="AD13" i="3"/>
  <c r="Z18" i="3"/>
  <c r="V6" i="3"/>
  <c r="AB10" i="3"/>
  <c r="X15" i="3"/>
  <c r="T20" i="3"/>
  <c r="Z7" i="3"/>
  <c r="V12" i="3"/>
  <c r="AD16" i="3"/>
  <c r="Z21" i="3"/>
  <c r="T17" i="3"/>
  <c r="AB21" i="3"/>
  <c r="X18" i="3"/>
  <c r="T6" i="3"/>
  <c r="U6" i="3" s="1"/>
  <c r="Z10" i="3"/>
  <c r="V15" i="3"/>
  <c r="AD19" i="3"/>
  <c r="X7" i="3"/>
  <c r="T12" i="3"/>
  <c r="AB16" i="3"/>
  <c r="X21" i="3"/>
  <c r="AD8" i="3"/>
  <c r="Z13" i="3"/>
  <c r="V21" i="3"/>
  <c r="AB8" i="3"/>
  <c r="X13" i="3"/>
  <c r="T18" i="3"/>
  <c r="AB22" i="3"/>
  <c r="T15" i="3"/>
  <c r="V7" i="3"/>
  <c r="V18" i="3"/>
  <c r="AD22" i="3"/>
  <c r="Z19" i="3"/>
  <c r="T7" i="3"/>
  <c r="U7" i="3" s="1"/>
  <c r="AB11" i="3"/>
  <c r="X16" i="3"/>
  <c r="Z8" i="3"/>
  <c r="V13" i="3"/>
  <c r="AD17" i="3"/>
  <c r="Z22" i="3"/>
  <c r="T10" i="3"/>
  <c r="AB14" i="3"/>
  <c r="Z11" i="3"/>
  <c r="V16" i="3"/>
  <c r="AD20" i="3"/>
  <c r="X8" i="3"/>
  <c r="AB17" i="3"/>
  <c r="X22" i="3"/>
  <c r="AD9" i="3"/>
  <c r="Z14" i="3"/>
  <c r="V19" i="3"/>
  <c r="AD6" i="3"/>
  <c r="X19" i="3"/>
  <c r="AB20" i="3"/>
  <c r="V8" i="3"/>
  <c r="AD12" i="3"/>
  <c r="Z17" i="3"/>
  <c r="V22" i="3"/>
  <c r="AB9" i="3"/>
  <c r="X14" i="3"/>
  <c r="AB6" i="3"/>
  <c r="V11" i="3"/>
  <c r="AD15" i="3"/>
  <c r="X11" i="3"/>
  <c r="L8" i="13"/>
  <c r="V8" i="13"/>
  <c r="G8" i="13"/>
  <c r="Q8" i="13"/>
  <c r="B8" i="13"/>
  <c r="AA8" i="13"/>
  <c r="G9" i="13" l="1"/>
  <c r="AA9" i="13"/>
  <c r="V9" i="13"/>
  <c r="Q9" i="13"/>
  <c r="B9" i="13"/>
  <c r="L9" i="13"/>
  <c r="Q10" i="13" l="1"/>
  <c r="V10" i="13"/>
  <c r="B10" i="13"/>
  <c r="L10" i="13"/>
  <c r="AA10" i="13"/>
  <c r="G10" i="13"/>
  <c r="Q11" i="13" l="1"/>
  <c r="L11" i="13"/>
  <c r="B11" i="13"/>
  <c r="AA11" i="13"/>
  <c r="G11" i="13"/>
  <c r="V11" i="13"/>
  <c r="AA12" i="13" l="1"/>
  <c r="B12" i="13"/>
  <c r="G12" i="13"/>
  <c r="V12" i="13"/>
  <c r="L12" i="13"/>
  <c r="Q12" i="13"/>
  <c r="V13" i="13" l="1"/>
  <c r="L13" i="13"/>
  <c r="AA13" i="13"/>
  <c r="G13" i="13"/>
  <c r="Q13" i="13"/>
  <c r="B13" i="13"/>
  <c r="G14" i="13" l="1"/>
  <c r="AA14" i="13"/>
  <c r="AA15" i="13" s="1"/>
  <c r="AA16" i="13" s="1"/>
  <c r="AA17" i="13" s="1"/>
  <c r="AA18" i="13" s="1"/>
  <c r="AA19" i="13" s="1"/>
  <c r="AA20" i="13" s="1"/>
  <c r="AA21" i="13" s="1"/>
  <c r="AA22" i="13" s="1"/>
  <c r="AA23" i="13" s="1"/>
  <c r="Q14" i="13"/>
  <c r="V14" i="13"/>
  <c r="V15" i="13" s="1"/>
  <c r="V16" i="13" s="1"/>
  <c r="V17" i="13" s="1"/>
  <c r="V18" i="13" s="1"/>
  <c r="V19" i="13" s="1"/>
  <c r="V20" i="13" s="1"/>
  <c r="V21" i="13" s="1"/>
  <c r="V22" i="13" s="1"/>
  <c r="V23" i="13" s="1"/>
  <c r="B14" i="13"/>
  <c r="L14" i="13"/>
  <c r="N3" i="9"/>
  <c r="G39" i="3" l="1"/>
  <c r="G37" i="3"/>
  <c r="G38" i="3"/>
  <c r="G36" i="3"/>
  <c r="B15" i="13"/>
  <c r="G15" i="13"/>
  <c r="Q15" i="13"/>
  <c r="L15" i="13"/>
  <c r="F38" i="3" l="1"/>
  <c r="F39" i="3"/>
  <c r="F37" i="3"/>
  <c r="G40" i="3"/>
  <c r="F36" i="3"/>
  <c r="F40" i="3"/>
  <c r="L16" i="13"/>
  <c r="B16" i="13"/>
  <c r="Q16" i="13"/>
  <c r="G16" i="13"/>
  <c r="C4" i="9"/>
  <c r="B4" i="9" s="1"/>
  <c r="C5" i="9"/>
  <c r="B5" i="9" s="1"/>
  <c r="C6" i="9"/>
  <c r="B6" i="9" s="1"/>
  <c r="C7" i="9"/>
  <c r="B7" i="9" s="1"/>
  <c r="C8" i="9"/>
  <c r="B8" i="9" s="1"/>
  <c r="C9" i="9"/>
  <c r="B9" i="9" s="1"/>
  <c r="C10" i="9"/>
  <c r="B10" i="9" s="1"/>
  <c r="C11" i="9"/>
  <c r="B11" i="9" s="1"/>
  <c r="C12" i="9"/>
  <c r="B12" i="9" s="1"/>
  <c r="C13" i="9"/>
  <c r="B13" i="9" s="1"/>
  <c r="C14" i="9"/>
  <c r="B14" i="9" s="1"/>
  <c r="C15" i="9"/>
  <c r="B15" i="9" s="1"/>
  <c r="C16" i="9"/>
  <c r="B16" i="9" s="1"/>
  <c r="C17" i="9"/>
  <c r="B17" i="9" s="1"/>
  <c r="C18" i="9"/>
  <c r="B18" i="9" s="1"/>
  <c r="C19" i="9"/>
  <c r="B19" i="9" s="1"/>
  <c r="C20" i="9"/>
  <c r="B20" i="9" s="1"/>
  <c r="C21" i="9"/>
  <c r="B21" i="9" s="1"/>
  <c r="C22" i="9"/>
  <c r="B22" i="9" s="1"/>
  <c r="C23" i="9"/>
  <c r="B23" i="9" s="1"/>
  <c r="C24" i="9"/>
  <c r="B24" i="9" s="1"/>
  <c r="C25" i="9"/>
  <c r="B25" i="9" s="1"/>
  <c r="C26" i="9"/>
  <c r="B26" i="9" s="1"/>
  <c r="C27" i="9"/>
  <c r="B27" i="9" s="1"/>
  <c r="C28" i="9"/>
  <c r="B28" i="9" s="1"/>
  <c r="C29" i="9"/>
  <c r="B29" i="9" s="1"/>
  <c r="C30" i="9"/>
  <c r="B30" i="9" s="1"/>
  <c r="C31" i="9"/>
  <c r="B31" i="9" s="1"/>
  <c r="C32" i="9"/>
  <c r="B32" i="9" s="1"/>
  <c r="C33" i="9"/>
  <c r="B33" i="9" s="1"/>
  <c r="C34" i="9"/>
  <c r="B34" i="9" s="1"/>
  <c r="C35" i="9"/>
  <c r="B35" i="9" s="1"/>
  <c r="C36" i="9"/>
  <c r="B36" i="9" s="1"/>
  <c r="C37" i="9"/>
  <c r="B37" i="9" s="1"/>
  <c r="C38" i="9"/>
  <c r="B38" i="9" s="1"/>
  <c r="C39" i="9"/>
  <c r="B39" i="9" s="1"/>
  <c r="C40" i="9"/>
  <c r="B40" i="9" s="1"/>
  <c r="C41" i="9"/>
  <c r="B41" i="9" s="1"/>
  <c r="C42" i="9"/>
  <c r="B42" i="9" s="1"/>
  <c r="C43" i="9"/>
  <c r="B43" i="9" s="1"/>
  <c r="C44" i="9"/>
  <c r="B44" i="9" s="1"/>
  <c r="C45" i="9"/>
  <c r="B45" i="9" s="1"/>
  <c r="C46" i="9"/>
  <c r="B46" i="9" s="1"/>
  <c r="C47" i="9"/>
  <c r="B47" i="9" s="1"/>
  <c r="C48" i="9"/>
  <c r="B48" i="9" s="1"/>
  <c r="C49" i="9"/>
  <c r="B49" i="9" s="1"/>
  <c r="C50" i="9"/>
  <c r="B50" i="9" s="1"/>
  <c r="C51" i="9"/>
  <c r="B51" i="9" s="1"/>
  <c r="C52" i="9"/>
  <c r="B52" i="9" s="1"/>
  <c r="C53" i="9"/>
  <c r="B53" i="9" s="1"/>
  <c r="C54" i="9"/>
  <c r="B54" i="9" s="1"/>
  <c r="C55" i="9"/>
  <c r="B55" i="9" s="1"/>
  <c r="C56" i="9"/>
  <c r="B56" i="9" s="1"/>
  <c r="C57" i="9"/>
  <c r="B57" i="9" s="1"/>
  <c r="C58" i="9"/>
  <c r="B58" i="9" s="1"/>
  <c r="C59" i="9"/>
  <c r="B59" i="9" s="1"/>
  <c r="C60" i="9"/>
  <c r="B60" i="9" s="1"/>
  <c r="C61" i="9"/>
  <c r="B61" i="9" s="1"/>
  <c r="C62" i="9"/>
  <c r="B62" i="9" s="1"/>
  <c r="C63" i="9"/>
  <c r="B63" i="9" s="1"/>
  <c r="C64" i="9"/>
  <c r="B64" i="9" s="1"/>
  <c r="C65" i="9"/>
  <c r="B65" i="9" s="1"/>
  <c r="C66" i="9"/>
  <c r="B66" i="9" s="1"/>
  <c r="C67" i="9"/>
  <c r="B67" i="9" s="1"/>
  <c r="C68" i="9"/>
  <c r="B68" i="9" s="1"/>
  <c r="C69" i="9"/>
  <c r="B69" i="9" s="1"/>
  <c r="C70" i="9"/>
  <c r="B70" i="9" s="1"/>
  <c r="C71" i="9"/>
  <c r="B71" i="9" s="1"/>
  <c r="C72" i="9"/>
  <c r="B72" i="9" s="1"/>
  <c r="C73" i="9"/>
  <c r="B73" i="9" s="1"/>
  <c r="C74" i="9"/>
  <c r="B74" i="9" s="1"/>
  <c r="C75" i="9"/>
  <c r="B75" i="9" s="1"/>
  <c r="C76" i="9"/>
  <c r="B76" i="9" s="1"/>
  <c r="C77" i="9"/>
  <c r="B77" i="9" s="1"/>
  <c r="C78" i="9"/>
  <c r="B78" i="9" s="1"/>
  <c r="C79" i="9"/>
  <c r="B79" i="9" s="1"/>
  <c r="C80" i="9"/>
  <c r="B80" i="9" s="1"/>
  <c r="C81" i="9"/>
  <c r="B81" i="9" s="1"/>
  <c r="C82" i="9"/>
  <c r="B82" i="9" s="1"/>
  <c r="C83" i="9"/>
  <c r="B83" i="9" s="1"/>
  <c r="C84" i="9"/>
  <c r="B84" i="9" s="1"/>
  <c r="C85" i="9"/>
  <c r="B85" i="9" s="1"/>
  <c r="C86" i="9"/>
  <c r="B86" i="9" s="1"/>
  <c r="C87" i="9"/>
  <c r="B87" i="9" s="1"/>
  <c r="C88" i="9"/>
  <c r="B88" i="9" s="1"/>
  <c r="C89" i="9"/>
  <c r="B89" i="9" s="1"/>
  <c r="C90" i="9"/>
  <c r="B90" i="9" s="1"/>
  <c r="C91" i="9"/>
  <c r="B91" i="9" s="1"/>
  <c r="C92" i="9"/>
  <c r="B92" i="9" s="1"/>
  <c r="C93" i="9"/>
  <c r="B93" i="9" s="1"/>
  <c r="C94" i="9"/>
  <c r="B94" i="9" s="1"/>
  <c r="C95" i="9"/>
  <c r="B95" i="9" s="1"/>
  <c r="C96" i="9"/>
  <c r="B96" i="9" s="1"/>
  <c r="C97" i="9"/>
  <c r="B97" i="9" s="1"/>
  <c r="C98" i="9"/>
  <c r="B98" i="9" s="1"/>
  <c r="C99" i="9"/>
  <c r="B99" i="9" s="1"/>
  <c r="C100" i="9"/>
  <c r="B100" i="9" s="1"/>
  <c r="C101" i="9"/>
  <c r="B101" i="9" s="1"/>
  <c r="C102" i="9"/>
  <c r="B102" i="9" s="1"/>
  <c r="C103" i="9"/>
  <c r="B103" i="9" s="1"/>
  <c r="C104" i="9"/>
  <c r="B104" i="9" s="1"/>
  <c r="C105" i="9"/>
  <c r="B105" i="9" s="1"/>
  <c r="C106" i="9"/>
  <c r="B106" i="9" s="1"/>
  <c r="C107" i="9"/>
  <c r="B107" i="9" s="1"/>
  <c r="C108" i="9"/>
  <c r="B108" i="9" s="1"/>
  <c r="C109" i="9"/>
  <c r="B109" i="9" s="1"/>
  <c r="C110" i="9"/>
  <c r="B110" i="9" s="1"/>
  <c r="C111" i="9"/>
  <c r="B111" i="9" s="1"/>
  <c r="C112" i="9"/>
  <c r="B112" i="9" s="1"/>
  <c r="C113" i="9"/>
  <c r="B113" i="9" s="1"/>
  <c r="C114" i="9"/>
  <c r="B114" i="9" s="1"/>
  <c r="C115" i="9"/>
  <c r="B115" i="9" s="1"/>
  <c r="C116" i="9"/>
  <c r="B116" i="9" s="1"/>
  <c r="C117" i="9"/>
  <c r="B117" i="9" s="1"/>
  <c r="C118" i="9"/>
  <c r="B118" i="9" s="1"/>
  <c r="C119" i="9"/>
  <c r="B119" i="9" s="1"/>
  <c r="C120" i="9"/>
  <c r="B120" i="9" s="1"/>
  <c r="C121" i="9"/>
  <c r="B121" i="9" s="1"/>
  <c r="C122" i="9"/>
  <c r="B122" i="9" s="1"/>
  <c r="C123" i="9"/>
  <c r="B123" i="9" s="1"/>
  <c r="C124" i="9"/>
  <c r="B124" i="9" s="1"/>
  <c r="C125" i="9"/>
  <c r="B125" i="9" s="1"/>
  <c r="C126" i="9"/>
  <c r="B126" i="9" s="1"/>
  <c r="C127" i="9"/>
  <c r="B127" i="9" s="1"/>
  <c r="C128" i="9"/>
  <c r="B128" i="9" s="1"/>
  <c r="C129" i="9"/>
  <c r="B129" i="9" s="1"/>
  <c r="C130" i="9"/>
  <c r="B130" i="9" s="1"/>
  <c r="C131" i="9"/>
  <c r="B131" i="9" s="1"/>
  <c r="C132" i="9"/>
  <c r="B132" i="9" s="1"/>
  <c r="C133" i="9"/>
  <c r="B133" i="9" s="1"/>
  <c r="C134" i="9"/>
  <c r="B134" i="9" s="1"/>
  <c r="C135" i="9"/>
  <c r="B135" i="9" s="1"/>
  <c r="C136" i="9"/>
  <c r="B136" i="9" s="1"/>
  <c r="C137" i="9"/>
  <c r="B137" i="9" s="1"/>
  <c r="C138" i="9"/>
  <c r="B138" i="9" s="1"/>
  <c r="C139" i="9"/>
  <c r="B139" i="9" s="1"/>
  <c r="C140" i="9"/>
  <c r="B140" i="9" s="1"/>
  <c r="C141" i="9"/>
  <c r="B141" i="9" s="1"/>
  <c r="C142" i="9"/>
  <c r="B142" i="9" s="1"/>
  <c r="C143" i="9"/>
  <c r="B143" i="9" s="1"/>
  <c r="C144" i="9"/>
  <c r="B144" i="9" s="1"/>
  <c r="C145" i="9"/>
  <c r="B145" i="9" s="1"/>
  <c r="C146" i="9"/>
  <c r="B146" i="9" s="1"/>
  <c r="C147" i="9"/>
  <c r="B147" i="9" s="1"/>
  <c r="C148" i="9"/>
  <c r="B148" i="9" s="1"/>
  <c r="C149" i="9"/>
  <c r="B149" i="9" s="1"/>
  <c r="C150" i="9"/>
  <c r="B150" i="9" s="1"/>
  <c r="C151" i="9"/>
  <c r="B151" i="9" s="1"/>
  <c r="C152" i="9"/>
  <c r="B152" i="9" s="1"/>
  <c r="C153" i="9"/>
  <c r="B153" i="9" s="1"/>
  <c r="C154" i="9"/>
  <c r="B154" i="9" s="1"/>
  <c r="C155" i="9"/>
  <c r="B155" i="9" s="1"/>
  <c r="C156" i="9"/>
  <c r="B156" i="9" s="1"/>
  <c r="C157" i="9"/>
  <c r="B157" i="9" s="1"/>
  <c r="C158" i="9"/>
  <c r="B158" i="9" s="1"/>
  <c r="C159" i="9"/>
  <c r="B159" i="9" s="1"/>
  <c r="C160" i="9"/>
  <c r="B160" i="9" s="1"/>
  <c r="C161" i="9"/>
  <c r="B161" i="9" s="1"/>
  <c r="C162" i="9"/>
  <c r="B162" i="9" s="1"/>
  <c r="C163" i="9"/>
  <c r="B163" i="9" s="1"/>
  <c r="C164" i="9"/>
  <c r="B164" i="9" s="1"/>
  <c r="C165" i="9"/>
  <c r="B165" i="9" s="1"/>
  <c r="C166" i="9"/>
  <c r="B166" i="9" s="1"/>
  <c r="C167" i="9"/>
  <c r="B167" i="9" s="1"/>
  <c r="C168" i="9"/>
  <c r="B168" i="9" s="1"/>
  <c r="C169" i="9"/>
  <c r="B169" i="9" s="1"/>
  <c r="C170" i="9"/>
  <c r="B170" i="9" s="1"/>
  <c r="C171" i="9"/>
  <c r="B171" i="9" s="1"/>
  <c r="C172" i="9"/>
  <c r="B172" i="9" s="1"/>
  <c r="C173" i="9"/>
  <c r="B173" i="9" s="1"/>
  <c r="C174" i="9"/>
  <c r="B174" i="9" s="1"/>
  <c r="C175" i="9"/>
  <c r="B175" i="9" s="1"/>
  <c r="C176" i="9"/>
  <c r="B176" i="9" s="1"/>
  <c r="C177" i="9"/>
  <c r="B177" i="9" s="1"/>
  <c r="C178" i="9"/>
  <c r="B178" i="9" s="1"/>
  <c r="C179" i="9"/>
  <c r="B179" i="9" s="1"/>
  <c r="C180" i="9"/>
  <c r="B180" i="9" s="1"/>
  <c r="C181" i="9"/>
  <c r="B181" i="9" s="1"/>
  <c r="C182" i="9"/>
  <c r="B182" i="9" s="1"/>
  <c r="C183" i="9"/>
  <c r="B183" i="9" s="1"/>
  <c r="C184" i="9"/>
  <c r="B184" i="9" s="1"/>
  <c r="C185" i="9"/>
  <c r="B185" i="9" s="1"/>
  <c r="C186" i="9"/>
  <c r="B186" i="9" s="1"/>
  <c r="C187" i="9"/>
  <c r="B187" i="9" s="1"/>
  <c r="C188" i="9"/>
  <c r="B188" i="9" s="1"/>
  <c r="C189" i="9"/>
  <c r="B189" i="9" s="1"/>
  <c r="C190" i="9"/>
  <c r="B190" i="9" s="1"/>
  <c r="C191" i="9"/>
  <c r="B191" i="9" s="1"/>
  <c r="C192" i="9"/>
  <c r="B192" i="9" s="1"/>
  <c r="C193" i="9"/>
  <c r="B193" i="9" s="1"/>
  <c r="C194" i="9"/>
  <c r="B194" i="9" s="1"/>
  <c r="C195" i="9"/>
  <c r="B195" i="9" s="1"/>
  <c r="C196" i="9"/>
  <c r="B196" i="9" s="1"/>
  <c r="C197" i="9"/>
  <c r="B197" i="9" s="1"/>
  <c r="C198" i="9"/>
  <c r="B198" i="9" s="1"/>
  <c r="C199" i="9"/>
  <c r="B199" i="9" s="1"/>
  <c r="C200" i="9"/>
  <c r="B200" i="9" s="1"/>
  <c r="C201" i="9"/>
  <c r="B201" i="9" s="1"/>
  <c r="C202" i="9"/>
  <c r="B202" i="9" s="1"/>
  <c r="C203" i="9"/>
  <c r="B203" i="9" s="1"/>
  <c r="C204" i="9"/>
  <c r="B204" i="9" s="1"/>
  <c r="C205" i="9"/>
  <c r="B205" i="9" s="1"/>
  <c r="C206" i="9"/>
  <c r="B206" i="9" s="1"/>
  <c r="C207" i="9"/>
  <c r="B207" i="9" s="1"/>
  <c r="C208" i="9"/>
  <c r="B208" i="9" s="1"/>
  <c r="C209" i="9"/>
  <c r="B209" i="9" s="1"/>
  <c r="C210" i="9"/>
  <c r="B210" i="9" s="1"/>
  <c r="C211" i="9"/>
  <c r="B211" i="9" s="1"/>
  <c r="C212" i="9"/>
  <c r="B212" i="9" s="1"/>
  <c r="C213" i="9"/>
  <c r="B213" i="9" s="1"/>
  <c r="C214" i="9"/>
  <c r="B214" i="9" s="1"/>
  <c r="C215" i="9"/>
  <c r="B215" i="9" s="1"/>
  <c r="C216" i="9"/>
  <c r="B216" i="9" s="1"/>
  <c r="C217" i="9"/>
  <c r="B217" i="9" s="1"/>
  <c r="C218" i="9"/>
  <c r="B218" i="9" s="1"/>
  <c r="C219" i="9"/>
  <c r="B219" i="9" s="1"/>
  <c r="C220" i="9"/>
  <c r="B220" i="9" s="1"/>
  <c r="C221" i="9"/>
  <c r="B221" i="9" s="1"/>
  <c r="C222" i="9"/>
  <c r="B222" i="9" s="1"/>
  <c r="C223" i="9"/>
  <c r="B223" i="9" s="1"/>
  <c r="C224" i="9"/>
  <c r="B224" i="9" s="1"/>
  <c r="C225" i="9"/>
  <c r="B225" i="9" s="1"/>
  <c r="C226" i="9"/>
  <c r="B226" i="9" s="1"/>
  <c r="C227" i="9"/>
  <c r="B227" i="9" s="1"/>
  <c r="C228" i="9"/>
  <c r="B228" i="9" s="1"/>
  <c r="C229" i="9"/>
  <c r="B229" i="9" s="1"/>
  <c r="C230" i="9"/>
  <c r="B230" i="9" s="1"/>
  <c r="C231" i="9"/>
  <c r="B231" i="9" s="1"/>
  <c r="C232" i="9"/>
  <c r="B232" i="9" s="1"/>
  <c r="C233" i="9"/>
  <c r="B233" i="9" s="1"/>
  <c r="C234" i="9"/>
  <c r="B234" i="9" s="1"/>
  <c r="C235" i="9"/>
  <c r="B235" i="9" s="1"/>
  <c r="C236" i="9"/>
  <c r="B236" i="9" s="1"/>
  <c r="C237" i="9"/>
  <c r="B237" i="9" s="1"/>
  <c r="C238" i="9"/>
  <c r="B238" i="9" s="1"/>
  <c r="C239" i="9"/>
  <c r="B239" i="9" s="1"/>
  <c r="C240" i="9"/>
  <c r="B240" i="9" s="1"/>
  <c r="C241" i="9"/>
  <c r="B241" i="9" s="1"/>
  <c r="C242" i="9"/>
  <c r="B242" i="9" s="1"/>
  <c r="C243" i="9"/>
  <c r="B243" i="9" s="1"/>
  <c r="C244" i="9"/>
  <c r="B244" i="9" s="1"/>
  <c r="C245" i="9"/>
  <c r="B245" i="9" s="1"/>
  <c r="C246" i="9"/>
  <c r="B246" i="9" s="1"/>
  <c r="C247" i="9"/>
  <c r="B247" i="9" s="1"/>
  <c r="C248" i="9"/>
  <c r="B248" i="9" s="1"/>
  <c r="C249" i="9"/>
  <c r="B249" i="9" s="1"/>
  <c r="C250" i="9"/>
  <c r="B250" i="9" s="1"/>
  <c r="C251" i="9"/>
  <c r="B251" i="9" s="1"/>
  <c r="C252" i="9"/>
  <c r="B252" i="9" s="1"/>
  <c r="C253" i="9"/>
  <c r="B253" i="9" s="1"/>
  <c r="C254" i="9"/>
  <c r="B254" i="9" s="1"/>
  <c r="C3" i="9"/>
  <c r="B3" i="9" s="1"/>
  <c r="E38" i="3" l="1"/>
  <c r="H38" i="3" s="1"/>
  <c r="F21" i="3"/>
  <c r="X2" i="13" s="1"/>
  <c r="E37" i="3"/>
  <c r="E40" i="3"/>
  <c r="E39" i="3"/>
  <c r="E36" i="3"/>
  <c r="B17" i="13"/>
  <c r="L17" i="13"/>
  <c r="G17" i="13"/>
  <c r="Q17" i="13"/>
  <c r="F22" i="3"/>
  <c r="F20" i="3"/>
  <c r="F18" i="3"/>
  <c r="F19" i="3"/>
  <c r="F17" i="3"/>
  <c r="X2" i="4" l="1"/>
  <c r="S2" i="4"/>
  <c r="S2" i="13"/>
  <c r="AC2" i="13"/>
  <c r="AC2" i="4"/>
  <c r="D2" i="4"/>
  <c r="D2" i="13"/>
  <c r="N2" i="4"/>
  <c r="N4" i="4" s="1"/>
  <c r="N2" i="13"/>
  <c r="I2" i="4"/>
  <c r="I2" i="13"/>
  <c r="Q18" i="13"/>
  <c r="L18" i="13"/>
  <c r="G18" i="13"/>
  <c r="B18" i="13"/>
  <c r="AC4" i="4" l="1"/>
  <c r="X4" i="4"/>
  <c r="S4" i="4"/>
  <c r="D4" i="4"/>
  <c r="G19" i="13"/>
  <c r="B19" i="13"/>
  <c r="L19" i="13"/>
  <c r="Q19" i="13"/>
  <c r="Q20" i="13" l="1"/>
  <c r="B20" i="13"/>
  <c r="G20" i="13"/>
  <c r="L20" i="13"/>
  <c r="AB5" i="4"/>
  <c r="AB6" i="4"/>
  <c r="AB7" i="4"/>
  <c r="AB8" i="4"/>
  <c r="AB9" i="4"/>
  <c r="AB10" i="4"/>
  <c r="AB11" i="4"/>
  <c r="AB12" i="4"/>
  <c r="AB13" i="4"/>
  <c r="AB14" i="4"/>
  <c r="AB15" i="4"/>
  <c r="AB16" i="4"/>
  <c r="AB17" i="4"/>
  <c r="AB18" i="4"/>
  <c r="AB19" i="4"/>
  <c r="AB20" i="4"/>
  <c r="AB21" i="4"/>
  <c r="AB22" i="4"/>
  <c r="AB23" i="4"/>
  <c r="AB4" i="4"/>
  <c r="W5" i="4"/>
  <c r="W6" i="4"/>
  <c r="W7" i="4"/>
  <c r="W8" i="4"/>
  <c r="W9" i="4"/>
  <c r="W10" i="4"/>
  <c r="W11" i="4"/>
  <c r="W12" i="4"/>
  <c r="W13" i="4"/>
  <c r="W14" i="4"/>
  <c r="W15" i="4"/>
  <c r="W16" i="4"/>
  <c r="W17" i="4"/>
  <c r="W18" i="4"/>
  <c r="W19" i="4"/>
  <c r="W20" i="4"/>
  <c r="W21" i="4"/>
  <c r="W22" i="4"/>
  <c r="W23" i="4"/>
  <c r="W4" i="4"/>
  <c r="R5" i="4"/>
  <c r="R6" i="4"/>
  <c r="R7" i="4"/>
  <c r="R8" i="4"/>
  <c r="R9" i="4"/>
  <c r="R10" i="4"/>
  <c r="R11" i="4"/>
  <c r="R12" i="4"/>
  <c r="R13" i="4"/>
  <c r="R14" i="4"/>
  <c r="R15" i="4"/>
  <c r="R16" i="4"/>
  <c r="R17" i="4"/>
  <c r="R18" i="4"/>
  <c r="R19" i="4"/>
  <c r="R20" i="4"/>
  <c r="R21" i="4"/>
  <c r="R22" i="4"/>
  <c r="R23" i="4"/>
  <c r="R24" i="4"/>
  <c r="R25" i="4"/>
  <c r="R26" i="4"/>
  <c r="R27" i="4"/>
  <c r="R28" i="4"/>
  <c r="R29" i="4"/>
  <c r="R30" i="4"/>
  <c r="R31" i="4"/>
  <c r="R32" i="4"/>
  <c r="R33" i="4"/>
  <c r="R4" i="4"/>
  <c r="AA5" i="4"/>
  <c r="AC5" i="4" s="1"/>
  <c r="V5" i="4"/>
  <c r="X5" i="4" s="1"/>
  <c r="Q5" i="4"/>
  <c r="S5" i="4" s="1"/>
  <c r="L5" i="4"/>
  <c r="N5" i="4" s="1"/>
  <c r="M5" i="4"/>
  <c r="M6" i="4"/>
  <c r="M7" i="4"/>
  <c r="M8" i="4"/>
  <c r="M9" i="4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25" i="4"/>
  <c r="M26" i="4"/>
  <c r="M27" i="4"/>
  <c r="M28" i="4"/>
  <c r="M29" i="4"/>
  <c r="M30" i="4"/>
  <c r="M31" i="4"/>
  <c r="M32" i="4"/>
  <c r="M33" i="4"/>
  <c r="M34" i="4"/>
  <c r="M35" i="4"/>
  <c r="M36" i="4"/>
  <c r="M37" i="4"/>
  <c r="M38" i="4"/>
  <c r="M39" i="4"/>
  <c r="M40" i="4"/>
  <c r="M41" i="4"/>
  <c r="M42" i="4"/>
  <c r="M43" i="4"/>
  <c r="M44" i="4"/>
  <c r="M45" i="4"/>
  <c r="M46" i="4"/>
  <c r="M47" i="4"/>
  <c r="M48" i="4"/>
  <c r="M49" i="4"/>
  <c r="M50" i="4"/>
  <c r="M51" i="4"/>
  <c r="M52" i="4"/>
  <c r="M53" i="4"/>
  <c r="M54" i="4"/>
  <c r="M55" i="4"/>
  <c r="M56" i="4"/>
  <c r="M57" i="4"/>
  <c r="M58" i="4"/>
  <c r="M59" i="4"/>
  <c r="M60" i="4"/>
  <c r="M61" i="4"/>
  <c r="M62" i="4"/>
  <c r="M63" i="4"/>
  <c r="M64" i="4"/>
  <c r="M65" i="4"/>
  <c r="M66" i="4"/>
  <c r="M67" i="4"/>
  <c r="M68" i="4"/>
  <c r="M69" i="4"/>
  <c r="M70" i="4"/>
  <c r="M71" i="4"/>
  <c r="M72" i="4"/>
  <c r="M73" i="4"/>
  <c r="M74" i="4"/>
  <c r="M75" i="4"/>
  <c r="M76" i="4"/>
  <c r="M77" i="4"/>
  <c r="M78" i="4"/>
  <c r="M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4" i="4"/>
  <c r="D6" i="4" l="1"/>
  <c r="D5" i="4"/>
  <c r="Q21" i="13"/>
  <c r="L21" i="13"/>
  <c r="G21" i="13"/>
  <c r="B21" i="13"/>
  <c r="AA6" i="4"/>
  <c r="AC6" i="4" s="1"/>
  <c r="V6" i="4"/>
  <c r="X6" i="4" s="1"/>
  <c r="L6" i="4"/>
  <c r="N6" i="4" s="1"/>
  <c r="Q6" i="4"/>
  <c r="S6" i="4" s="1"/>
  <c r="BP2" i="5"/>
  <c r="BK2" i="5"/>
  <c r="BF2" i="5"/>
  <c r="BA2" i="5"/>
  <c r="AV2" i="5"/>
  <c r="AQ2" i="5"/>
  <c r="AL2" i="5"/>
  <c r="AG2" i="5"/>
  <c r="AB2" i="5"/>
  <c r="W2" i="5"/>
  <c r="R2" i="5"/>
  <c r="M2" i="5"/>
  <c r="H2" i="5"/>
  <c r="C2" i="5"/>
  <c r="D7" i="4" l="1"/>
  <c r="B22" i="13"/>
  <c r="G22" i="13"/>
  <c r="Q22" i="13"/>
  <c r="L22" i="13"/>
  <c r="Q7" i="4"/>
  <c r="S7" i="4" s="1"/>
  <c r="AA7" i="4"/>
  <c r="AC7" i="4" s="1"/>
  <c r="V7" i="4"/>
  <c r="X7" i="4" s="1"/>
  <c r="L7" i="4"/>
  <c r="N7" i="4" s="1"/>
  <c r="AA4" i="6"/>
  <c r="AA5" i="6" s="1"/>
  <c r="AA6" i="6" s="1"/>
  <c r="AA7" i="6" s="1"/>
  <c r="AA8" i="6" s="1"/>
  <c r="AA9" i="6" s="1"/>
  <c r="AA10" i="6" s="1"/>
  <c r="AA11" i="6" s="1"/>
  <c r="AA12" i="6" s="1"/>
  <c r="AA13" i="6" s="1"/>
  <c r="AA14" i="6" s="1"/>
  <c r="AA15" i="6" s="1"/>
  <c r="AA16" i="6" s="1"/>
  <c r="AA17" i="6" s="1"/>
  <c r="AA18" i="6" s="1"/>
  <c r="AA19" i="6" s="1"/>
  <c r="AA20" i="6" s="1"/>
  <c r="AA21" i="6" s="1"/>
  <c r="AA22" i="6" s="1"/>
  <c r="V4" i="6"/>
  <c r="V5" i="6" s="1"/>
  <c r="V6" i="6" s="1"/>
  <c r="V7" i="6" s="1"/>
  <c r="V8" i="6" s="1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Q4" i="6"/>
  <c r="Q5" i="6" s="1"/>
  <c r="Q6" i="6" s="1"/>
  <c r="Q7" i="6" s="1"/>
  <c r="Q8" i="6" s="1"/>
  <c r="Q9" i="6" s="1"/>
  <c r="Q10" i="6" s="1"/>
  <c r="Q11" i="6" s="1"/>
  <c r="Q12" i="6" s="1"/>
  <c r="Q13" i="6" s="1"/>
  <c r="Q14" i="6" s="1"/>
  <c r="Q15" i="6" s="1"/>
  <c r="Q16" i="6" s="1"/>
  <c r="Q17" i="6" s="1"/>
  <c r="Q18" i="6" s="1"/>
  <c r="Q19" i="6" s="1"/>
  <c r="Q20" i="6" s="1"/>
  <c r="Q21" i="6" s="1"/>
  <c r="Q22" i="6" s="1"/>
  <c r="Q23" i="6" s="1"/>
  <c r="L4" i="6"/>
  <c r="L5" i="6" s="1"/>
  <c r="L6" i="6" s="1"/>
  <c r="L7" i="6" s="1"/>
  <c r="L8" i="6" s="1"/>
  <c r="L9" i="6" s="1"/>
  <c r="L10" i="6" s="1"/>
  <c r="L11" i="6" s="1"/>
  <c r="L12" i="6" s="1"/>
  <c r="L13" i="6" s="1"/>
  <c r="L14" i="6" s="1"/>
  <c r="L15" i="6" s="1"/>
  <c r="L16" i="6" s="1"/>
  <c r="L17" i="6" s="1"/>
  <c r="L18" i="6" s="1"/>
  <c r="L19" i="6" s="1"/>
  <c r="L20" i="6" s="1"/>
  <c r="L21" i="6" s="1"/>
  <c r="L22" i="6" s="1"/>
  <c r="L23" i="6" s="1"/>
  <c r="G4" i="6"/>
  <c r="G5" i="6" s="1"/>
  <c r="G6" i="6" s="1"/>
  <c r="G7" i="6" s="1"/>
  <c r="G8" i="6" s="1"/>
  <c r="G9" i="6" s="1"/>
  <c r="G10" i="6" s="1"/>
  <c r="G11" i="6" s="1"/>
  <c r="G12" i="6" s="1"/>
  <c r="G13" i="6" s="1"/>
  <c r="G14" i="6" s="1"/>
  <c r="G15" i="6" s="1"/>
  <c r="G16" i="6" s="1"/>
  <c r="G17" i="6" s="1"/>
  <c r="G18" i="6" s="1"/>
  <c r="G19" i="6" s="1"/>
  <c r="G20" i="6" s="1"/>
  <c r="G21" i="6" s="1"/>
  <c r="G22" i="6" s="1"/>
  <c r="G23" i="6" s="1"/>
  <c r="G24" i="6" s="1"/>
  <c r="G25" i="6" s="1"/>
  <c r="G26" i="6" s="1"/>
  <c r="G27" i="6" s="1"/>
  <c r="G28" i="6" s="1"/>
  <c r="G29" i="6" s="1"/>
  <c r="G30" i="6" s="1"/>
  <c r="G31" i="6" s="1"/>
  <c r="G32" i="6" s="1"/>
  <c r="G33" i="6" s="1"/>
  <c r="G34" i="6" s="1"/>
  <c r="G35" i="6" s="1"/>
  <c r="G36" i="6" s="1"/>
  <c r="G37" i="6" s="1"/>
  <c r="G38" i="6" s="1"/>
  <c r="G39" i="6" s="1"/>
  <c r="G40" i="6" s="1"/>
  <c r="G41" i="6" s="1"/>
  <c r="G42" i="6" s="1"/>
  <c r="G43" i="6" s="1"/>
  <c r="G44" i="6" s="1"/>
  <c r="G45" i="6" s="1"/>
  <c r="G46" i="6" s="1"/>
  <c r="G47" i="6" s="1"/>
  <c r="G48" i="6" s="1"/>
  <c r="G49" i="6" s="1"/>
  <c r="G50" i="6" s="1"/>
  <c r="G51" i="6" s="1"/>
  <c r="G52" i="6" s="1"/>
  <c r="G53" i="6" s="1"/>
  <c r="G54" i="6" s="1"/>
  <c r="G55" i="6" s="1"/>
  <c r="G56" i="6" s="1"/>
  <c r="G57" i="6" s="1"/>
  <c r="G58" i="6" s="1"/>
  <c r="G59" i="6" s="1"/>
  <c r="G60" i="6" s="1"/>
  <c r="G61" i="6" s="1"/>
  <c r="G62" i="6" s="1"/>
  <c r="G63" i="6" s="1"/>
  <c r="G64" i="6" s="1"/>
  <c r="G65" i="6" s="1"/>
  <c r="G66" i="6" s="1"/>
  <c r="G67" i="6" s="1"/>
  <c r="G68" i="6" s="1"/>
  <c r="G69" i="6" s="1"/>
  <c r="G70" i="6" s="1"/>
  <c r="G71" i="6" s="1"/>
  <c r="G72" i="6" s="1"/>
  <c r="G73" i="6" s="1"/>
  <c r="G74" i="6" s="1"/>
  <c r="G75" i="6" s="1"/>
  <c r="G76" i="6" s="1"/>
  <c r="G77" i="6" s="1"/>
  <c r="B4" i="6"/>
  <c r="B5" i="6" s="1"/>
  <c r="B6" i="6" s="1"/>
  <c r="B7" i="6" s="1"/>
  <c r="B8" i="6" s="1"/>
  <c r="B9" i="6" s="1"/>
  <c r="B10" i="6" s="1"/>
  <c r="B11" i="6" s="1"/>
  <c r="B12" i="6" s="1"/>
  <c r="B13" i="6" s="1"/>
  <c r="B14" i="6" s="1"/>
  <c r="B15" i="6" s="1"/>
  <c r="B16" i="6" s="1"/>
  <c r="B17" i="6" s="1"/>
  <c r="B18" i="6" s="1"/>
  <c r="B19" i="6" s="1"/>
  <c r="B20" i="6" s="1"/>
  <c r="B21" i="6" s="1"/>
  <c r="B22" i="6" s="1"/>
  <c r="B23" i="6" s="1"/>
  <c r="B24" i="6" s="1"/>
  <c r="B25" i="6" s="1"/>
  <c r="B26" i="6" s="1"/>
  <c r="B27" i="6" s="1"/>
  <c r="B28" i="6" s="1"/>
  <c r="B29" i="6" s="1"/>
  <c r="B30" i="6" s="1"/>
  <c r="B31" i="6" s="1"/>
  <c r="B32" i="6" s="1"/>
  <c r="D8" i="4" l="1"/>
  <c r="L24" i="6"/>
  <c r="L25" i="6" s="1"/>
  <c r="L26" i="6" s="1"/>
  <c r="L27" i="6" s="1"/>
  <c r="L28" i="6" s="1"/>
  <c r="L29" i="6" s="1"/>
  <c r="L30" i="6" s="1"/>
  <c r="L31" i="6" s="1"/>
  <c r="L32" i="6" s="1"/>
  <c r="L33" i="6" s="1"/>
  <c r="L34" i="6" s="1"/>
  <c r="L35" i="6" s="1"/>
  <c r="L36" i="6" s="1"/>
  <c r="L37" i="6" s="1"/>
  <c r="L38" i="6" s="1"/>
  <c r="L39" i="6" s="1"/>
  <c r="L40" i="6" s="1"/>
  <c r="L41" i="6" s="1"/>
  <c r="L42" i="6" s="1"/>
  <c r="L43" i="6" s="1"/>
  <c r="L44" i="6" s="1"/>
  <c r="L45" i="6" s="1"/>
  <c r="L46" i="6" s="1"/>
  <c r="L47" i="6" s="1"/>
  <c r="L48" i="6" s="1"/>
  <c r="L49" i="6" s="1"/>
  <c r="L50" i="6" s="1"/>
  <c r="L51" i="6" s="1"/>
  <c r="L52" i="6" s="1"/>
  <c r="L53" i="6" s="1"/>
  <c r="L54" i="6" s="1"/>
  <c r="L55" i="6" s="1"/>
  <c r="L56" i="6" s="1"/>
  <c r="L57" i="6" s="1"/>
  <c r="L58" i="6" s="1"/>
  <c r="L59" i="6" s="1"/>
  <c r="L60" i="6" s="1"/>
  <c r="L61" i="6" s="1"/>
  <c r="L62" i="6" s="1"/>
  <c r="L63" i="6" s="1"/>
  <c r="L64" i="6" s="1"/>
  <c r="L65" i="6" s="1"/>
  <c r="L66" i="6" s="1"/>
  <c r="L67" i="6" s="1"/>
  <c r="L68" i="6" s="1"/>
  <c r="L69" i="6" s="1"/>
  <c r="L70" i="6" s="1"/>
  <c r="L71" i="6" s="1"/>
  <c r="L72" i="6" s="1"/>
  <c r="L73" i="6" s="1"/>
  <c r="L74" i="6" s="1"/>
  <c r="L75" i="6" s="1"/>
  <c r="L76" i="6" s="1"/>
  <c r="L77" i="6" s="1"/>
  <c r="Q24" i="6"/>
  <c r="Q25" i="6" s="1"/>
  <c r="Q26" i="6" s="1"/>
  <c r="Q27" i="6" s="1"/>
  <c r="Q28" i="6" s="1"/>
  <c r="Q29" i="6" s="1"/>
  <c r="Q30" i="6" s="1"/>
  <c r="Q31" i="6" s="1"/>
  <c r="Q32" i="6" s="1"/>
  <c r="L23" i="13"/>
  <c r="B23" i="13"/>
  <c r="Q23" i="13"/>
  <c r="G23" i="13"/>
  <c r="V8" i="4"/>
  <c r="X8" i="4" s="1"/>
  <c r="AA8" i="4"/>
  <c r="AC8" i="4" s="1"/>
  <c r="Q8" i="4"/>
  <c r="S8" i="4" s="1"/>
  <c r="L8" i="4"/>
  <c r="N8" i="4" s="1"/>
  <c r="L7" i="9"/>
  <c r="L8" i="9"/>
  <c r="L9" i="9"/>
  <c r="L10" i="9"/>
  <c r="L11" i="9"/>
  <c r="L12" i="9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5" i="3"/>
  <c r="P5" i="3"/>
  <c r="P9" i="3"/>
  <c r="P8" i="3"/>
  <c r="D9" i="4" l="1"/>
  <c r="L24" i="13"/>
  <c r="G24" i="13"/>
  <c r="Q24" i="13"/>
  <c r="Q25" i="13" s="1"/>
  <c r="Q26" i="13" s="1"/>
  <c r="Q27" i="13" s="1"/>
  <c r="Q28" i="13" s="1"/>
  <c r="Q29" i="13" s="1"/>
  <c r="Q30" i="13" s="1"/>
  <c r="Q31" i="13" s="1"/>
  <c r="Q32" i="13" s="1"/>
  <c r="Q33" i="13" s="1"/>
  <c r="B24" i="13"/>
  <c r="K7" i="9"/>
  <c r="P4" i="3"/>
  <c r="BO17" i="5"/>
  <c r="BO9" i="5"/>
  <c r="BJ19" i="5"/>
  <c r="BJ11" i="5"/>
  <c r="BJ3" i="5"/>
  <c r="BE13" i="5"/>
  <c r="BE5" i="5"/>
  <c r="AZ15" i="5"/>
  <c r="AZ7" i="5"/>
  <c r="AU17" i="5"/>
  <c r="AU9" i="5"/>
  <c r="AP19" i="5"/>
  <c r="AP11" i="5"/>
  <c r="AP3" i="5"/>
  <c r="AK13" i="5"/>
  <c r="AK5" i="5"/>
  <c r="AF15" i="5"/>
  <c r="AF7" i="5"/>
  <c r="AA17" i="5"/>
  <c r="AA9" i="5"/>
  <c r="V19" i="5"/>
  <c r="V11" i="5"/>
  <c r="V3" i="5"/>
  <c r="Q13" i="5"/>
  <c r="Q5" i="5"/>
  <c r="L15" i="5"/>
  <c r="L7" i="5"/>
  <c r="G17" i="5"/>
  <c r="G9" i="5"/>
  <c r="B5" i="5"/>
  <c r="B13" i="5"/>
  <c r="B3" i="5"/>
  <c r="B14" i="5"/>
  <c r="BO5" i="5"/>
  <c r="AZ3" i="5"/>
  <c r="AP7" i="5"/>
  <c r="AF3" i="5"/>
  <c r="Q9" i="5"/>
  <c r="B17" i="5"/>
  <c r="BO16" i="5"/>
  <c r="BO8" i="5"/>
  <c r="BJ18" i="5"/>
  <c r="BJ10" i="5"/>
  <c r="BE20" i="5"/>
  <c r="BE12" i="5"/>
  <c r="BE4" i="5"/>
  <c r="AZ14" i="5"/>
  <c r="AZ6" i="5"/>
  <c r="AU16" i="5"/>
  <c r="AU8" i="5"/>
  <c r="AP18" i="5"/>
  <c r="AP10" i="5"/>
  <c r="AK20" i="5"/>
  <c r="AK12" i="5"/>
  <c r="AK4" i="5"/>
  <c r="AF14" i="5"/>
  <c r="AF6" i="5"/>
  <c r="AA16" i="5"/>
  <c r="AA8" i="5"/>
  <c r="V18" i="5"/>
  <c r="V10" i="5"/>
  <c r="Q20" i="5"/>
  <c r="Q12" i="5"/>
  <c r="Q4" i="5"/>
  <c r="L14" i="5"/>
  <c r="L6" i="5"/>
  <c r="G16" i="5"/>
  <c r="G8" i="5"/>
  <c r="B6" i="5"/>
  <c r="B15" i="5"/>
  <c r="BJ7" i="5"/>
  <c r="AZ19" i="5"/>
  <c r="AK17" i="5"/>
  <c r="AA5" i="5"/>
  <c r="L11" i="5"/>
  <c r="BO15" i="5"/>
  <c r="BO7" i="5"/>
  <c r="BJ17" i="5"/>
  <c r="BJ9" i="5"/>
  <c r="BE19" i="5"/>
  <c r="BE11" i="5"/>
  <c r="BE3" i="5"/>
  <c r="AZ13" i="5"/>
  <c r="AZ5" i="5"/>
  <c r="AU15" i="5"/>
  <c r="AU7" i="5"/>
  <c r="AP17" i="5"/>
  <c r="AP9" i="5"/>
  <c r="AK19" i="5"/>
  <c r="AK11" i="5"/>
  <c r="AK3" i="5"/>
  <c r="AF13" i="5"/>
  <c r="AF5" i="5"/>
  <c r="AA15" i="5"/>
  <c r="AA7" i="5"/>
  <c r="V17" i="5"/>
  <c r="V9" i="5"/>
  <c r="Q19" i="5"/>
  <c r="Q11" i="5"/>
  <c r="Q3" i="5"/>
  <c r="L13" i="5"/>
  <c r="L5" i="5"/>
  <c r="G15" i="5"/>
  <c r="G7" i="5"/>
  <c r="B7" i="5"/>
  <c r="BE17" i="5"/>
  <c r="AU5" i="5"/>
  <c r="AF11" i="5"/>
  <c r="L19" i="5"/>
  <c r="BO14" i="5"/>
  <c r="BO6" i="5"/>
  <c r="BJ16" i="5"/>
  <c r="BJ8" i="5"/>
  <c r="BE18" i="5"/>
  <c r="BE10" i="5"/>
  <c r="AZ20" i="5"/>
  <c r="AZ12" i="5"/>
  <c r="AZ4" i="5"/>
  <c r="AU14" i="5"/>
  <c r="AU6" i="5"/>
  <c r="AP16" i="5"/>
  <c r="AP8" i="5"/>
  <c r="AK18" i="5"/>
  <c r="AK10" i="5"/>
  <c r="AF20" i="5"/>
  <c r="AF12" i="5"/>
  <c r="AF4" i="5"/>
  <c r="AA14" i="5"/>
  <c r="AA6" i="5"/>
  <c r="V16" i="5"/>
  <c r="V8" i="5"/>
  <c r="Q18" i="5"/>
  <c r="Q10" i="5"/>
  <c r="L20" i="5"/>
  <c r="L12" i="5"/>
  <c r="L4" i="5"/>
  <c r="G14" i="5"/>
  <c r="G6" i="5"/>
  <c r="B8" i="5"/>
  <c r="B16" i="5"/>
  <c r="BJ15" i="5"/>
  <c r="AZ11" i="5"/>
  <c r="AK9" i="5"/>
  <c r="V15" i="5"/>
  <c r="G13" i="5"/>
  <c r="BO13" i="5"/>
  <c r="BO20" i="5"/>
  <c r="BO12" i="5"/>
  <c r="BO4" i="5"/>
  <c r="BJ14" i="5"/>
  <c r="BJ6" i="5"/>
  <c r="BE16" i="5"/>
  <c r="BE8" i="5"/>
  <c r="AZ18" i="5"/>
  <c r="AZ10" i="5"/>
  <c r="AU20" i="5"/>
  <c r="AU12" i="5"/>
  <c r="AU4" i="5"/>
  <c r="AP14" i="5"/>
  <c r="AP6" i="5"/>
  <c r="AK16" i="5"/>
  <c r="AK8" i="5"/>
  <c r="AF18" i="5"/>
  <c r="AF10" i="5"/>
  <c r="AA20" i="5"/>
  <c r="AA12" i="5"/>
  <c r="AA4" i="5"/>
  <c r="V14" i="5"/>
  <c r="V6" i="5"/>
  <c r="Q16" i="5"/>
  <c r="Q8" i="5"/>
  <c r="L18" i="5"/>
  <c r="L10" i="5"/>
  <c r="G20" i="5"/>
  <c r="G12" i="5"/>
  <c r="G4" i="5"/>
  <c r="B10" i="5"/>
  <c r="B18" i="5"/>
  <c r="AP15" i="5"/>
  <c r="V7" i="5"/>
  <c r="B9" i="5"/>
  <c r="BO19" i="5"/>
  <c r="BO11" i="5"/>
  <c r="BO3" i="5"/>
  <c r="BJ13" i="5"/>
  <c r="BJ5" i="5"/>
  <c r="BE15" i="5"/>
  <c r="BE7" i="5"/>
  <c r="AZ17" i="5"/>
  <c r="AZ9" i="5"/>
  <c r="AU19" i="5"/>
  <c r="AU11" i="5"/>
  <c r="AU3" i="5"/>
  <c r="AP13" i="5"/>
  <c r="AP5" i="5"/>
  <c r="AK15" i="5"/>
  <c r="AK7" i="5"/>
  <c r="AF17" i="5"/>
  <c r="AF9" i="5"/>
  <c r="AA19" i="5"/>
  <c r="AA11" i="5"/>
  <c r="AA3" i="5"/>
  <c r="V13" i="5"/>
  <c r="V5" i="5"/>
  <c r="Q15" i="5"/>
  <c r="Q7" i="5"/>
  <c r="L17" i="5"/>
  <c r="L9" i="5"/>
  <c r="G19" i="5"/>
  <c r="G11" i="5"/>
  <c r="G3" i="5"/>
  <c r="B11" i="5"/>
  <c r="B19" i="5"/>
  <c r="AU13" i="5"/>
  <c r="AA13" i="5"/>
  <c r="L3" i="5"/>
  <c r="BO18" i="5"/>
  <c r="BO10" i="5"/>
  <c r="BJ20" i="5"/>
  <c r="BJ12" i="5"/>
  <c r="BJ4" i="5"/>
  <c r="BE14" i="5"/>
  <c r="BE6" i="5"/>
  <c r="AZ16" i="5"/>
  <c r="AZ8" i="5"/>
  <c r="AU18" i="5"/>
  <c r="AU10" i="5"/>
  <c r="AP20" i="5"/>
  <c r="AP12" i="5"/>
  <c r="AP4" i="5"/>
  <c r="AK14" i="5"/>
  <c r="AK6" i="5"/>
  <c r="AF16" i="5"/>
  <c r="AF8" i="5"/>
  <c r="AA18" i="5"/>
  <c r="AA10" i="5"/>
  <c r="V20" i="5"/>
  <c r="V12" i="5"/>
  <c r="V4" i="5"/>
  <c r="Q14" i="5"/>
  <c r="Q6" i="5"/>
  <c r="L16" i="5"/>
  <c r="L8" i="5"/>
  <c r="G18" i="5"/>
  <c r="G10" i="5"/>
  <c r="B4" i="5"/>
  <c r="B12" i="5"/>
  <c r="B20" i="5"/>
  <c r="BE9" i="5"/>
  <c r="AF19" i="5"/>
  <c r="Q17" i="5"/>
  <c r="G5" i="5"/>
  <c r="L6" i="9"/>
  <c r="K10" i="9"/>
  <c r="P7" i="3"/>
  <c r="K12" i="9"/>
  <c r="K9" i="9"/>
  <c r="K11" i="9"/>
  <c r="P6" i="3"/>
  <c r="K6" i="9"/>
  <c r="K8" i="9"/>
  <c r="Q9" i="4"/>
  <c r="S9" i="4" s="1"/>
  <c r="AA9" i="4"/>
  <c r="AC9" i="4" s="1"/>
  <c r="L9" i="4"/>
  <c r="N9" i="4" s="1"/>
  <c r="V9" i="4"/>
  <c r="X9" i="4" s="1"/>
  <c r="D10" i="4" l="1"/>
  <c r="B25" i="13"/>
  <c r="G25" i="13"/>
  <c r="L25" i="13"/>
  <c r="O25" i="13"/>
  <c r="AA10" i="4"/>
  <c r="AC10" i="4" s="1"/>
  <c r="V10" i="4"/>
  <c r="X10" i="4" s="1"/>
  <c r="D11" i="4"/>
  <c r="L10" i="4"/>
  <c r="N10" i="4" s="1"/>
  <c r="Q10" i="4"/>
  <c r="S10" i="4" s="1"/>
  <c r="E29" i="13" l="1"/>
  <c r="E29" i="4"/>
  <c r="Y23" i="13"/>
  <c r="Y23" i="4"/>
  <c r="O76" i="4"/>
  <c r="O76" i="13"/>
  <c r="O65" i="4"/>
  <c r="O65" i="13"/>
  <c r="O62" i="13"/>
  <c r="O62" i="4"/>
  <c r="T32" i="13"/>
  <c r="T32" i="4"/>
  <c r="J75" i="13"/>
  <c r="J75" i="4"/>
  <c r="AD19" i="13"/>
  <c r="AD19" i="4"/>
  <c r="E33" i="13"/>
  <c r="E33" i="4"/>
  <c r="Y22" i="13"/>
  <c r="Y22" i="4"/>
  <c r="O68" i="13"/>
  <c r="O68" i="4"/>
  <c r="O72" i="13"/>
  <c r="O72" i="4"/>
  <c r="T30" i="4"/>
  <c r="T30" i="13"/>
  <c r="J67" i="13"/>
  <c r="J67" i="4"/>
  <c r="AD18" i="13"/>
  <c r="AD18" i="4"/>
  <c r="E32" i="13"/>
  <c r="E32" i="4"/>
  <c r="Y21" i="4"/>
  <c r="Y21" i="13"/>
  <c r="O69" i="13"/>
  <c r="O69" i="4"/>
  <c r="O64" i="13"/>
  <c r="O64" i="4"/>
  <c r="T31" i="13"/>
  <c r="T31" i="4"/>
  <c r="J71" i="13"/>
  <c r="J71" i="4"/>
  <c r="J77" i="13"/>
  <c r="J77" i="4"/>
  <c r="AD17" i="13"/>
  <c r="AD17" i="4"/>
  <c r="E31" i="13"/>
  <c r="E31" i="4"/>
  <c r="O75" i="13"/>
  <c r="O75" i="4"/>
  <c r="O78" i="4"/>
  <c r="O78" i="13"/>
  <c r="T29" i="13"/>
  <c r="T29" i="4"/>
  <c r="J70" i="13"/>
  <c r="J70" i="4"/>
  <c r="J74" i="13"/>
  <c r="J74" i="4"/>
  <c r="AD20" i="13"/>
  <c r="AD20" i="4"/>
  <c r="E28" i="13"/>
  <c r="E28" i="4"/>
  <c r="O67" i="13"/>
  <c r="O67" i="4"/>
  <c r="O66" i="4"/>
  <c r="O66" i="13"/>
  <c r="T28" i="13"/>
  <c r="T28" i="4"/>
  <c r="J78" i="4"/>
  <c r="J78" i="13"/>
  <c r="J66" i="13"/>
  <c r="J66" i="4"/>
  <c r="AD23" i="13"/>
  <c r="AD23" i="4"/>
  <c r="E30" i="4"/>
  <c r="E30" i="13"/>
  <c r="O77" i="13"/>
  <c r="O77" i="4"/>
  <c r="O71" i="13"/>
  <c r="O71" i="4"/>
  <c r="T26" i="13"/>
  <c r="T26" i="4"/>
  <c r="T27" i="13"/>
  <c r="T27" i="4"/>
  <c r="J76" i="13"/>
  <c r="J76" i="4"/>
  <c r="J72" i="4"/>
  <c r="J72" i="13"/>
  <c r="AD22" i="13"/>
  <c r="AD22" i="4"/>
  <c r="O74" i="13"/>
  <c r="O74" i="4"/>
  <c r="O63" i="13"/>
  <c r="O63" i="4"/>
  <c r="T33" i="4"/>
  <c r="T33" i="13"/>
  <c r="J68" i="13"/>
  <c r="J68" i="4"/>
  <c r="J73" i="13"/>
  <c r="J73" i="4"/>
  <c r="AD21" i="13"/>
  <c r="AD21" i="4"/>
  <c r="O73" i="13"/>
  <c r="O73" i="4"/>
  <c r="O70" i="13"/>
  <c r="O70" i="4"/>
  <c r="T24" i="13"/>
  <c r="T24" i="4"/>
  <c r="T25" i="13"/>
  <c r="T25" i="4"/>
  <c r="J69" i="13"/>
  <c r="J69" i="4"/>
  <c r="J65" i="13"/>
  <c r="J65" i="4"/>
  <c r="O25" i="4"/>
  <c r="Y17" i="13"/>
  <c r="Y17" i="4"/>
  <c r="Y16" i="4"/>
  <c r="Y16" i="13"/>
  <c r="Y14" i="13"/>
  <c r="Y14" i="4"/>
  <c r="AD14" i="13"/>
  <c r="AD14" i="4"/>
  <c r="AD15" i="13"/>
  <c r="AD15" i="4"/>
  <c r="Y19" i="13"/>
  <c r="Y19" i="4"/>
  <c r="AD16" i="13"/>
  <c r="AD16" i="4"/>
  <c r="Y18" i="13"/>
  <c r="Y18" i="4"/>
  <c r="Y15" i="13"/>
  <c r="Y15" i="4"/>
  <c r="Y20" i="13"/>
  <c r="Y20" i="4"/>
  <c r="T11" i="4"/>
  <c r="T11" i="13"/>
  <c r="T13" i="4"/>
  <c r="T13" i="13"/>
  <c r="AD10" i="4"/>
  <c r="AD10" i="13"/>
  <c r="T12" i="4"/>
  <c r="T12" i="13"/>
  <c r="E9" i="4"/>
  <c r="E9" i="13"/>
  <c r="E12" i="4"/>
  <c r="E12" i="13"/>
  <c r="AD9" i="4"/>
  <c r="AD9" i="13"/>
  <c r="O14" i="4"/>
  <c r="O14" i="13"/>
  <c r="O12" i="4"/>
  <c r="O12" i="13"/>
  <c r="O15" i="4"/>
  <c r="O15" i="13"/>
  <c r="Y9" i="4"/>
  <c r="Y9" i="13"/>
  <c r="Y11" i="4"/>
  <c r="Y11" i="13"/>
  <c r="E17" i="4"/>
  <c r="E17" i="13"/>
  <c r="O43" i="4"/>
  <c r="O43" i="13"/>
  <c r="O47" i="4"/>
  <c r="O47" i="13"/>
  <c r="O33" i="4"/>
  <c r="O33" i="13"/>
  <c r="T14" i="4"/>
  <c r="T14" i="13"/>
  <c r="E23" i="4"/>
  <c r="E23" i="13"/>
  <c r="T23" i="4"/>
  <c r="T23" i="13"/>
  <c r="O60" i="4"/>
  <c r="O60" i="13"/>
  <c r="J64" i="13"/>
  <c r="J64" i="4"/>
  <c r="E10" i="4"/>
  <c r="E10" i="13"/>
  <c r="E11" i="4"/>
  <c r="E11" i="13"/>
  <c r="AD4" i="4"/>
  <c r="AD4" i="13"/>
  <c r="O6" i="4"/>
  <c r="O6" i="13"/>
  <c r="O7" i="4"/>
  <c r="O7" i="13"/>
  <c r="Y4" i="4"/>
  <c r="Y4" i="13"/>
  <c r="E16" i="4"/>
  <c r="E16" i="13"/>
  <c r="O35" i="4"/>
  <c r="O35" i="13"/>
  <c r="O39" i="4"/>
  <c r="O39" i="13"/>
  <c r="O48" i="4"/>
  <c r="O48" i="13"/>
  <c r="E22" i="4"/>
  <c r="E22" i="13"/>
  <c r="T22" i="4"/>
  <c r="T22" i="13"/>
  <c r="O58" i="4"/>
  <c r="O58" i="13"/>
  <c r="AD13" i="4"/>
  <c r="AD13" i="13"/>
  <c r="AD8" i="4"/>
  <c r="AD8" i="13"/>
  <c r="O23" i="4"/>
  <c r="O23" i="13"/>
  <c r="O27" i="4"/>
  <c r="O27" i="13"/>
  <c r="O17" i="4"/>
  <c r="O17" i="13"/>
  <c r="Y8" i="4"/>
  <c r="Y8" i="13"/>
  <c r="E14" i="4"/>
  <c r="E14" i="13"/>
  <c r="O44" i="4"/>
  <c r="O44" i="13"/>
  <c r="O31" i="4"/>
  <c r="O31" i="13"/>
  <c r="O53" i="4"/>
  <c r="O53" i="13"/>
  <c r="E21" i="4"/>
  <c r="E21" i="13"/>
  <c r="E27" i="4"/>
  <c r="E27" i="13"/>
  <c r="T20" i="4"/>
  <c r="T20" i="13"/>
  <c r="O61" i="4"/>
  <c r="O61" i="13"/>
  <c r="E8" i="4"/>
  <c r="E8" i="13"/>
  <c r="E7" i="4"/>
  <c r="E7" i="13"/>
  <c r="AD5" i="4"/>
  <c r="AD5" i="13"/>
  <c r="O21" i="4"/>
  <c r="O21" i="13"/>
  <c r="O19" i="4"/>
  <c r="O19" i="13"/>
  <c r="O9" i="4"/>
  <c r="O9" i="13"/>
  <c r="Y7" i="4"/>
  <c r="Y7" i="13"/>
  <c r="O50" i="4"/>
  <c r="O50" i="13"/>
  <c r="O49" i="4"/>
  <c r="O49" i="13"/>
  <c r="O45" i="4"/>
  <c r="O45" i="13"/>
  <c r="E20" i="4"/>
  <c r="E20" i="13"/>
  <c r="T19" i="4"/>
  <c r="T19" i="13"/>
  <c r="O59" i="4"/>
  <c r="O59" i="13"/>
  <c r="T4" i="4"/>
  <c r="T4" i="13"/>
  <c r="T10" i="4"/>
  <c r="T10" i="13"/>
  <c r="AD7" i="4"/>
  <c r="AD7" i="13"/>
  <c r="AD12" i="4"/>
  <c r="AD12" i="13"/>
  <c r="O13" i="4"/>
  <c r="O13" i="13"/>
  <c r="O11" i="4"/>
  <c r="O11" i="13"/>
  <c r="O24" i="4"/>
  <c r="O24" i="13"/>
  <c r="Y6" i="4"/>
  <c r="Y6" i="13"/>
  <c r="O42" i="4"/>
  <c r="O42" i="13"/>
  <c r="O32" i="4"/>
  <c r="O32" i="13"/>
  <c r="O37" i="4"/>
  <c r="O37" i="13"/>
  <c r="T18" i="4"/>
  <c r="T18" i="13"/>
  <c r="E19" i="4"/>
  <c r="E19" i="13"/>
  <c r="T21" i="4"/>
  <c r="T21" i="13"/>
  <c r="O57" i="4"/>
  <c r="O57" i="13"/>
  <c r="T9" i="4"/>
  <c r="T9" i="13"/>
  <c r="E13" i="4"/>
  <c r="E13" i="13"/>
  <c r="T8" i="4"/>
  <c r="T8" i="13"/>
  <c r="E5" i="4"/>
  <c r="E5" i="13"/>
  <c r="AD6" i="4"/>
  <c r="AD6" i="13"/>
  <c r="O5" i="4"/>
  <c r="O5" i="13"/>
  <c r="O26" i="4"/>
  <c r="O26" i="13"/>
  <c r="O16" i="4"/>
  <c r="O16" i="13"/>
  <c r="Y13" i="4"/>
  <c r="Y13" i="13"/>
  <c r="O52" i="4"/>
  <c r="O52" i="13"/>
  <c r="O34" i="4"/>
  <c r="O34" i="13"/>
  <c r="O46" i="4"/>
  <c r="O46" i="13"/>
  <c r="O29" i="4"/>
  <c r="O29" i="13"/>
  <c r="T17" i="4"/>
  <c r="T17" i="13"/>
  <c r="E26" i="4"/>
  <c r="E26" i="13"/>
  <c r="O56" i="4"/>
  <c r="O56" i="13"/>
  <c r="E4" i="4"/>
  <c r="E4" i="13"/>
  <c r="AD11" i="4"/>
  <c r="AD11" i="13"/>
  <c r="O4" i="4"/>
  <c r="O4" i="13"/>
  <c r="O28" i="4"/>
  <c r="O28" i="13"/>
  <c r="O18" i="4"/>
  <c r="O18" i="13"/>
  <c r="O8" i="4"/>
  <c r="O8" i="13"/>
  <c r="Y5" i="4"/>
  <c r="Y5" i="13"/>
  <c r="E15" i="4"/>
  <c r="E15" i="13"/>
  <c r="O36" i="4"/>
  <c r="O36" i="13"/>
  <c r="O41" i="4"/>
  <c r="O41" i="13"/>
  <c r="O38" i="4"/>
  <c r="O38" i="13"/>
  <c r="T16" i="4"/>
  <c r="T16" i="13"/>
  <c r="E25" i="4"/>
  <c r="E25" i="13"/>
  <c r="O55" i="4"/>
  <c r="O55" i="13"/>
  <c r="T6" i="4"/>
  <c r="T6" i="13"/>
  <c r="T5" i="4"/>
  <c r="T5" i="13"/>
  <c r="T7" i="4"/>
  <c r="T7" i="13"/>
  <c r="E6" i="4"/>
  <c r="E6" i="13"/>
  <c r="O22" i="4"/>
  <c r="O22" i="13"/>
  <c r="O20" i="4"/>
  <c r="O20" i="13"/>
  <c r="O10" i="4"/>
  <c r="O10" i="13"/>
  <c r="Y10" i="4"/>
  <c r="Y10" i="13"/>
  <c r="Y12" i="4"/>
  <c r="Y12" i="13"/>
  <c r="E18" i="4"/>
  <c r="E18" i="13"/>
  <c r="O51" i="4"/>
  <c r="O51" i="13"/>
  <c r="O40" i="4"/>
  <c r="O40" i="13"/>
  <c r="O30" i="4"/>
  <c r="O30" i="13"/>
  <c r="T15" i="4"/>
  <c r="T15" i="13"/>
  <c r="E24" i="4"/>
  <c r="E24" i="13"/>
  <c r="O54" i="4"/>
  <c r="O54" i="13"/>
  <c r="J7" i="4"/>
  <c r="J7" i="13"/>
  <c r="J52" i="4"/>
  <c r="J52" i="13"/>
  <c r="J58" i="4"/>
  <c r="J58" i="13"/>
  <c r="J60" i="4"/>
  <c r="J60" i="13"/>
  <c r="J12" i="4"/>
  <c r="J12" i="13"/>
  <c r="J10" i="4"/>
  <c r="J10" i="13"/>
  <c r="J8" i="4"/>
  <c r="J8" i="13"/>
  <c r="J30" i="4"/>
  <c r="J30" i="13"/>
  <c r="J47" i="4"/>
  <c r="J47" i="13"/>
  <c r="J44" i="4"/>
  <c r="J44" i="13"/>
  <c r="J57" i="4"/>
  <c r="J57" i="13"/>
  <c r="J59" i="4"/>
  <c r="J59" i="13"/>
  <c r="J23" i="4"/>
  <c r="J23" i="13"/>
  <c r="J61" i="4"/>
  <c r="J61" i="13"/>
  <c r="J20" i="4"/>
  <c r="J20" i="13"/>
  <c r="J48" i="4"/>
  <c r="J48" i="13"/>
  <c r="J35" i="4"/>
  <c r="J35" i="13"/>
  <c r="J17" i="4"/>
  <c r="J17" i="13"/>
  <c r="J5" i="4"/>
  <c r="J5" i="13"/>
  <c r="J22" i="4"/>
  <c r="J22" i="13"/>
  <c r="J40" i="4"/>
  <c r="J40" i="13"/>
  <c r="J46" i="4"/>
  <c r="J46" i="13"/>
  <c r="J51" i="4"/>
  <c r="J51" i="13"/>
  <c r="J56" i="4"/>
  <c r="J56" i="13"/>
  <c r="J41" i="4"/>
  <c r="J41" i="13"/>
  <c r="J27" i="4"/>
  <c r="J27" i="13"/>
  <c r="J4" i="4"/>
  <c r="J4" i="13"/>
  <c r="J63" i="4"/>
  <c r="J63" i="13"/>
  <c r="J28" i="4"/>
  <c r="J28" i="13"/>
  <c r="J39" i="4"/>
  <c r="J39" i="13"/>
  <c r="J18" i="4"/>
  <c r="J18" i="13"/>
  <c r="J13" i="4"/>
  <c r="J13" i="13"/>
  <c r="J50" i="4"/>
  <c r="J50" i="13"/>
  <c r="J19" i="4"/>
  <c r="J19" i="13"/>
  <c r="J31" i="4"/>
  <c r="J31" i="13"/>
  <c r="J42" i="4"/>
  <c r="J42" i="13"/>
  <c r="J53" i="4"/>
  <c r="J53" i="13"/>
  <c r="J55" i="4"/>
  <c r="J55" i="13"/>
  <c r="J24" i="4"/>
  <c r="J24" i="13"/>
  <c r="J14" i="4"/>
  <c r="J14" i="13"/>
  <c r="J38" i="4"/>
  <c r="J38" i="13"/>
  <c r="J33" i="4"/>
  <c r="J33" i="13"/>
  <c r="J6" i="4"/>
  <c r="J6" i="13"/>
  <c r="J21" i="4"/>
  <c r="J21" i="13"/>
  <c r="J11" i="4"/>
  <c r="J11" i="13"/>
  <c r="J9" i="4"/>
  <c r="J9" i="13"/>
  <c r="J15" i="4"/>
  <c r="J15" i="13"/>
  <c r="J43" i="4"/>
  <c r="J43" i="13"/>
  <c r="J45" i="4"/>
  <c r="J45" i="13"/>
  <c r="J62" i="4"/>
  <c r="J62" i="13"/>
  <c r="J25" i="4"/>
  <c r="J25" i="13"/>
  <c r="J26" i="4"/>
  <c r="J26" i="13"/>
  <c r="J16" i="4"/>
  <c r="J16" i="13"/>
  <c r="J36" i="4"/>
  <c r="J36" i="13"/>
  <c r="J34" i="4"/>
  <c r="J34" i="13"/>
  <c r="J32" i="4"/>
  <c r="J32" i="13"/>
  <c r="J29" i="4"/>
  <c r="J29" i="13"/>
  <c r="J49" i="4"/>
  <c r="J49" i="13"/>
  <c r="J37" i="4"/>
  <c r="J37" i="13"/>
  <c r="J54" i="4"/>
  <c r="J54" i="13"/>
  <c r="L26" i="13"/>
  <c r="G26" i="13"/>
  <c r="B26" i="13"/>
  <c r="D12" i="4"/>
  <c r="Q11" i="4"/>
  <c r="S11" i="4" s="1"/>
  <c r="AA11" i="4"/>
  <c r="AC11" i="4" s="1"/>
  <c r="V11" i="4"/>
  <c r="X11" i="4" s="1"/>
  <c r="L11" i="4"/>
  <c r="N11" i="4" s="1"/>
  <c r="B27" i="13" l="1"/>
  <c r="G27" i="13"/>
  <c r="L27" i="13"/>
  <c r="Q12" i="4"/>
  <c r="S12" i="4" s="1"/>
  <c r="V12" i="4"/>
  <c r="X12" i="4" s="1"/>
  <c r="AA12" i="4"/>
  <c r="AC12" i="4" s="1"/>
  <c r="L12" i="4"/>
  <c r="N12" i="4" s="1"/>
  <c r="D13" i="4"/>
  <c r="L28" i="13" l="1"/>
  <c r="G28" i="13"/>
  <c r="B28" i="13"/>
  <c r="B29" i="13" s="1"/>
  <c r="B30" i="13" s="1"/>
  <c r="B31" i="13" s="1"/>
  <c r="B32" i="13" s="1"/>
  <c r="B33" i="13" s="1"/>
  <c r="AA13" i="4"/>
  <c r="AC13" i="4" s="1"/>
  <c r="V13" i="4"/>
  <c r="X13" i="4" s="1"/>
  <c r="D14" i="4"/>
  <c r="Q13" i="4"/>
  <c r="S13" i="4" s="1"/>
  <c r="L13" i="4"/>
  <c r="N13" i="4" s="1"/>
  <c r="G29" i="13" l="1"/>
  <c r="L29" i="13"/>
  <c r="L14" i="4"/>
  <c r="N14" i="4" s="1"/>
  <c r="AA14" i="4"/>
  <c r="D15" i="4"/>
  <c r="Q14" i="4"/>
  <c r="S14" i="4" s="1"/>
  <c r="V14" i="4"/>
  <c r="AA15" i="4" l="1"/>
  <c r="AC14" i="4"/>
  <c r="V15" i="4"/>
  <c r="X14" i="4"/>
  <c r="L30" i="13"/>
  <c r="G30" i="13"/>
  <c r="Q15" i="4"/>
  <c r="S15" i="4" s="1"/>
  <c r="L15" i="4"/>
  <c r="N15" i="4" s="1"/>
  <c r="D16" i="4"/>
  <c r="V16" i="4" l="1"/>
  <c r="X15" i="4"/>
  <c r="AA16" i="4"/>
  <c r="AC15" i="4"/>
  <c r="G31" i="13"/>
  <c r="L31" i="13"/>
  <c r="Q16" i="4"/>
  <c r="S16" i="4" s="1"/>
  <c r="D17" i="4"/>
  <c r="L16" i="4"/>
  <c r="N16" i="4" s="1"/>
  <c r="V17" i="4" l="1"/>
  <c r="X16" i="4"/>
  <c r="AA17" i="4"/>
  <c r="AC16" i="4"/>
  <c r="L32" i="13"/>
  <c r="G32" i="13"/>
  <c r="Q17" i="4"/>
  <c r="S17" i="4" s="1"/>
  <c r="L17" i="4"/>
  <c r="N17" i="4" s="1"/>
  <c r="D18" i="4"/>
  <c r="AA18" i="4" l="1"/>
  <c r="AC17" i="4"/>
  <c r="V18" i="4"/>
  <c r="X17" i="4"/>
  <c r="G33" i="13"/>
  <c r="L33" i="13"/>
  <c r="Q18" i="4"/>
  <c r="S18" i="4" s="1"/>
  <c r="L18" i="4"/>
  <c r="N18" i="4" s="1"/>
  <c r="D19" i="4" l="1"/>
  <c r="V19" i="4"/>
  <c r="X18" i="4"/>
  <c r="AA19" i="4"/>
  <c r="AC18" i="4"/>
  <c r="L34" i="13"/>
  <c r="G34" i="13"/>
  <c r="L19" i="4"/>
  <c r="N19" i="4" s="1"/>
  <c r="Q19" i="4"/>
  <c r="AA20" i="4" l="1"/>
  <c r="AC19" i="4"/>
  <c r="V20" i="4"/>
  <c r="X19" i="4"/>
  <c r="Q20" i="4"/>
  <c r="S19" i="4"/>
  <c r="D20" i="4"/>
  <c r="G35" i="13"/>
  <c r="L35" i="13"/>
  <c r="L20" i="4"/>
  <c r="N20" i="4" s="1"/>
  <c r="D21" i="4" l="1"/>
  <c r="Q21" i="4"/>
  <c r="S20" i="4"/>
  <c r="V21" i="4"/>
  <c r="X20" i="4"/>
  <c r="AA21" i="4"/>
  <c r="AC20" i="4"/>
  <c r="L36" i="13"/>
  <c r="G36" i="13"/>
  <c r="L21" i="4"/>
  <c r="N21" i="4" s="1"/>
  <c r="AA22" i="4" l="1"/>
  <c r="AC21" i="4"/>
  <c r="V22" i="4"/>
  <c r="X21" i="4"/>
  <c r="Q22" i="4"/>
  <c r="S21" i="4"/>
  <c r="D22" i="4"/>
  <c r="G37" i="13"/>
  <c r="L37" i="13"/>
  <c r="L22" i="4"/>
  <c r="N22" i="4" s="1"/>
  <c r="D23" i="4" l="1"/>
  <c r="Q23" i="4"/>
  <c r="S22" i="4"/>
  <c r="V23" i="4"/>
  <c r="X23" i="4" s="1"/>
  <c r="X22" i="4"/>
  <c r="AA23" i="4"/>
  <c r="AC23" i="4" s="1"/>
  <c r="AC22" i="4"/>
  <c r="G38" i="13"/>
  <c r="L38" i="13"/>
  <c r="L23" i="4"/>
  <c r="N23" i="4" s="1"/>
  <c r="Q24" i="4" l="1"/>
  <c r="S23" i="4"/>
  <c r="D24" i="4"/>
  <c r="G39" i="13"/>
  <c r="L39" i="13"/>
  <c r="L24" i="4"/>
  <c r="N24" i="4" s="1"/>
  <c r="D25" i="4" l="1"/>
  <c r="Q25" i="4"/>
  <c r="S24" i="4"/>
  <c r="G40" i="13"/>
  <c r="L40" i="13"/>
  <c r="L25" i="4"/>
  <c r="N25" i="4" s="1"/>
  <c r="Q26" i="4" l="1"/>
  <c r="S25" i="4"/>
  <c r="D26" i="4"/>
  <c r="G41" i="13"/>
  <c r="L41" i="13"/>
  <c r="L26" i="4"/>
  <c r="N26" i="4" s="1"/>
  <c r="D27" i="4" l="1"/>
  <c r="Q27" i="4"/>
  <c r="S26" i="4"/>
  <c r="G42" i="13"/>
  <c r="L42" i="13"/>
  <c r="L27" i="4"/>
  <c r="N27" i="4" s="1"/>
  <c r="Q28" i="4" l="1"/>
  <c r="S27" i="4"/>
  <c r="D28" i="4"/>
  <c r="L43" i="13"/>
  <c r="G43" i="13"/>
  <c r="L28" i="4"/>
  <c r="N28" i="4" s="1"/>
  <c r="D29" i="4" l="1"/>
  <c r="Q29" i="4"/>
  <c r="S28" i="4"/>
  <c r="G44" i="13"/>
  <c r="L44" i="13"/>
  <c r="L29" i="4"/>
  <c r="N29" i="4" s="1"/>
  <c r="Q30" i="4" l="1"/>
  <c r="S29" i="4"/>
  <c r="D30" i="4"/>
  <c r="L45" i="13"/>
  <c r="G45" i="13"/>
  <c r="L30" i="4"/>
  <c r="N30" i="4" s="1"/>
  <c r="D31" i="4" l="1"/>
  <c r="Q31" i="4"/>
  <c r="S30" i="4"/>
  <c r="G46" i="13"/>
  <c r="L46" i="13"/>
  <c r="L31" i="4"/>
  <c r="N31" i="4" s="1"/>
  <c r="Q32" i="4" l="1"/>
  <c r="S31" i="4"/>
  <c r="D33" i="4"/>
  <c r="D32" i="4"/>
  <c r="L47" i="13"/>
  <c r="G47" i="13"/>
  <c r="L32" i="4"/>
  <c r="N32" i="4" s="1"/>
  <c r="Q33" i="4" l="1"/>
  <c r="S33" i="4" s="1"/>
  <c r="S32" i="4"/>
  <c r="G48" i="13"/>
  <c r="L48" i="13"/>
  <c r="L33" i="4"/>
  <c r="N33" i="4" s="1"/>
  <c r="L49" i="13" l="1"/>
  <c r="G49" i="13"/>
  <c r="L34" i="4"/>
  <c r="N34" i="4" s="1"/>
  <c r="G50" i="13" l="1"/>
  <c r="L50" i="13"/>
  <c r="L35" i="4"/>
  <c r="N35" i="4" s="1"/>
  <c r="L51" i="13" l="1"/>
  <c r="G51" i="13"/>
  <c r="L36" i="4"/>
  <c r="N36" i="4" s="1"/>
  <c r="G52" i="13" l="1"/>
  <c r="L52" i="13"/>
  <c r="L37" i="4"/>
  <c r="N37" i="4" s="1"/>
  <c r="L53" i="13" l="1"/>
  <c r="G53" i="13"/>
  <c r="L38" i="4"/>
  <c r="N38" i="4" s="1"/>
  <c r="G54" i="13" l="1"/>
  <c r="L54" i="13"/>
  <c r="L39" i="4"/>
  <c r="N39" i="4" s="1"/>
  <c r="L55" i="13" l="1"/>
  <c r="G55" i="13"/>
  <c r="L40" i="4"/>
  <c r="N40" i="4" s="1"/>
  <c r="G56" i="13" l="1"/>
  <c r="L56" i="13"/>
  <c r="L41" i="4"/>
  <c r="N41" i="4" s="1"/>
  <c r="G57" i="13" l="1"/>
  <c r="L57" i="13"/>
  <c r="L42" i="4"/>
  <c r="N42" i="4" s="1"/>
  <c r="G58" i="13" l="1"/>
  <c r="L58" i="13"/>
  <c r="L43" i="4"/>
  <c r="N43" i="4" s="1"/>
  <c r="L59" i="13" l="1"/>
  <c r="G59" i="13"/>
  <c r="L44" i="4"/>
  <c r="N44" i="4" s="1"/>
  <c r="G60" i="13" l="1"/>
  <c r="L60" i="13"/>
  <c r="L45" i="4"/>
  <c r="N45" i="4" s="1"/>
  <c r="G61" i="13" l="1"/>
  <c r="L61" i="13"/>
  <c r="L46" i="4"/>
  <c r="N46" i="4" s="1"/>
  <c r="L62" i="13" l="1"/>
  <c r="L63" i="13" s="1"/>
  <c r="L64" i="13" s="1"/>
  <c r="L65" i="13" s="1"/>
  <c r="L66" i="13" s="1"/>
  <c r="L67" i="13" s="1"/>
  <c r="L68" i="13" s="1"/>
  <c r="L69" i="13" s="1"/>
  <c r="L70" i="13" s="1"/>
  <c r="L71" i="13" s="1"/>
  <c r="L72" i="13" s="1"/>
  <c r="L73" i="13" s="1"/>
  <c r="L74" i="13" s="1"/>
  <c r="L75" i="13" s="1"/>
  <c r="L76" i="13" s="1"/>
  <c r="L77" i="13" s="1"/>
  <c r="L78" i="13" s="1"/>
  <c r="G62" i="13"/>
  <c r="L47" i="4"/>
  <c r="N47" i="4" s="1"/>
  <c r="G63" i="13" l="1"/>
  <c r="G64" i="13" s="1"/>
  <c r="G65" i="13" s="1"/>
  <c r="G66" i="13" s="1"/>
  <c r="G67" i="13" s="1"/>
  <c r="G68" i="13" s="1"/>
  <c r="G69" i="13" s="1"/>
  <c r="G70" i="13" s="1"/>
  <c r="G71" i="13" s="1"/>
  <c r="G72" i="13" s="1"/>
  <c r="G73" i="13" s="1"/>
  <c r="G74" i="13" s="1"/>
  <c r="G75" i="13" s="1"/>
  <c r="G76" i="13" s="1"/>
  <c r="G77" i="13" s="1"/>
  <c r="G78" i="13" s="1"/>
  <c r="L48" i="4"/>
  <c r="N48" i="4" s="1"/>
  <c r="L49" i="4" l="1"/>
  <c r="N49" i="4" s="1"/>
  <c r="L50" i="4" l="1"/>
  <c r="N50" i="4" s="1"/>
  <c r="L51" i="4" l="1"/>
  <c r="N51" i="4" s="1"/>
  <c r="L52" i="4" l="1"/>
  <c r="N52" i="4" s="1"/>
  <c r="L53" i="4" l="1"/>
  <c r="N53" i="4" s="1"/>
  <c r="L54" i="4" l="1"/>
  <c r="L55" i="4" l="1"/>
  <c r="N54" i="4"/>
  <c r="Q8" i="3"/>
  <c r="AC10" i="3"/>
  <c r="AC15" i="3"/>
  <c r="AC22" i="3"/>
  <c r="AC6" i="3"/>
  <c r="AC9" i="3"/>
  <c r="AC21" i="3"/>
  <c r="AC8" i="3"/>
  <c r="AC19" i="3"/>
  <c r="AC7" i="3"/>
  <c r="AC11" i="3"/>
  <c r="AC17" i="3"/>
  <c r="AC14" i="3"/>
  <c r="AC18" i="3"/>
  <c r="AC13" i="3"/>
  <c r="AC16" i="3"/>
  <c r="AC12" i="3"/>
  <c r="AC20" i="3"/>
  <c r="AE16" i="3"/>
  <c r="AE14" i="3"/>
  <c r="AE18" i="3"/>
  <c r="AE6" i="3"/>
  <c r="AE20" i="3"/>
  <c r="AE9" i="3"/>
  <c r="AE17" i="3"/>
  <c r="AE7" i="3"/>
  <c r="AE22" i="3"/>
  <c r="AE13" i="3"/>
  <c r="AE10" i="3"/>
  <c r="AE19" i="3"/>
  <c r="AE11" i="3"/>
  <c r="Q9" i="3"/>
  <c r="AE21" i="3"/>
  <c r="AE12" i="3"/>
  <c r="AE15" i="3"/>
  <c r="AE8" i="3"/>
  <c r="L56" i="4" l="1"/>
  <c r="N55" i="4"/>
  <c r="AC11" i="13"/>
  <c r="AC18" i="13"/>
  <c r="AC23" i="13"/>
  <c r="AC20" i="13"/>
  <c r="AC21" i="13"/>
  <c r="AC19" i="13"/>
  <c r="AC17" i="13"/>
  <c r="AC22" i="13"/>
  <c r="I71" i="13"/>
  <c r="I74" i="13"/>
  <c r="I73" i="13"/>
  <c r="I69" i="13"/>
  <c r="I72" i="13"/>
  <c r="I68" i="13"/>
  <c r="I76" i="13"/>
  <c r="I77" i="13"/>
  <c r="I75" i="13"/>
  <c r="I70" i="13"/>
  <c r="I66" i="13"/>
  <c r="I67" i="13"/>
  <c r="I78" i="13"/>
  <c r="X5" i="13"/>
  <c r="X21" i="13"/>
  <c r="X22" i="13"/>
  <c r="X23" i="13"/>
  <c r="X4" i="13"/>
  <c r="X13" i="13"/>
  <c r="X17" i="13"/>
  <c r="X6" i="13"/>
  <c r="X14" i="13"/>
  <c r="X18" i="13"/>
  <c r="X11" i="13"/>
  <c r="X7" i="13"/>
  <c r="X12" i="13"/>
  <c r="X20" i="13"/>
  <c r="X16" i="13"/>
  <c r="X9" i="13"/>
  <c r="X15" i="13"/>
  <c r="X10" i="13"/>
  <c r="X19" i="13"/>
  <c r="X8" i="13"/>
  <c r="AC13" i="13"/>
  <c r="Q7" i="3"/>
  <c r="S11" i="13" s="1"/>
  <c r="AA13" i="3"/>
  <c r="AC12" i="13"/>
  <c r="AC15" i="13"/>
  <c r="AA8" i="3"/>
  <c r="AA7" i="3"/>
  <c r="AC14" i="13"/>
  <c r="AC16" i="13"/>
  <c r="AA18" i="3"/>
  <c r="AA16" i="3"/>
  <c r="AA11" i="3"/>
  <c r="AA10" i="3"/>
  <c r="AC9" i="13"/>
  <c r="AC10" i="13"/>
  <c r="AC7" i="13"/>
  <c r="AA21" i="3"/>
  <c r="AA19" i="3"/>
  <c r="AC6" i="13"/>
  <c r="AA12" i="3"/>
  <c r="AA15" i="3"/>
  <c r="AA20" i="3"/>
  <c r="AA6" i="3"/>
  <c r="AC4" i="13"/>
  <c r="AA14" i="3"/>
  <c r="AA17" i="3"/>
  <c r="AA9" i="3"/>
  <c r="AA22" i="3"/>
  <c r="AC5" i="13"/>
  <c r="AC8" i="13"/>
  <c r="S12" i="13" l="1"/>
  <c r="L57" i="4"/>
  <c r="N56" i="4"/>
  <c r="S8" i="13"/>
  <c r="S23" i="13"/>
  <c r="S19" i="13"/>
  <c r="S10" i="13"/>
  <c r="S7" i="13"/>
  <c r="S18" i="13"/>
  <c r="S16" i="13"/>
  <c r="S21" i="13"/>
  <c r="S4" i="13"/>
  <c r="S17" i="13"/>
  <c r="S14" i="13"/>
  <c r="S22" i="13"/>
  <c r="S15" i="13"/>
  <c r="S20" i="13"/>
  <c r="S6" i="13"/>
  <c r="S5" i="13"/>
  <c r="S9" i="13"/>
  <c r="S13" i="13"/>
  <c r="S27" i="13"/>
  <c r="S31" i="13"/>
  <c r="S28" i="13"/>
  <c r="S32" i="13"/>
  <c r="S29" i="13"/>
  <c r="S30" i="13"/>
  <c r="S26" i="13"/>
  <c r="S25" i="13"/>
  <c r="S33" i="13"/>
  <c r="S24" i="13"/>
  <c r="L58" i="4" l="1"/>
  <c r="N57" i="4"/>
  <c r="Y11" i="3"/>
  <c r="Y19" i="3"/>
  <c r="Y8" i="3"/>
  <c r="Y20" i="3"/>
  <c r="Y17" i="3"/>
  <c r="Y10" i="3"/>
  <c r="Q6" i="3"/>
  <c r="N51" i="13" s="1"/>
  <c r="Y13" i="3"/>
  <c r="Y7" i="3"/>
  <c r="Y21" i="3"/>
  <c r="Y12" i="3"/>
  <c r="Y14" i="3"/>
  <c r="Y22" i="3"/>
  <c r="Y16" i="3"/>
  <c r="Y6" i="3"/>
  <c r="Y9" i="3"/>
  <c r="Y18" i="3"/>
  <c r="Y15" i="3"/>
  <c r="U22" i="3"/>
  <c r="U16" i="3"/>
  <c r="U10" i="3"/>
  <c r="U21" i="3"/>
  <c r="U15" i="3"/>
  <c r="U20" i="3"/>
  <c r="Q4" i="3"/>
  <c r="U19" i="3"/>
  <c r="U12" i="3"/>
  <c r="U9" i="3"/>
  <c r="U8" i="3"/>
  <c r="U14" i="3"/>
  <c r="U18" i="3"/>
  <c r="U13" i="3"/>
  <c r="U11" i="3"/>
  <c r="U17" i="3"/>
  <c r="L59" i="4" l="1"/>
  <c r="N58" i="4"/>
  <c r="N49" i="13"/>
  <c r="N37" i="13"/>
  <c r="N62" i="13"/>
  <c r="N66" i="13"/>
  <c r="N76" i="13"/>
  <c r="N78" i="13"/>
  <c r="N64" i="13"/>
  <c r="N65" i="13"/>
  <c r="N73" i="13"/>
  <c r="N70" i="13"/>
  <c r="N74" i="13"/>
  <c r="N71" i="13"/>
  <c r="N67" i="13"/>
  <c r="N75" i="13"/>
  <c r="N63" i="13"/>
  <c r="N69" i="13"/>
  <c r="N72" i="13"/>
  <c r="N68" i="13"/>
  <c r="N77" i="13"/>
  <c r="D18" i="13"/>
  <c r="D30" i="13"/>
  <c r="D32" i="13"/>
  <c r="D33" i="13"/>
  <c r="D31" i="13"/>
  <c r="D29" i="13"/>
  <c r="D28" i="13"/>
  <c r="N28" i="13"/>
  <c r="N9" i="13"/>
  <c r="N24" i="13"/>
  <c r="N17" i="13"/>
  <c r="N7" i="13"/>
  <c r="N26" i="13"/>
  <c r="N52" i="13"/>
  <c r="N16" i="13"/>
  <c r="N27" i="13"/>
  <c r="N32" i="13"/>
  <c r="N38" i="13"/>
  <c r="N46" i="13"/>
  <c r="N53" i="13"/>
  <c r="N25" i="13"/>
  <c r="N50" i="13"/>
  <c r="N12" i="13"/>
  <c r="N54" i="13"/>
  <c r="N43" i="13"/>
  <c r="N44" i="13"/>
  <c r="N42" i="13"/>
  <c r="N4" i="13"/>
  <c r="N60" i="13"/>
  <c r="N36" i="13"/>
  <c r="N22" i="13"/>
  <c r="N45" i="13"/>
  <c r="N41" i="13"/>
  <c r="N35" i="13"/>
  <c r="N34" i="13"/>
  <c r="N13" i="13"/>
  <c r="N48" i="13"/>
  <c r="N8" i="13"/>
  <c r="N10" i="13"/>
  <c r="N6" i="13"/>
  <c r="N14" i="13"/>
  <c r="N15" i="13"/>
  <c r="N21" i="13"/>
  <c r="N39" i="13"/>
  <c r="N5" i="13"/>
  <c r="D8" i="13"/>
  <c r="N31" i="13"/>
  <c r="N18" i="13"/>
  <c r="N59" i="13"/>
  <c r="N23" i="13"/>
  <c r="N55" i="13"/>
  <c r="N29" i="13"/>
  <c r="N58" i="13"/>
  <c r="N20" i="13"/>
  <c r="D5" i="13"/>
  <c r="N19" i="13"/>
  <c r="D23" i="13"/>
  <c r="N61" i="13"/>
  <c r="N33" i="13"/>
  <c r="D7" i="13"/>
  <c r="D11" i="13"/>
  <c r="D12" i="13"/>
  <c r="N57" i="13"/>
  <c r="D20" i="13"/>
  <c r="D15" i="13"/>
  <c r="N56" i="13"/>
  <c r="D27" i="13"/>
  <c r="D16" i="13"/>
  <c r="N30" i="13"/>
  <c r="D14" i="13"/>
  <c r="D22" i="13"/>
  <c r="N11" i="13"/>
  <c r="D6" i="13"/>
  <c r="D9" i="13"/>
  <c r="D17" i="13"/>
  <c r="D21" i="13"/>
  <c r="D10" i="13"/>
  <c r="D26" i="13"/>
  <c r="D24" i="13"/>
  <c r="D4" i="13"/>
  <c r="D13" i="13"/>
  <c r="N47" i="13"/>
  <c r="N40" i="13"/>
  <c r="D19" i="13"/>
  <c r="D25" i="13"/>
  <c r="L60" i="4" l="1"/>
  <c r="N59" i="4"/>
  <c r="L61" i="4" l="1"/>
  <c r="N60" i="4"/>
  <c r="L62" i="4" l="1"/>
  <c r="N61" i="4"/>
  <c r="L63" i="4" l="1"/>
  <c r="N62" i="4"/>
  <c r="L64" i="4" l="1"/>
  <c r="N63" i="4"/>
  <c r="L65" i="4" l="1"/>
  <c r="N64" i="4"/>
  <c r="L66" i="4" l="1"/>
  <c r="N65" i="4"/>
  <c r="L67" i="4" l="1"/>
  <c r="N66" i="4"/>
  <c r="I66" i="4"/>
  <c r="I67" i="4" l="1"/>
  <c r="L68" i="4"/>
  <c r="N67" i="4"/>
  <c r="L69" i="4" l="1"/>
  <c r="N68" i="4"/>
  <c r="I68" i="4"/>
  <c r="I69" i="4" l="1"/>
  <c r="L70" i="4"/>
  <c r="N69" i="4"/>
  <c r="L71" i="4" l="1"/>
  <c r="N70" i="4"/>
  <c r="I70" i="4"/>
  <c r="I71" i="4" l="1"/>
  <c r="L72" i="4"/>
  <c r="N71" i="4"/>
  <c r="L73" i="4" l="1"/>
  <c r="N72" i="4"/>
  <c r="I72" i="4"/>
  <c r="I73" i="4" l="1"/>
  <c r="L74" i="4"/>
  <c r="N73" i="4"/>
  <c r="L75" i="4" l="1"/>
  <c r="N74" i="4"/>
  <c r="I74" i="4"/>
  <c r="L76" i="4" l="1"/>
  <c r="N75" i="4"/>
  <c r="I75" i="4"/>
  <c r="I76" i="4" l="1"/>
  <c r="L77" i="4"/>
  <c r="N76" i="4"/>
  <c r="I78" i="4" l="1"/>
  <c r="I77" i="4"/>
  <c r="L78" i="4"/>
  <c r="N78" i="4" s="1"/>
  <c r="N77" i="4"/>
  <c r="AH16" i="16" l="1"/>
  <c r="AH12" i="16"/>
  <c r="BG12" i="19" s="1"/>
  <c r="AH9" i="16"/>
  <c r="BG9" i="19" s="1"/>
  <c r="AH11" i="16"/>
  <c r="BG11" i="19" s="1"/>
  <c r="AH8" i="16"/>
  <c r="BG8" i="19" s="1"/>
  <c r="AH18" i="16"/>
  <c r="AH6" i="16"/>
  <c r="BG6" i="19" s="1"/>
  <c r="AH14" i="16"/>
  <c r="AH5" i="16"/>
  <c r="BG5" i="19" s="1"/>
  <c r="AH7" i="16"/>
  <c r="BG7" i="19" s="1"/>
  <c r="AH22" i="16"/>
  <c r="AH13" i="16"/>
  <c r="AH21" i="16"/>
  <c r="AH17" i="16"/>
  <c r="AH20" i="16"/>
  <c r="AH3" i="16"/>
  <c r="BG3" i="19" s="1"/>
  <c r="AH10" i="16"/>
  <c r="BG10" i="19" s="1"/>
  <c r="AH19" i="16"/>
  <c r="AH4" i="16"/>
  <c r="BG4" i="19" s="1"/>
  <c r="AH15" i="16"/>
  <c r="BI12" i="19"/>
  <c r="BI5" i="19"/>
  <c r="BI6" i="19"/>
  <c r="BI11" i="19"/>
  <c r="BI4" i="19"/>
  <c r="BI8" i="19"/>
  <c r="BI7" i="19"/>
  <c r="BI9" i="19"/>
  <c r="BI3" i="19"/>
  <c r="BI10" i="19"/>
  <c r="BG13" i="19" l="1"/>
  <c r="BG20" i="19"/>
  <c r="BG15" i="19"/>
  <c r="BG18" i="19"/>
  <c r="BG17" i="19"/>
  <c r="BG19" i="19"/>
  <c r="BG16" i="19"/>
  <c r="BG14" i="19"/>
  <c r="BG21" i="19"/>
  <c r="BG22" i="19"/>
  <c r="BI20" i="19"/>
  <c r="BI13" i="19"/>
  <c r="BI14" i="19"/>
  <c r="BI21" i="19"/>
  <c r="BI17" i="19"/>
  <c r="BI16" i="19"/>
  <c r="BI19" i="19"/>
  <c r="BI22" i="19"/>
  <c r="BI15" i="19"/>
  <c r="BI18" i="19"/>
  <c r="BP3" i="19" l="1"/>
  <c r="BK16" i="19" s="1"/>
  <c r="AZ22" i="19" l="1"/>
  <c r="AD46" i="19"/>
  <c r="S9" i="19"/>
  <c r="H9" i="19"/>
  <c r="AZ10" i="19"/>
  <c r="AD27" i="19"/>
  <c r="AD3" i="19"/>
  <c r="H32" i="19"/>
  <c r="AO24" i="19"/>
  <c r="AD53" i="19"/>
  <c r="S17" i="19"/>
  <c r="H19" i="19"/>
  <c r="AO26" i="19"/>
  <c r="AD42" i="19"/>
  <c r="S47" i="19"/>
  <c r="H24" i="19"/>
  <c r="AO9" i="19"/>
  <c r="AD48" i="19"/>
  <c r="S38" i="19"/>
  <c r="AD23" i="19"/>
  <c r="AD62" i="19"/>
  <c r="S35" i="19"/>
  <c r="AD41" i="19"/>
  <c r="AD33" i="19"/>
  <c r="S23" i="19"/>
  <c r="AZ16" i="19"/>
  <c r="AD39" i="19"/>
  <c r="S65" i="19"/>
  <c r="S73" i="19"/>
  <c r="AD54" i="19"/>
  <c r="S72" i="19"/>
  <c r="AD43" i="19"/>
  <c r="AO21" i="19"/>
  <c r="AD30" i="19"/>
  <c r="S8" i="19"/>
  <c r="H17" i="19"/>
  <c r="AO5" i="19"/>
  <c r="AD73" i="19"/>
  <c r="S13" i="19"/>
  <c r="H6" i="19"/>
  <c r="AD5" i="19"/>
  <c r="AD61" i="19"/>
  <c r="S54" i="19"/>
  <c r="H29" i="19"/>
  <c r="AO6" i="19"/>
  <c r="AD57" i="19"/>
  <c r="S6" i="19"/>
  <c r="AO29" i="19"/>
  <c r="AD56" i="19"/>
  <c r="S14" i="19"/>
  <c r="AD70" i="19"/>
  <c r="AD28" i="19"/>
  <c r="H27" i="19"/>
  <c r="AO13" i="19"/>
  <c r="AD49" i="19"/>
  <c r="S39" i="19"/>
  <c r="S26" i="19"/>
  <c r="AZ12" i="19"/>
  <c r="AD22" i="19"/>
  <c r="S74" i="19"/>
  <c r="H4" i="19"/>
  <c r="AO10" i="19"/>
  <c r="S36" i="19"/>
  <c r="H7" i="19"/>
  <c r="AO8" i="19"/>
  <c r="AD17" i="19"/>
  <c r="S5" i="19"/>
  <c r="H3" i="19"/>
  <c r="AO17" i="19"/>
  <c r="AD34" i="19"/>
  <c r="S45" i="19"/>
  <c r="AO27" i="19"/>
  <c r="AD15" i="19"/>
  <c r="S64" i="19"/>
  <c r="BK18" i="19"/>
  <c r="AD59" i="19"/>
  <c r="AD18" i="19"/>
  <c r="S61" i="19"/>
  <c r="AZ7" i="19"/>
  <c r="AD10" i="19"/>
  <c r="S57" i="19"/>
  <c r="S42" i="19"/>
  <c r="AZ20" i="19"/>
  <c r="AD47" i="19"/>
  <c r="S55" i="19"/>
  <c r="H15" i="19"/>
  <c r="AZ13" i="19"/>
  <c r="S67" i="19"/>
  <c r="S33" i="19"/>
  <c r="H16" i="19"/>
  <c r="AO19" i="19"/>
  <c r="AD38" i="19"/>
  <c r="S48" i="19"/>
  <c r="H20" i="19"/>
  <c r="AD14" i="19"/>
  <c r="AD69" i="19"/>
  <c r="AZ8" i="19"/>
  <c r="AD40" i="19"/>
  <c r="AO18" i="19"/>
  <c r="AD55" i="19"/>
  <c r="S60" i="19"/>
  <c r="AO28" i="19"/>
  <c r="AD36" i="19"/>
  <c r="S20" i="19"/>
  <c r="AD6" i="19"/>
  <c r="AD75" i="19"/>
  <c r="S62" i="19"/>
  <c r="AD29" i="19"/>
  <c r="S66" i="19"/>
  <c r="S19" i="19"/>
  <c r="AZ21" i="19"/>
  <c r="AD72" i="19"/>
  <c r="S7" i="19"/>
  <c r="H25" i="19"/>
  <c r="AZ11" i="19"/>
  <c r="AD60" i="19"/>
  <c r="S10" i="19"/>
  <c r="H8" i="19"/>
  <c r="AO15" i="19"/>
  <c r="AD71" i="19"/>
  <c r="S21" i="19"/>
  <c r="H14" i="19"/>
  <c r="AO16" i="19"/>
  <c r="AD37" i="19"/>
  <c r="S27" i="19"/>
  <c r="H31" i="19"/>
  <c r="AD26" i="19"/>
  <c r="H22" i="19"/>
  <c r="S52" i="19"/>
  <c r="S4" i="19"/>
  <c r="AD8" i="19"/>
  <c r="AD25" i="19"/>
  <c r="S25" i="19"/>
  <c r="AZ14" i="19"/>
  <c r="AD44" i="19"/>
  <c r="AD74" i="19"/>
  <c r="S16" i="19"/>
  <c r="AD19" i="19"/>
  <c r="S76" i="19"/>
  <c r="S40" i="19"/>
  <c r="AZ9" i="19"/>
  <c r="AD31" i="19"/>
  <c r="S71" i="19"/>
  <c r="S3" i="19"/>
  <c r="AZ15" i="19"/>
  <c r="AD9" i="19"/>
  <c r="S59" i="19"/>
  <c r="H26" i="19"/>
  <c r="AO12" i="19"/>
  <c r="AD16" i="19"/>
  <c r="S50" i="19"/>
  <c r="H28" i="19"/>
  <c r="AO7" i="19"/>
  <c r="AD52" i="19"/>
  <c r="S63" i="19"/>
  <c r="H21" i="19"/>
  <c r="AO31" i="19"/>
  <c r="AD45" i="19"/>
  <c r="S31" i="19"/>
  <c r="S46" i="19"/>
  <c r="AO32" i="19"/>
  <c r="S53" i="19"/>
  <c r="AD12" i="19"/>
  <c r="AZ18" i="19"/>
  <c r="S69" i="19"/>
  <c r="AD77" i="19"/>
  <c r="S68" i="19"/>
  <c r="S18" i="19"/>
  <c r="AD20" i="19"/>
  <c r="S22" i="19"/>
  <c r="S44" i="19"/>
  <c r="AZ4" i="19"/>
  <c r="AD58" i="19"/>
  <c r="S29" i="19"/>
  <c r="S34" i="19"/>
  <c r="AZ5" i="19"/>
  <c r="AD68" i="19"/>
  <c r="S30" i="19"/>
  <c r="H10" i="19"/>
  <c r="AO20" i="19"/>
  <c r="AD76" i="19"/>
  <c r="S77" i="19"/>
  <c r="H5" i="19"/>
  <c r="AO4" i="19"/>
  <c r="AD4" i="19"/>
  <c r="S49" i="19"/>
  <c r="H13" i="19"/>
  <c r="AO11" i="19"/>
  <c r="AD7" i="19"/>
  <c r="S15" i="19"/>
  <c r="AD13" i="19"/>
  <c r="S51" i="19"/>
  <c r="AO23" i="19"/>
  <c r="AO30" i="19"/>
  <c r="AD21" i="19"/>
  <c r="S32" i="19"/>
  <c r="AZ3" i="19"/>
  <c r="AZ6" i="19"/>
  <c r="AD65" i="19"/>
  <c r="S11" i="19"/>
  <c r="S41" i="19"/>
  <c r="AZ17" i="19"/>
  <c r="AD24" i="19"/>
  <c r="S75" i="19"/>
  <c r="S70" i="19"/>
  <c r="AZ19" i="19"/>
  <c r="AD32" i="19"/>
  <c r="S56" i="19"/>
  <c r="H18" i="19"/>
  <c r="AO14" i="19"/>
  <c r="AD35" i="19"/>
  <c r="S12" i="19"/>
  <c r="H30" i="19"/>
  <c r="AO25" i="19"/>
  <c r="AD63" i="19"/>
  <c r="S37" i="19"/>
  <c r="H12" i="19"/>
  <c r="AO22" i="19"/>
  <c r="AD51" i="19"/>
  <c r="S24" i="19"/>
  <c r="AD64" i="19"/>
  <c r="AD66" i="19"/>
  <c r="S28" i="19"/>
  <c r="AD11" i="19"/>
  <c r="S58" i="19"/>
  <c r="S43" i="19"/>
  <c r="H11" i="19"/>
  <c r="AD50" i="19"/>
  <c r="AD67" i="19"/>
  <c r="AO3" i="19"/>
  <c r="H23" i="19"/>
  <c r="BK6" i="19"/>
  <c r="BK4" i="19"/>
  <c r="BK12" i="19"/>
  <c r="BK20" i="19"/>
  <c r="BK9" i="19"/>
  <c r="BK11" i="19"/>
  <c r="BK19" i="19"/>
  <c r="BK3" i="19"/>
  <c r="BK10" i="19"/>
  <c r="BK8" i="19"/>
  <c r="BK17" i="19"/>
  <c r="BK13" i="19"/>
  <c r="BK7" i="19"/>
  <c r="BK15" i="19"/>
  <c r="BK5" i="19"/>
  <c r="BK14" i="19"/>
  <c r="BK21" i="19"/>
  <c r="BK22" i="19"/>
  <c r="P19" i="20" l="1" a="1"/>
  <c r="P19" i="20" s="1"/>
  <c r="R21" i="20" a="1"/>
  <c r="R21" i="20"/>
  <c r="C3" i="20" l="1"/>
  <c r="D54" i="3"/>
  <c r="I9" i="4"/>
  <c r="I17" i="4"/>
  <c r="I25" i="4"/>
  <c r="I33" i="4"/>
  <c r="I41" i="4"/>
  <c r="I49" i="4"/>
  <c r="W12" i="3"/>
  <c r="W10" i="3"/>
  <c r="W13" i="3"/>
  <c r="I18" i="13"/>
  <c r="I5" i="13"/>
  <c r="I14" i="13"/>
  <c r="I64" i="13"/>
  <c r="I57" i="4"/>
  <c r="I65" i="4"/>
  <c r="I27" i="13"/>
  <c r="I54" i="13"/>
  <c r="I40" i="13"/>
  <c r="C5" i="20"/>
  <c r="I13" i="4"/>
  <c r="I37" i="4"/>
  <c r="I44" i="13"/>
  <c r="I15" i="4"/>
  <c r="W19" i="3"/>
  <c r="I57" i="13"/>
  <c r="I16" i="4"/>
  <c r="I40" i="4"/>
  <c r="I7" i="13"/>
  <c r="I9" i="13"/>
  <c r="I64" i="4"/>
  <c r="D52" i="3"/>
  <c r="BT5" i="19"/>
  <c r="BV5" i="19" s="1"/>
  <c r="I10" i="4"/>
  <c r="I18" i="4"/>
  <c r="I26" i="4"/>
  <c r="I34" i="4"/>
  <c r="I42" i="4"/>
  <c r="I50" i="4"/>
  <c r="W22" i="3"/>
  <c r="W7" i="3"/>
  <c r="I55" i="4"/>
  <c r="I33" i="13"/>
  <c r="I49" i="13"/>
  <c r="I21" i="13"/>
  <c r="I35" i="13"/>
  <c r="I15" i="13"/>
  <c r="I16" i="13"/>
  <c r="I58" i="4"/>
  <c r="Q5" i="3"/>
  <c r="I20" i="13" s="1"/>
  <c r="I29" i="13"/>
  <c r="I23" i="13"/>
  <c r="I29" i="4"/>
  <c r="W9" i="3"/>
  <c r="I38" i="13"/>
  <c r="I39" i="4"/>
  <c r="I11" i="13"/>
  <c r="I55" i="13"/>
  <c r="I39" i="13"/>
  <c r="I24" i="4"/>
  <c r="W15" i="3"/>
  <c r="I36" i="13"/>
  <c r="C9" i="20"/>
  <c r="I11" i="4"/>
  <c r="I19" i="4"/>
  <c r="I27" i="4"/>
  <c r="I35" i="4"/>
  <c r="I43" i="4"/>
  <c r="I51" i="4"/>
  <c r="I54" i="4"/>
  <c r="W18" i="3"/>
  <c r="I28" i="13"/>
  <c r="I19" i="13"/>
  <c r="I43" i="13"/>
  <c r="I46" i="13"/>
  <c r="I34" i="13"/>
  <c r="I45" i="13"/>
  <c r="I59" i="13"/>
  <c r="I60" i="13"/>
  <c r="I59" i="4"/>
  <c r="W20" i="3"/>
  <c r="I53" i="13"/>
  <c r="I60" i="4"/>
  <c r="D49" i="3"/>
  <c r="I21" i="4"/>
  <c r="I53" i="4"/>
  <c r="I17" i="13"/>
  <c r="I51" i="13"/>
  <c r="I37" i="13"/>
  <c r="I41" i="13"/>
  <c r="I31" i="4"/>
  <c r="W6" i="3"/>
  <c r="I25" i="13"/>
  <c r="I63" i="4"/>
  <c r="I8" i="4"/>
  <c r="I32" i="4"/>
  <c r="W17" i="3"/>
  <c r="I24" i="13"/>
  <c r="I56" i="4"/>
  <c r="D48" i="3"/>
  <c r="D53" i="3"/>
  <c r="C8" i="20"/>
  <c r="C10" i="20"/>
  <c r="I4" i="4"/>
  <c r="I12" i="4"/>
  <c r="I20" i="4"/>
  <c r="I28" i="4"/>
  <c r="I36" i="4"/>
  <c r="I44" i="4"/>
  <c r="I52" i="4"/>
  <c r="I62" i="13"/>
  <c r="I58" i="13"/>
  <c r="D56" i="3"/>
  <c r="I5" i="4"/>
  <c r="I45" i="4"/>
  <c r="I4" i="13"/>
  <c r="I61" i="4"/>
  <c r="W8" i="3"/>
  <c r="W14" i="3"/>
  <c r="D47" i="3"/>
  <c r="D50" i="3"/>
  <c r="D55" i="3"/>
  <c r="I6" i="4"/>
  <c r="I14" i="4"/>
  <c r="I22" i="4"/>
  <c r="I30" i="4"/>
  <c r="I38" i="4"/>
  <c r="I46" i="4"/>
  <c r="W21" i="3"/>
  <c r="W11" i="3"/>
  <c r="W16" i="3"/>
  <c r="I47" i="13"/>
  <c r="I10" i="13"/>
  <c r="I13" i="13"/>
  <c r="I56" i="13"/>
  <c r="I6" i="13"/>
  <c r="I65" i="13"/>
  <c r="I61" i="13"/>
  <c r="I32" i="13"/>
  <c r="I62" i="4"/>
  <c r="C2" i="20"/>
  <c r="C4" i="20"/>
  <c r="C7" i="20"/>
  <c r="C11" i="20"/>
  <c r="I7" i="4"/>
  <c r="I23" i="4"/>
  <c r="I47" i="4"/>
  <c r="I63" i="13"/>
  <c r="I8" i="13"/>
  <c r="I22" i="13"/>
  <c r="D51" i="3"/>
  <c r="C6" i="20"/>
  <c r="I48" i="4"/>
  <c r="I52" i="13"/>
  <c r="I31" i="13"/>
  <c r="I26" i="13" l="1"/>
  <c r="I50" i="13"/>
  <c r="I42" i="13"/>
  <c r="M18" i="20" a="1"/>
  <c r="M18" i="20" s="1"/>
  <c r="L18" i="20" a="1"/>
  <c r="L18" i="20" s="1"/>
  <c r="O18" i="20" a="1"/>
  <c r="O18" i="20" s="1"/>
  <c r="N18" i="20" a="1"/>
  <c r="N18" i="20" s="1"/>
  <c r="K18" i="20" a="1"/>
  <c r="K18" i="20" s="1"/>
  <c r="K23" i="20" a="1"/>
  <c r="K23" i="20" s="1"/>
  <c r="L23" i="20" a="1"/>
  <c r="L23" i="20" s="1"/>
  <c r="O23" i="20" a="1"/>
  <c r="O23" i="20" s="1"/>
  <c r="M23" i="20" a="1"/>
  <c r="M23" i="20" s="1"/>
  <c r="N23" i="20" a="1"/>
  <c r="N23" i="20" s="1"/>
  <c r="K22" i="20" a="1"/>
  <c r="K22" i="20" s="1"/>
  <c r="M22" i="20" a="1"/>
  <c r="M22" i="20" s="1"/>
  <c r="L22" i="20" a="1"/>
  <c r="L22" i="20" s="1"/>
  <c r="N22" i="20" a="1"/>
  <c r="N22" i="20" s="1"/>
  <c r="O22" i="20" a="1"/>
  <c r="O22" i="20" s="1"/>
  <c r="K17" i="20" a="1"/>
  <c r="K17" i="20" s="1"/>
  <c r="L17" i="20" a="1"/>
  <c r="L17" i="20" s="1"/>
  <c r="O17" i="20" a="1"/>
  <c r="O17" i="20" s="1"/>
  <c r="M17" i="20" a="1"/>
  <c r="M17" i="20" s="1"/>
  <c r="N17" i="20" a="1"/>
  <c r="N17" i="20" s="1"/>
  <c r="I12" i="13"/>
  <c r="L24" i="20" a="1"/>
  <c r="L24" i="20" s="1"/>
  <c r="M24" i="20" a="1"/>
  <c r="M24" i="20" s="1"/>
  <c r="O24" i="20" a="1"/>
  <c r="O24" i="20" s="1"/>
  <c r="N24" i="20" a="1"/>
  <c r="N24" i="20" s="1"/>
  <c r="K24" i="20" a="1"/>
  <c r="K24" i="20" s="1"/>
  <c r="K21" i="20" a="1"/>
  <c r="K21" i="20" s="1"/>
  <c r="N21" i="20" a="1"/>
  <c r="N21" i="20" s="1"/>
  <c r="L21" i="20" a="1"/>
  <c r="L21" i="20" s="1"/>
  <c r="M21" i="20" a="1"/>
  <c r="M21" i="20" s="1"/>
  <c r="O21" i="20" a="1"/>
  <c r="O21" i="20" s="1"/>
  <c r="I30" i="13"/>
  <c r="I48" i="13"/>
  <c r="M19" i="20" a="1"/>
  <c r="M19" i="20" s="1"/>
  <c r="K19" i="20" a="1"/>
  <c r="K19" i="20" s="1"/>
  <c r="O19" i="20" a="1"/>
  <c r="O19" i="20" s="1"/>
  <c r="L19" i="20" a="1"/>
  <c r="L19" i="20" s="1"/>
  <c r="N19" i="20" a="1"/>
  <c r="N19" i="20" s="1"/>
  <c r="K20" i="20" a="1"/>
  <c r="K20" i="20" s="1"/>
  <c r="O20" i="20" a="1"/>
  <c r="O20" i="20" s="1"/>
  <c r="N20" i="20" a="1"/>
  <c r="N20" i="20" s="1"/>
  <c r="L20" i="20" a="1"/>
  <c r="L20" i="20" s="1"/>
  <c r="M20" i="20" a="1"/>
  <c r="M20" i="20" s="1"/>
  <c r="M15" i="20" a="1"/>
  <c r="M15" i="20" s="1"/>
  <c r="O15" i="20" a="1"/>
  <c r="O15" i="20" s="1"/>
  <c r="K15" i="20" a="1"/>
  <c r="K15" i="20" s="1"/>
  <c r="N15" i="20" a="1"/>
  <c r="N15" i="20" s="1"/>
  <c r="L15" i="20" a="1"/>
  <c r="L15" i="20" s="1"/>
  <c r="L16" i="20" a="1"/>
  <c r="L16" i="20" s="1"/>
  <c r="M16" i="20" a="1"/>
  <c r="M16" i="20" s="1"/>
  <c r="K16" i="20" a="1"/>
  <c r="K16" i="20" s="1"/>
  <c r="O16" i="20" a="1"/>
  <c r="O16" i="20" s="1"/>
  <c r="N16" i="20" a="1"/>
  <c r="N16" i="20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15638B6-BF43-4422-BAE7-BB49E793DC81}" keepAlive="1" name="Query - FantasyPros_2019_Draft_Overall_Rankings (1)" description="Connection to the 'FantasyPros_2019_Draft_Overall_Rankings (1)' query in the workbook." type="5" refreshedVersion="6" background="1">
    <dbPr connection="Provider=Microsoft.Mashup.OleDb.1;Data Source=$Workbook$;Location=FantasyPros_2019_Draft_Overall_Rankings (1);Extended Properties=&quot;&quot;" command="SELECT * FROM [FantasyPros_2019_Draft_Overall_Rankings (1)]"/>
  </connection>
  <connection id="2" xr16:uid="{FF56EBF9-4047-439B-90CD-DC77C417FD52}" keepAlive="1" name="Query - FantasyPros_2019_Draft_Overall_Rankings (2)" description="Connection to the 'FantasyPros_2019_Draft_Overall_Rankings (2)' query in the workbook." type="5" refreshedVersion="6" background="1" saveData="1">
    <dbPr connection="Provider=Microsoft.Mashup.OleDb.1;Data Source=$Workbook$;Location=FantasyPros_2019_Draft_Overall_Rankings (2);Extended Properties=&quot;&quot;" command="SELECT * FROM [FantasyPros_2019_Draft_Overall_Rankings (2)]"/>
  </connection>
  <connection id="3" xr16:uid="{7AF0CDD5-0E53-4A0A-95FB-7B6CB82D4094}" keepAlive="1" name="Query - FantasyPros_2020_Draft_Overall_Rankings" description="Connection to the 'FantasyPros_2020_Draft_Overall_Rankings' query in the workbook." type="5" refreshedVersion="6" background="1">
    <dbPr connection="Provider=Microsoft.Mashup.OleDb.1;Data Source=$Workbook$;Location=FantasyPros_2020_Draft_Overall_Rankings;Extended Properties=&quot;&quot;" command="SELECT * FROM [FantasyPros_2020_Draft_Overall_Rankings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<sst xmlns="http://schemas.openxmlformats.org/spreadsheetml/2006/main" count="3634" uniqueCount="1570">
  <si>
    <t>Settings</t>
  </si>
  <si>
    <t>Settings Options</t>
  </si>
  <si>
    <t>ESPN</t>
  </si>
  <si>
    <t>QB</t>
  </si>
  <si>
    <t>RB</t>
  </si>
  <si>
    <t>WR</t>
  </si>
  <si>
    <t>FLEX</t>
  </si>
  <si>
    <t>TE</t>
  </si>
  <si>
    <t>DST</t>
  </si>
  <si>
    <t>K</t>
  </si>
  <si>
    <t>Bench</t>
  </si>
  <si>
    <t>Roster Size</t>
  </si>
  <si>
    <t>Position</t>
  </si>
  <si>
    <t>Number</t>
  </si>
  <si>
    <t>Number of Teams</t>
  </si>
  <si>
    <t>Team Name</t>
  </si>
  <si>
    <t>Draft Position</t>
  </si>
  <si>
    <t>1st</t>
  </si>
  <si>
    <t>2nd</t>
  </si>
  <si>
    <t>3rd</t>
  </si>
  <si>
    <t>4th</t>
  </si>
  <si>
    <t>5th</t>
  </si>
  <si>
    <t>6th</t>
  </si>
  <si>
    <t>7th</t>
  </si>
  <si>
    <t>8th</t>
  </si>
  <si>
    <t>9th</t>
  </si>
  <si>
    <t>10th</t>
  </si>
  <si>
    <t>11th</t>
  </si>
  <si>
    <t>12th</t>
  </si>
  <si>
    <t>13th</t>
  </si>
  <si>
    <t>14th</t>
  </si>
  <si>
    <t>Name</t>
  </si>
  <si>
    <t>Pos</t>
  </si>
  <si>
    <t>Team</t>
  </si>
  <si>
    <t>User Draft Position</t>
  </si>
  <si>
    <t>Overall</t>
  </si>
  <si>
    <t>Rank</t>
  </si>
  <si>
    <t>WSID</t>
  </si>
  <si>
    <t>Bye</t>
  </si>
  <si>
    <t>Best</t>
  </si>
  <si>
    <t>Worst</t>
  </si>
  <si>
    <t>Avg</t>
  </si>
  <si>
    <t>Std Dev</t>
  </si>
  <si>
    <t>ADP</t>
  </si>
  <si>
    <t>vs. ADP</t>
  </si>
  <si>
    <t/>
  </si>
  <si>
    <t>Saquon Barkley</t>
  </si>
  <si>
    <t>NYG</t>
  </si>
  <si>
    <t>RB1</t>
  </si>
  <si>
    <t>Ezekiel Elliott</t>
  </si>
  <si>
    <t>DAL</t>
  </si>
  <si>
    <t>RB2</t>
  </si>
  <si>
    <t>Christian McCaffrey</t>
  </si>
  <si>
    <t>CAR</t>
  </si>
  <si>
    <t>RB3</t>
  </si>
  <si>
    <t>Alvin Kamara</t>
  </si>
  <si>
    <t>NO</t>
  </si>
  <si>
    <t>RB4</t>
  </si>
  <si>
    <t>Melvin Gordon</t>
  </si>
  <si>
    <t>LAC</t>
  </si>
  <si>
    <t>RB5</t>
  </si>
  <si>
    <t>DeAndre Hopkins</t>
  </si>
  <si>
    <t>HOU</t>
  </si>
  <si>
    <t>WR1</t>
  </si>
  <si>
    <t>Davante Adams</t>
  </si>
  <si>
    <t>GB</t>
  </si>
  <si>
    <t>WR2</t>
  </si>
  <si>
    <t>David Johnson</t>
  </si>
  <si>
    <t>ARI</t>
  </si>
  <si>
    <t>RB6</t>
  </si>
  <si>
    <t>Le'Veon Bell</t>
  </si>
  <si>
    <t>NYJ</t>
  </si>
  <si>
    <t>RB7</t>
  </si>
  <si>
    <t>James Conner</t>
  </si>
  <si>
    <t>PIT</t>
  </si>
  <si>
    <t>RB8</t>
  </si>
  <si>
    <t>Julio Jones</t>
  </si>
  <si>
    <t>ATL</t>
  </si>
  <si>
    <t>WR3</t>
  </si>
  <si>
    <t>Joe Mixon</t>
  </si>
  <si>
    <t>CIN</t>
  </si>
  <si>
    <t>RB9</t>
  </si>
  <si>
    <t>LAR</t>
  </si>
  <si>
    <t>RB10</t>
  </si>
  <si>
    <t>Odell Beckham Jr.</t>
  </si>
  <si>
    <t>CLE</t>
  </si>
  <si>
    <t>WR4</t>
  </si>
  <si>
    <t>Travis Kelce</t>
  </si>
  <si>
    <t>KC</t>
  </si>
  <si>
    <t>TE1</t>
  </si>
  <si>
    <t>Michael Thomas</t>
  </si>
  <si>
    <t>WR5</t>
  </si>
  <si>
    <t>Nick Chubb</t>
  </si>
  <si>
    <t>RB11</t>
  </si>
  <si>
    <t>JuJu Smith-Schuster</t>
  </si>
  <si>
    <t>WR6</t>
  </si>
  <si>
    <t>George Kittle</t>
  </si>
  <si>
    <t>SF</t>
  </si>
  <si>
    <t>TE2</t>
  </si>
  <si>
    <t>Antonio Brown</t>
  </si>
  <si>
    <t>WR7</t>
  </si>
  <si>
    <t>Dalvin Cook</t>
  </si>
  <si>
    <t>MIN</t>
  </si>
  <si>
    <t>RB12</t>
  </si>
  <si>
    <t>Mike Evans</t>
  </si>
  <si>
    <t>TB</t>
  </si>
  <si>
    <t>WR8</t>
  </si>
  <si>
    <t>T.Y. Hilton</t>
  </si>
  <si>
    <t>IND</t>
  </si>
  <si>
    <t>WR9</t>
  </si>
  <si>
    <t>A.J. Green</t>
  </si>
  <si>
    <t>WR10</t>
  </si>
  <si>
    <t>Marlon Mack</t>
  </si>
  <si>
    <t>RB13</t>
  </si>
  <si>
    <t>Keenan Allen</t>
  </si>
  <si>
    <t>WR11</t>
  </si>
  <si>
    <t>Amari Cooper</t>
  </si>
  <si>
    <t>WR12</t>
  </si>
  <si>
    <t>Sony Michel</t>
  </si>
  <si>
    <t>NE</t>
  </si>
  <si>
    <t>RB14</t>
  </si>
  <si>
    <t>Derrick Henry</t>
  </si>
  <si>
    <t>TEN</t>
  </si>
  <si>
    <t>RB15</t>
  </si>
  <si>
    <t>Leonard Fournette</t>
  </si>
  <si>
    <t>JAC</t>
  </si>
  <si>
    <t>RB16</t>
  </si>
  <si>
    <t>Adam Thielen</t>
  </si>
  <si>
    <t>WR13</t>
  </si>
  <si>
    <t>Stefon Diggs</t>
  </si>
  <si>
    <t>WR14</t>
  </si>
  <si>
    <t>Aaron Jones</t>
  </si>
  <si>
    <t>RB17</t>
  </si>
  <si>
    <t>Zach Ertz</t>
  </si>
  <si>
    <t>PHI</t>
  </si>
  <si>
    <t>TE3</t>
  </si>
  <si>
    <t>Brandin Cooks</t>
  </si>
  <si>
    <t>WR15</t>
  </si>
  <si>
    <t>RB18</t>
  </si>
  <si>
    <t>Patrick Mahomes</t>
  </si>
  <si>
    <t>QB1</t>
  </si>
  <si>
    <t>Robert Woods</t>
  </si>
  <si>
    <t>WR16</t>
  </si>
  <si>
    <t>Kenny Golladay</t>
  </si>
  <si>
    <t>DET</t>
  </si>
  <si>
    <t>WR17</t>
  </si>
  <si>
    <t>Devonta Freeman</t>
  </si>
  <si>
    <t>RB19</t>
  </si>
  <si>
    <t>Chris Carson</t>
  </si>
  <si>
    <t>SEA</t>
  </si>
  <si>
    <t>RB20</t>
  </si>
  <si>
    <t>Julian Edelman</t>
  </si>
  <si>
    <t>WR18</t>
  </si>
  <si>
    <t>Cooper Kupp</t>
  </si>
  <si>
    <t>WR19</t>
  </si>
  <si>
    <t>Kerryon Johnson</t>
  </si>
  <si>
    <t>RB21</t>
  </si>
  <si>
    <t>BAL</t>
  </si>
  <si>
    <t>RB22</t>
  </si>
  <si>
    <t>QB2</t>
  </si>
  <si>
    <t>Phillip Lindsay</t>
  </si>
  <si>
    <t>DEN</t>
  </si>
  <si>
    <t>RB23</t>
  </si>
  <si>
    <t>Alshon Jeffery</t>
  </si>
  <si>
    <t>WR20</t>
  </si>
  <si>
    <t>Aaron Rodgers</t>
  </si>
  <si>
    <t>QB3</t>
  </si>
  <si>
    <t>Chris Godwin</t>
  </si>
  <si>
    <t>WR21</t>
  </si>
  <si>
    <t>Tyler Lockett</t>
  </si>
  <si>
    <t>WR22</t>
  </si>
  <si>
    <t>WR23</t>
  </si>
  <si>
    <t>O.J. Howard</t>
  </si>
  <si>
    <t>TE4</t>
  </si>
  <si>
    <t>CHI</t>
  </si>
  <si>
    <t>WR24</t>
  </si>
  <si>
    <t>Sammy Watkins</t>
  </si>
  <si>
    <t>WR25</t>
  </si>
  <si>
    <t>Kenyan Drake</t>
  </si>
  <si>
    <t>MIA</t>
  </si>
  <si>
    <t>RB24</t>
  </si>
  <si>
    <t>Deshaun Watson</t>
  </si>
  <si>
    <t>QB4</t>
  </si>
  <si>
    <t>Derrius Guice</t>
  </si>
  <si>
    <t>WAS</t>
  </si>
  <si>
    <t>RB25</t>
  </si>
  <si>
    <t>Calvin Ridley</t>
  </si>
  <si>
    <t>WR26</t>
  </si>
  <si>
    <t>Lamar Miller</t>
  </si>
  <si>
    <t>RB26</t>
  </si>
  <si>
    <t>Mike Williams</t>
  </si>
  <si>
    <t>WR27</t>
  </si>
  <si>
    <t>Tevin Coleman</t>
  </si>
  <si>
    <t>RB27</t>
  </si>
  <si>
    <t>Robby Anderson</t>
  </si>
  <si>
    <t>WR28</t>
  </si>
  <si>
    <t>Hunter Henry</t>
  </si>
  <si>
    <t>TE5</t>
  </si>
  <si>
    <t>Corey Davis</t>
  </si>
  <si>
    <t>WR29</t>
  </si>
  <si>
    <t>Jarvis Landry</t>
  </si>
  <si>
    <t>WR30</t>
  </si>
  <si>
    <t>Baker Mayfield</t>
  </si>
  <si>
    <t>QB5</t>
  </si>
  <si>
    <t>Josh Jacobs</t>
  </si>
  <si>
    <t>RB28</t>
  </si>
  <si>
    <t>Tarik Cohen</t>
  </si>
  <si>
    <t>RB29</t>
  </si>
  <si>
    <t>Tyler Boyd</t>
  </si>
  <si>
    <t>WR31</t>
  </si>
  <si>
    <t>Russell Wilson</t>
  </si>
  <si>
    <t>QB6</t>
  </si>
  <si>
    <t>Evan Engram</t>
  </si>
  <si>
    <t>TE6</t>
  </si>
  <si>
    <t>WR32</t>
  </si>
  <si>
    <t>Matt Ryan</t>
  </si>
  <si>
    <t>QB7</t>
  </si>
  <si>
    <t>WR33</t>
  </si>
  <si>
    <t>Latavius Murray</t>
  </si>
  <si>
    <t>RB30</t>
  </si>
  <si>
    <t>Drew Brees</t>
  </si>
  <si>
    <t>QB8</t>
  </si>
  <si>
    <t>Dante Pettis</t>
  </si>
  <si>
    <t>WR34</t>
  </si>
  <si>
    <t>James White</t>
  </si>
  <si>
    <t>RB31</t>
  </si>
  <si>
    <t>Jordan Howard</t>
  </si>
  <si>
    <t>RB32</t>
  </si>
  <si>
    <t>Eric Ebron</t>
  </si>
  <si>
    <t>TE7</t>
  </si>
  <si>
    <t>Jared Cook</t>
  </si>
  <si>
    <t>TE8</t>
  </si>
  <si>
    <t>Rashaad Penny</t>
  </si>
  <si>
    <t>RB33</t>
  </si>
  <si>
    <t>Cam Newton</t>
  </si>
  <si>
    <t>QB9</t>
  </si>
  <si>
    <t>Courtland Sutton</t>
  </si>
  <si>
    <t>WR35</t>
  </si>
  <si>
    <t>Sterling Shepard</t>
  </si>
  <si>
    <t>WR36</t>
  </si>
  <si>
    <t>LeSean McCoy</t>
  </si>
  <si>
    <t>BUF</t>
  </si>
  <si>
    <t>RB34</t>
  </si>
  <si>
    <t>Christian Kirk</t>
  </si>
  <si>
    <t>WR37</t>
  </si>
  <si>
    <t>Jerick McKinnon</t>
  </si>
  <si>
    <t>RB35</t>
  </si>
  <si>
    <t>David Njoku</t>
  </si>
  <si>
    <t>TE9</t>
  </si>
  <si>
    <t>Golden Tate</t>
  </si>
  <si>
    <t>WR38</t>
  </si>
  <si>
    <t>Jameis Winston</t>
  </si>
  <si>
    <t>QB10</t>
  </si>
  <si>
    <t>Royce Freeman</t>
  </si>
  <si>
    <t>RB36</t>
  </si>
  <si>
    <t>David Montgomery</t>
  </si>
  <si>
    <t>RB37</t>
  </si>
  <si>
    <t>Jared Goff</t>
  </si>
  <si>
    <t>QB11</t>
  </si>
  <si>
    <t>Carson Wentz</t>
  </si>
  <si>
    <t>QB12</t>
  </si>
  <si>
    <t>Dede Westbrook</t>
  </si>
  <si>
    <t>WR39</t>
  </si>
  <si>
    <t>Ben Roethlisberger</t>
  </si>
  <si>
    <t>QB13</t>
  </si>
  <si>
    <t>Curtis Samuel</t>
  </si>
  <si>
    <t>WR40</t>
  </si>
  <si>
    <t>Anthony Miller</t>
  </si>
  <si>
    <t>WR41</t>
  </si>
  <si>
    <t>Larry Fitzgerald</t>
  </si>
  <si>
    <t>WR42</t>
  </si>
  <si>
    <t>Philip Rivers</t>
  </si>
  <si>
    <t>QB14</t>
  </si>
  <si>
    <t>Keke Coutee</t>
  </si>
  <si>
    <t>WR43</t>
  </si>
  <si>
    <t>WR44</t>
  </si>
  <si>
    <t>Dak Prescott</t>
  </si>
  <si>
    <t>QB15</t>
  </si>
  <si>
    <t>RB38</t>
  </si>
  <si>
    <t>QB16</t>
  </si>
  <si>
    <t>Dion Lewis</t>
  </si>
  <si>
    <t>RB39</t>
  </si>
  <si>
    <t>Lamar Jackson</t>
  </si>
  <si>
    <t>QB17</t>
  </si>
  <si>
    <t>Matt Breida</t>
  </si>
  <si>
    <t>RB40</t>
  </si>
  <si>
    <t>Michael Gallup</t>
  </si>
  <si>
    <t>WR45</t>
  </si>
  <si>
    <t>Ito Smith</t>
  </si>
  <si>
    <t>RB41</t>
  </si>
  <si>
    <t>Delanie Walker</t>
  </si>
  <si>
    <t>TE10</t>
  </si>
  <si>
    <t>TE11</t>
  </si>
  <si>
    <t>DeSean Jackson</t>
  </si>
  <si>
    <t>WR46</t>
  </si>
  <si>
    <t>Austin Hooper</t>
  </si>
  <si>
    <t>TE12</t>
  </si>
  <si>
    <t>Trey Burton</t>
  </si>
  <si>
    <t>TE13</t>
  </si>
  <si>
    <t>WR47</t>
  </si>
  <si>
    <t>Nyheim Hines</t>
  </si>
  <si>
    <t>RB42</t>
  </si>
  <si>
    <t>John Brown</t>
  </si>
  <si>
    <t>WR48</t>
  </si>
  <si>
    <t>Josh Allen</t>
  </si>
  <si>
    <t>QB18</t>
  </si>
  <si>
    <t>Tom Brady</t>
  </si>
  <si>
    <t>QB19</t>
  </si>
  <si>
    <t>Jimmy Garoppolo</t>
  </si>
  <si>
    <t>QB20</t>
  </si>
  <si>
    <t>Kyler Murray</t>
  </si>
  <si>
    <t>QB21</t>
  </si>
  <si>
    <t>James Washington</t>
  </si>
  <si>
    <t>WR49</t>
  </si>
  <si>
    <t>Kenny Stills</t>
  </si>
  <si>
    <t>WR50</t>
  </si>
  <si>
    <t>Emmanuel Sanders</t>
  </si>
  <si>
    <t>WR51</t>
  </si>
  <si>
    <t>Vance McDonald</t>
  </si>
  <si>
    <t>TE14</t>
  </si>
  <si>
    <t>Kirk Cousins</t>
  </si>
  <si>
    <t>QB22</t>
  </si>
  <si>
    <t>Austin Ekeler</t>
  </si>
  <si>
    <t>RB43</t>
  </si>
  <si>
    <t>Carlos Hyde</t>
  </si>
  <si>
    <t>RB44</t>
  </si>
  <si>
    <t>WR52</t>
  </si>
  <si>
    <t>Kareem Hunt</t>
  </si>
  <si>
    <t>RB45</t>
  </si>
  <si>
    <t>RB46</t>
  </si>
  <si>
    <t>WR53</t>
  </si>
  <si>
    <t>Peyton Barber</t>
  </si>
  <si>
    <t>RB47</t>
  </si>
  <si>
    <t>Jack Doyle</t>
  </si>
  <si>
    <t>TE15</t>
  </si>
  <si>
    <t>DaeSean Hamilton</t>
  </si>
  <si>
    <t>WR54</t>
  </si>
  <si>
    <t>Adrian Peterson</t>
  </si>
  <si>
    <t>RB48</t>
  </si>
  <si>
    <t>Jordan Reed</t>
  </si>
  <si>
    <t>TE16</t>
  </si>
  <si>
    <t>Miles Sanders</t>
  </si>
  <si>
    <t>RB49</t>
  </si>
  <si>
    <t>Greg Olsen</t>
  </si>
  <si>
    <t>TE17</t>
  </si>
  <si>
    <t>Marquez Valdes-Scantling</t>
  </si>
  <si>
    <t>WR55</t>
  </si>
  <si>
    <t>Jamison Crowder</t>
  </si>
  <si>
    <t>WR56</t>
  </si>
  <si>
    <t>Adam Humphries</t>
  </si>
  <si>
    <t>WR57</t>
  </si>
  <si>
    <t>N'Keal Harry</t>
  </si>
  <si>
    <t>WR58</t>
  </si>
  <si>
    <t>Jamaal Williams</t>
  </si>
  <si>
    <t>RB50</t>
  </si>
  <si>
    <t>Tyrell Williams</t>
  </si>
  <si>
    <t>WR59</t>
  </si>
  <si>
    <t>RB51</t>
  </si>
  <si>
    <t>Kyle Rudolph</t>
  </si>
  <si>
    <t>TE18</t>
  </si>
  <si>
    <t>Derek Carr</t>
  </si>
  <si>
    <t>QB23</t>
  </si>
  <si>
    <t>Sam Darnold</t>
  </si>
  <si>
    <t>QB24</t>
  </si>
  <si>
    <t>Jimmy Graham</t>
  </si>
  <si>
    <t>TE19</t>
  </si>
  <si>
    <t>C.J. Anderson</t>
  </si>
  <si>
    <t>RB52</t>
  </si>
  <si>
    <t>Kalen Ballage</t>
  </si>
  <si>
    <t>RB53</t>
  </si>
  <si>
    <t>Mike Davis</t>
  </si>
  <si>
    <t>RB54</t>
  </si>
  <si>
    <t>Matthew Stafford</t>
  </si>
  <si>
    <t>QB25</t>
  </si>
  <si>
    <t>WR60</t>
  </si>
  <si>
    <t>WR61</t>
  </si>
  <si>
    <t>WR62</t>
  </si>
  <si>
    <t>Andy Dalton</t>
  </si>
  <si>
    <t>QB26</t>
  </si>
  <si>
    <t>Parris Campbell</t>
  </si>
  <si>
    <t>WR63</t>
  </si>
  <si>
    <t>Tre'Quan Smith</t>
  </si>
  <si>
    <t>WR64</t>
  </si>
  <si>
    <t>WR65</t>
  </si>
  <si>
    <t>WR66</t>
  </si>
  <si>
    <t>DST1</t>
  </si>
  <si>
    <t>Mecole Hardman</t>
  </si>
  <si>
    <t>WR67</t>
  </si>
  <si>
    <t>Kenneth Dixon</t>
  </si>
  <si>
    <t>RB55</t>
  </si>
  <si>
    <t>Marcus Mariota</t>
  </si>
  <si>
    <t>QB27</t>
  </si>
  <si>
    <t>Chris Thompson</t>
  </si>
  <si>
    <t>RB56</t>
  </si>
  <si>
    <t>WR68</t>
  </si>
  <si>
    <t>A.J. Brown</t>
  </si>
  <si>
    <t>WR69</t>
  </si>
  <si>
    <t>T.J. Hockenson</t>
  </si>
  <si>
    <t>TE20</t>
  </si>
  <si>
    <t>Taylor Gabriel</t>
  </si>
  <si>
    <t>WR70</t>
  </si>
  <si>
    <t>WR71</t>
  </si>
  <si>
    <t>Rex Burkhead</t>
  </si>
  <si>
    <t>RB57</t>
  </si>
  <si>
    <t>DST2</t>
  </si>
  <si>
    <t>Zay Jones</t>
  </si>
  <si>
    <t>WR72</t>
  </si>
  <si>
    <t>Marquise Brown</t>
  </si>
  <si>
    <t>WR73</t>
  </si>
  <si>
    <t>Noah Fant</t>
  </si>
  <si>
    <t>TE21</t>
  </si>
  <si>
    <t>DST3</t>
  </si>
  <si>
    <t>DST4</t>
  </si>
  <si>
    <t>DST5</t>
  </si>
  <si>
    <t>Nick Foles</t>
  </si>
  <si>
    <t>QB28</t>
  </si>
  <si>
    <t>RB58</t>
  </si>
  <si>
    <t>David Moore</t>
  </si>
  <si>
    <t>WR74</t>
  </si>
  <si>
    <t>Deebo Samuel</t>
  </si>
  <si>
    <t>WR75</t>
  </si>
  <si>
    <t>Mike Gesicki</t>
  </si>
  <si>
    <t>TE22</t>
  </si>
  <si>
    <t>Gus Edwards</t>
  </si>
  <si>
    <t>RB59</t>
  </si>
  <si>
    <t>Jaylen Samuels</t>
  </si>
  <si>
    <t>RB60</t>
  </si>
  <si>
    <t>DST6</t>
  </si>
  <si>
    <t>WR76</t>
  </si>
  <si>
    <t>Giovani Bernard</t>
  </si>
  <si>
    <t>RB61</t>
  </si>
  <si>
    <t>Elijah McGuire</t>
  </si>
  <si>
    <t>RB62</t>
  </si>
  <si>
    <t>Mark Andrews</t>
  </si>
  <si>
    <t>TE23</t>
  </si>
  <si>
    <t>WR77</t>
  </si>
  <si>
    <t>DST7</t>
  </si>
  <si>
    <t>Dallas Goedert</t>
  </si>
  <si>
    <t>TE24</t>
  </si>
  <si>
    <t>Greg Zuerlein</t>
  </si>
  <si>
    <t>K1</t>
  </si>
  <si>
    <t>DST8</t>
  </si>
  <si>
    <t>DST9</t>
  </si>
  <si>
    <t>Randall Cobb</t>
  </si>
  <si>
    <t>WR78</t>
  </si>
  <si>
    <t>Nelson Agholor</t>
  </si>
  <si>
    <t>WR79</t>
  </si>
  <si>
    <t>Frank Gore</t>
  </si>
  <si>
    <t>RB63</t>
  </si>
  <si>
    <t>Justin Tucker</t>
  </si>
  <si>
    <t>K2</t>
  </si>
  <si>
    <t>Stephen Gostkowski</t>
  </si>
  <si>
    <t>K3</t>
  </si>
  <si>
    <t>Andy Isabella</t>
  </si>
  <si>
    <t>WR80</t>
  </si>
  <si>
    <t>Harrison Butker</t>
  </si>
  <si>
    <t>K4</t>
  </si>
  <si>
    <t>DST10</t>
  </si>
  <si>
    <t>Devin Singletary</t>
  </si>
  <si>
    <t>RB64</t>
  </si>
  <si>
    <t>TE25</t>
  </si>
  <si>
    <t>Jalen Richard</t>
  </si>
  <si>
    <t>RB65</t>
  </si>
  <si>
    <t>Equanimeous St. Brown</t>
  </si>
  <si>
    <t>WR81</t>
  </si>
  <si>
    <t>Gerald Everett</t>
  </si>
  <si>
    <t>TE26</t>
  </si>
  <si>
    <t>DST11</t>
  </si>
  <si>
    <t>DST12</t>
  </si>
  <si>
    <t>Tyreek Hill</t>
  </si>
  <si>
    <t>WR82</t>
  </si>
  <si>
    <t>Joe Flacco</t>
  </si>
  <si>
    <t>QB29</t>
  </si>
  <si>
    <t>Wil Lutz</t>
  </si>
  <si>
    <t>K5</t>
  </si>
  <si>
    <t>WR83</t>
  </si>
  <si>
    <t>WR84</t>
  </si>
  <si>
    <t>Ted Ginn</t>
  </si>
  <si>
    <t>WR85</t>
  </si>
  <si>
    <t>DST13</t>
  </si>
  <si>
    <t>Damien Harris</t>
  </si>
  <si>
    <t>RB66</t>
  </si>
  <si>
    <t>Josh Rosen</t>
  </si>
  <si>
    <t>QB30</t>
  </si>
  <si>
    <t>Demaryius Thomas</t>
  </si>
  <si>
    <t>WR86</t>
  </si>
  <si>
    <t>DST14</t>
  </si>
  <si>
    <t>FA</t>
  </si>
  <si>
    <t>RB67</t>
  </si>
  <si>
    <t>Malcolm Brown</t>
  </si>
  <si>
    <t>RB68</t>
  </si>
  <si>
    <t>T.J. Yeldon</t>
  </si>
  <si>
    <t>RB69</t>
  </si>
  <si>
    <t>DST15</t>
  </si>
  <si>
    <t>Josh Reynolds</t>
  </si>
  <si>
    <t>WR87</t>
  </si>
  <si>
    <t>Mason Crosby</t>
  </si>
  <si>
    <t>K6</t>
  </si>
  <si>
    <t>Tyler Eifert</t>
  </si>
  <si>
    <t>TE27</t>
  </si>
  <si>
    <t>Josh Adams</t>
  </si>
  <si>
    <t>RB70</t>
  </si>
  <si>
    <t>QB31</t>
  </si>
  <si>
    <t>Justice Hill</t>
  </si>
  <si>
    <t>RB71</t>
  </si>
  <si>
    <t>WR88</t>
  </si>
  <si>
    <t>DST16</t>
  </si>
  <si>
    <t>WR89</t>
  </si>
  <si>
    <t>DST17</t>
  </si>
  <si>
    <t>Cameron Brate</t>
  </si>
  <si>
    <t>TE28</t>
  </si>
  <si>
    <t>Brett Maher</t>
  </si>
  <si>
    <t>K7</t>
  </si>
  <si>
    <t>Matt Prater</t>
  </si>
  <si>
    <t>K8</t>
  </si>
  <si>
    <t>WR90</t>
  </si>
  <si>
    <t>Jake Elliott</t>
  </si>
  <si>
    <t>K9</t>
  </si>
  <si>
    <t>Ka'imi Fairbairn</t>
  </si>
  <si>
    <t>K10</t>
  </si>
  <si>
    <t>Robbie Gould</t>
  </si>
  <si>
    <t>K11</t>
  </si>
  <si>
    <t>Hakeem Butler</t>
  </si>
  <si>
    <t>WR91</t>
  </si>
  <si>
    <t>DST18</t>
  </si>
  <si>
    <t>Chase Edmonds</t>
  </si>
  <si>
    <t>RB72</t>
  </si>
  <si>
    <t>Trey Quinn</t>
  </si>
  <si>
    <t>WR92</t>
  </si>
  <si>
    <t>DST19</t>
  </si>
  <si>
    <t>Michael Badgley</t>
  </si>
  <si>
    <t>K12</t>
  </si>
  <si>
    <t>Adam Vinatieri</t>
  </si>
  <si>
    <t>K13</t>
  </si>
  <si>
    <t>DST20</t>
  </si>
  <si>
    <t>Jason Myers</t>
  </si>
  <si>
    <t>K14</t>
  </si>
  <si>
    <t>Hayden Hurst</t>
  </si>
  <si>
    <t>TE29</t>
  </si>
  <si>
    <t>RB73</t>
  </si>
  <si>
    <t>Aldrick Rosas</t>
  </si>
  <si>
    <t>K15</t>
  </si>
  <si>
    <t>RB74</t>
  </si>
  <si>
    <t>Ricky Seals-Jones</t>
  </si>
  <si>
    <t>TE30</t>
  </si>
  <si>
    <t>J.J. Arcega-Whiteside</t>
  </si>
  <si>
    <t>WR93</t>
  </si>
  <si>
    <t>QB32</t>
  </si>
  <si>
    <t>WR94</t>
  </si>
  <si>
    <t>WR95</t>
  </si>
  <si>
    <t>RB75</t>
  </si>
  <si>
    <t>Ian Thomas</t>
  </si>
  <si>
    <t>TE31</t>
  </si>
  <si>
    <t>Justin Jackson</t>
  </si>
  <si>
    <t>RB76</t>
  </si>
  <si>
    <t>Danny Amendola</t>
  </si>
  <si>
    <t>WR96</t>
  </si>
  <si>
    <t>Keelan Cole</t>
  </si>
  <si>
    <t>WR97</t>
  </si>
  <si>
    <t>WR98</t>
  </si>
  <si>
    <t>Corey Clement</t>
  </si>
  <si>
    <t>RB77</t>
  </si>
  <si>
    <t>Graham Gano</t>
  </si>
  <si>
    <t>K16</t>
  </si>
  <si>
    <t>Chris Boswell</t>
  </si>
  <si>
    <t>K17</t>
  </si>
  <si>
    <t>Jordan Wilkins</t>
  </si>
  <si>
    <t>RB78</t>
  </si>
  <si>
    <t>Cole Beasley</t>
  </si>
  <si>
    <t>WR99</t>
  </si>
  <si>
    <t>DST21</t>
  </si>
  <si>
    <t>Dan Bailey</t>
  </si>
  <si>
    <t>K18</t>
  </si>
  <si>
    <t>Chris Conley</t>
  </si>
  <si>
    <t>WR100</t>
  </si>
  <si>
    <t>DST22</t>
  </si>
  <si>
    <t>Case Keenum</t>
  </si>
  <si>
    <t>QB33</t>
  </si>
  <si>
    <t>K19</t>
  </si>
  <si>
    <t>DST23</t>
  </si>
  <si>
    <t>Alexander Mattison</t>
  </si>
  <si>
    <t>RB79</t>
  </si>
  <si>
    <t>Ryan Fitzpatrick</t>
  </si>
  <si>
    <t>QB34</t>
  </si>
  <si>
    <t>WR101</t>
  </si>
  <si>
    <t>Ryquell Armstead</t>
  </si>
  <si>
    <t>RB80</t>
  </si>
  <si>
    <t>K20</t>
  </si>
  <si>
    <t>Nick Vannett</t>
  </si>
  <si>
    <t>TE32</t>
  </si>
  <si>
    <t>Jason Witten</t>
  </si>
  <si>
    <t>TE33</t>
  </si>
  <si>
    <t>Greg Joseph</t>
  </si>
  <si>
    <t>K21</t>
  </si>
  <si>
    <t>Ryan Tannehill</t>
  </si>
  <si>
    <t>QB35</t>
  </si>
  <si>
    <t>Brandon McManus</t>
  </si>
  <si>
    <t>K22</t>
  </si>
  <si>
    <t>Rashard Higgins</t>
  </si>
  <si>
    <t>WR102</t>
  </si>
  <si>
    <t>WR103</t>
  </si>
  <si>
    <t>DST24</t>
  </si>
  <si>
    <t>Cordarrelle Patterson</t>
  </si>
  <si>
    <t>WR104</t>
  </si>
  <si>
    <t>Jake Kumerow</t>
  </si>
  <si>
    <t>WR105</t>
  </si>
  <si>
    <t>Josh Lambo</t>
  </si>
  <si>
    <t>K23</t>
  </si>
  <si>
    <t>WR106</t>
  </si>
  <si>
    <t>Irv Smith Jr.</t>
  </si>
  <si>
    <t>TE34</t>
  </si>
  <si>
    <t>WR107</t>
  </si>
  <si>
    <t>Breshad Perriman</t>
  </si>
  <si>
    <t>WR108</t>
  </si>
  <si>
    <t>Jonnu Smith</t>
  </si>
  <si>
    <t>TE35</t>
  </si>
  <si>
    <t>WR109</t>
  </si>
  <si>
    <t>John Kelly</t>
  </si>
  <si>
    <t>RB81</t>
  </si>
  <si>
    <t>Wendell Smallwood</t>
  </si>
  <si>
    <t>RB82</t>
  </si>
  <si>
    <t>WR110</t>
  </si>
  <si>
    <t>Devontae Booker</t>
  </si>
  <si>
    <t>RB83</t>
  </si>
  <si>
    <t>DST25</t>
  </si>
  <si>
    <t>K24</t>
  </si>
  <si>
    <t>TE36</t>
  </si>
  <si>
    <t>Diontae Johnson</t>
  </si>
  <si>
    <t>WR111</t>
  </si>
  <si>
    <t>RB84</t>
  </si>
  <si>
    <t>TE37</t>
  </si>
  <si>
    <t>Daniel Carlson</t>
  </si>
  <si>
    <t>K25</t>
  </si>
  <si>
    <t>K26</t>
  </si>
  <si>
    <t>DST26</t>
  </si>
  <si>
    <t>Jeff Wilson</t>
  </si>
  <si>
    <t>RB85</t>
  </si>
  <si>
    <t>RB86</t>
  </si>
  <si>
    <t>Wayne Gallman</t>
  </si>
  <si>
    <t>RB87</t>
  </si>
  <si>
    <t>Jace Sternberger</t>
  </si>
  <si>
    <t>TE38</t>
  </si>
  <si>
    <t>Kendrick Bourne</t>
  </si>
  <si>
    <t>WR112</t>
  </si>
  <si>
    <t>Benny Snell Jr.</t>
  </si>
  <si>
    <t>RB88</t>
  </si>
  <si>
    <t>DST27</t>
  </si>
  <si>
    <t>RB89</t>
  </si>
  <si>
    <t>Demarcus Robinson</t>
  </si>
  <si>
    <t>WR113</t>
  </si>
  <si>
    <t>WR114</t>
  </si>
  <si>
    <t>RB90</t>
  </si>
  <si>
    <t>Will Dissly</t>
  </si>
  <si>
    <t>TE39</t>
  </si>
  <si>
    <t>QB36</t>
  </si>
  <si>
    <t>Ty Montgomery</t>
  </si>
  <si>
    <t>RB91</t>
  </si>
  <si>
    <t>DST28</t>
  </si>
  <si>
    <t>Trent Taylor</t>
  </si>
  <si>
    <t>WR115</t>
  </si>
  <si>
    <t>WR116</t>
  </si>
  <si>
    <t>RB92</t>
  </si>
  <si>
    <t>WR117</t>
  </si>
  <si>
    <t>Bilal Powell</t>
  </si>
  <si>
    <t>RB93</t>
  </si>
  <si>
    <t>DST29</t>
  </si>
  <si>
    <t>K27</t>
  </si>
  <si>
    <t>K28</t>
  </si>
  <si>
    <t>Ameer Abdullah</t>
  </si>
  <si>
    <t>RB94</t>
  </si>
  <si>
    <t>Miles Boykin</t>
  </si>
  <si>
    <t>WR118</t>
  </si>
  <si>
    <t>Jesse James</t>
  </si>
  <si>
    <t>TE40</t>
  </si>
  <si>
    <t>WR119</t>
  </si>
  <si>
    <t>TE41</t>
  </si>
  <si>
    <t>Darwin Thompson</t>
  </si>
  <si>
    <t>RB95</t>
  </si>
  <si>
    <t>Bryce Love</t>
  </si>
  <si>
    <t>RB96</t>
  </si>
  <si>
    <t>Trenton Cannon</t>
  </si>
  <si>
    <t>RB97</t>
  </si>
  <si>
    <t>WR120</t>
  </si>
  <si>
    <t>WR121</t>
  </si>
  <si>
    <t>Terry McLaurin</t>
  </si>
  <si>
    <t>WR122</t>
  </si>
  <si>
    <t>WR123</t>
  </si>
  <si>
    <t>DST30</t>
  </si>
  <si>
    <t>K29</t>
  </si>
  <si>
    <t>WR124</t>
  </si>
  <si>
    <t>Blake Jarwin</t>
  </si>
  <si>
    <t>TE42</t>
  </si>
  <si>
    <t>Laquon Treadwell</t>
  </si>
  <si>
    <t>WR125</t>
  </si>
  <si>
    <t>RB98</t>
  </si>
  <si>
    <t>RB99</t>
  </si>
  <si>
    <t>WR126</t>
  </si>
  <si>
    <t>RB100</t>
  </si>
  <si>
    <t>RB101</t>
  </si>
  <si>
    <t>C.J. Uzomah</t>
  </si>
  <si>
    <t>TE43</t>
  </si>
  <si>
    <t>Dustin Hopkins</t>
  </si>
  <si>
    <t>K30</t>
  </si>
  <si>
    <t>RB102</t>
  </si>
  <si>
    <t>TE44</t>
  </si>
  <si>
    <t>WR127</t>
  </si>
  <si>
    <t>WR128</t>
  </si>
  <si>
    <t>WR129</t>
  </si>
  <si>
    <t>RB103</t>
  </si>
  <si>
    <t>Teddy Bridgewater</t>
  </si>
  <si>
    <t>QB37</t>
  </si>
  <si>
    <t>TE45</t>
  </si>
  <si>
    <t>Josh Gordon</t>
  </si>
  <si>
    <t>WR130</t>
  </si>
  <si>
    <t>Tyrod Taylor</t>
  </si>
  <si>
    <t>QB38</t>
  </si>
  <si>
    <t>Myles Gaskin</t>
  </si>
  <si>
    <t>RB104</t>
  </si>
  <si>
    <t>WR131</t>
  </si>
  <si>
    <t>RB105</t>
  </si>
  <si>
    <t>WR132</t>
  </si>
  <si>
    <t>Daniel Jones</t>
  </si>
  <si>
    <t>QB39</t>
  </si>
  <si>
    <t>Taysom Hill</t>
  </si>
  <si>
    <t>QB40</t>
  </si>
  <si>
    <t>WR133</t>
  </si>
  <si>
    <t>Justin Watson</t>
  </si>
  <si>
    <t>WR134</t>
  </si>
  <si>
    <t>WR135</t>
  </si>
  <si>
    <t>Dexter Williams</t>
  </si>
  <si>
    <t>RB106</t>
  </si>
  <si>
    <t>Jordan Scarlett</t>
  </si>
  <si>
    <t>RB107</t>
  </si>
  <si>
    <t>TE46</t>
  </si>
  <si>
    <t>Tyler Higbee</t>
  </si>
  <si>
    <t>TE47</t>
  </si>
  <si>
    <t>Hunter Renfrow</t>
  </si>
  <si>
    <t>WR136</t>
  </si>
  <si>
    <t>Drew Lock</t>
  </si>
  <si>
    <t>QB41</t>
  </si>
  <si>
    <t>RB108</t>
  </si>
  <si>
    <t>WR137</t>
  </si>
  <si>
    <t>WR138</t>
  </si>
  <si>
    <t>TE48</t>
  </si>
  <si>
    <t>Chandler Catanzaro</t>
  </si>
  <si>
    <t>K31</t>
  </si>
  <si>
    <t>Randy Bullock</t>
  </si>
  <si>
    <t>K32</t>
  </si>
  <si>
    <t>Trayveon Williams</t>
  </si>
  <si>
    <t>RB109</t>
  </si>
  <si>
    <t>Nick Mullens</t>
  </si>
  <si>
    <t>QB42</t>
  </si>
  <si>
    <t>RB110</t>
  </si>
  <si>
    <t>Travis Homer</t>
  </si>
  <si>
    <t>RB111</t>
  </si>
  <si>
    <t>RB112</t>
  </si>
  <si>
    <t>TE49</t>
  </si>
  <si>
    <t>KeeSean Johnson</t>
  </si>
  <si>
    <t>WR139</t>
  </si>
  <si>
    <t>Ryan Griffin</t>
  </si>
  <si>
    <t>TE50</t>
  </si>
  <si>
    <t>Rodney Anderson</t>
  </si>
  <si>
    <t>RB113</t>
  </si>
  <si>
    <t>Foster Moreau</t>
  </si>
  <si>
    <t>TE51</t>
  </si>
  <si>
    <t>WR140</t>
  </si>
  <si>
    <t>Boston Scott</t>
  </si>
  <si>
    <t>RB114</t>
  </si>
  <si>
    <t>Dawson Knox</t>
  </si>
  <si>
    <t>TE52</t>
  </si>
  <si>
    <t>WR141</t>
  </si>
  <si>
    <t>Kahale Warring</t>
  </si>
  <si>
    <t>TE53</t>
  </si>
  <si>
    <t>Seth Roberts</t>
  </si>
  <si>
    <t>WR142</t>
  </si>
  <si>
    <t>WR143</t>
  </si>
  <si>
    <t>WR144</t>
  </si>
  <si>
    <t>Josh Hill</t>
  </si>
  <si>
    <t>TE54</t>
  </si>
  <si>
    <t>DST31</t>
  </si>
  <si>
    <t>DST32</t>
  </si>
  <si>
    <t>TE55</t>
  </si>
  <si>
    <t>RB115</t>
  </si>
  <si>
    <t>Zane Gonzalez</t>
  </si>
  <si>
    <t>K33</t>
  </si>
  <si>
    <t>Brian Hill</t>
  </si>
  <si>
    <t>RB116</t>
  </si>
  <si>
    <t>WR145</t>
  </si>
  <si>
    <t>Tony Pollard</t>
  </si>
  <si>
    <t>RB117</t>
  </si>
  <si>
    <t>RB118</t>
  </si>
  <si>
    <t>Matt Gay</t>
  </si>
  <si>
    <t>K34</t>
  </si>
  <si>
    <t>TE56</t>
  </si>
  <si>
    <t>QB43</t>
  </si>
  <si>
    <t>Eddy Pineiro</t>
  </si>
  <si>
    <t>K35</t>
  </si>
  <si>
    <t>WR146</t>
  </si>
  <si>
    <t>Darrel Williams</t>
  </si>
  <si>
    <t>RB119</t>
  </si>
  <si>
    <t>Jakeem Grant</t>
  </si>
  <si>
    <t>WR147</t>
  </si>
  <si>
    <t>RB120</t>
  </si>
  <si>
    <t>RB121</t>
  </si>
  <si>
    <t>Dan Arnold</t>
  </si>
  <si>
    <t>TE57</t>
  </si>
  <si>
    <t>Jacoby Brissett</t>
  </si>
  <si>
    <t>QB44</t>
  </si>
  <si>
    <t>RB122</t>
  </si>
  <si>
    <t>RB123</t>
  </si>
  <si>
    <t>Jason Sanders</t>
  </si>
  <si>
    <t>K36</t>
  </si>
  <si>
    <t>Mack Hollins</t>
  </si>
  <si>
    <t>OVR</t>
  </si>
  <si>
    <t>Name &amp; Team</t>
  </si>
  <si>
    <t>Patrick Mahomes KC</t>
  </si>
  <si>
    <t>Default Rank</t>
  </si>
  <si>
    <t>Russell Wilson SEA</t>
  </si>
  <si>
    <t>Saquon Barkley NYG</t>
  </si>
  <si>
    <t>Christian McCaffrey CAR</t>
  </si>
  <si>
    <t>Le'Veon Bell NYJ</t>
  </si>
  <si>
    <t>Davante Adams GB</t>
  </si>
  <si>
    <t>Travis Kelce KC</t>
  </si>
  <si>
    <t>Justin Tucker BAL</t>
  </si>
  <si>
    <t>Auto Draft (x=yes)</t>
  </si>
  <si>
    <t>Round</t>
  </si>
  <si>
    <t>Player</t>
  </si>
  <si>
    <t>Players to Consider</t>
  </si>
  <si>
    <t>Prob Available Next</t>
  </si>
  <si>
    <t>Personal Rankings</t>
  </si>
  <si>
    <t>Expected Team Points</t>
  </si>
  <si>
    <t>Point Values</t>
  </si>
  <si>
    <t>Pass Yd</t>
  </si>
  <si>
    <t>Pass TD</t>
  </si>
  <si>
    <t>Rush Yd</t>
  </si>
  <si>
    <t>Rush TD</t>
  </si>
  <si>
    <t>Rec</t>
  </si>
  <si>
    <t>Rec Yd</t>
  </si>
  <si>
    <t>Rec TD</t>
  </si>
  <si>
    <t>Int</t>
  </si>
  <si>
    <t>Fmb</t>
  </si>
  <si>
    <t>FG 0-39</t>
  </si>
  <si>
    <t>FG 40-49</t>
  </si>
  <si>
    <t>FG 50+</t>
  </si>
  <si>
    <t>FG Miss</t>
  </si>
  <si>
    <t>XP Make</t>
  </si>
  <si>
    <t>XP Miss</t>
  </si>
  <si>
    <t>Ezekiel Elliott DAL</t>
  </si>
  <si>
    <t>George Kittle SF</t>
  </si>
  <si>
    <t>JuJu Smith-Schuster PIT</t>
  </si>
  <si>
    <t>Alvin Kamara NO</t>
  </si>
  <si>
    <t>Nick Chubb CLE</t>
  </si>
  <si>
    <t>Michael Thomas NO</t>
  </si>
  <si>
    <t>Odell Beckham Jr. CLE</t>
  </si>
  <si>
    <t>Joe Mixon CIN</t>
  </si>
  <si>
    <t>James Conner PIT</t>
  </si>
  <si>
    <t>Julio Jones ATL</t>
  </si>
  <si>
    <t>Baseline Player</t>
  </si>
  <si>
    <t>Value</t>
  </si>
  <si>
    <t>Aaron Rodgers GB</t>
  </si>
  <si>
    <t>Deshaun Watson HOU</t>
  </si>
  <si>
    <t>Baker Mayfield CLE</t>
  </si>
  <si>
    <t>Matt Ryan ATL</t>
  </si>
  <si>
    <t>Drew Brees NO</t>
  </si>
  <si>
    <t>Mike Evans TB</t>
  </si>
  <si>
    <t>T.Y. Hilton IND</t>
  </si>
  <si>
    <t>A.J. Green CIN</t>
  </si>
  <si>
    <t>Zach Ertz PHI</t>
  </si>
  <si>
    <t>Hunter Henry LAC</t>
  </si>
  <si>
    <t>Evan Engram NYG</t>
  </si>
  <si>
    <t>Jared Cook NO</t>
  </si>
  <si>
    <t>Dalvin Cook MIN</t>
  </si>
  <si>
    <t>Marlon Mack IND</t>
  </si>
  <si>
    <t>Sony Michel NE</t>
  </si>
  <si>
    <t>Derrick Henry TEN</t>
  </si>
  <si>
    <t>Leonard Fournette JAC</t>
  </si>
  <si>
    <t>Aaron Jones GB</t>
  </si>
  <si>
    <t>Damien Williams KC</t>
  </si>
  <si>
    <t>Chris Carson SEA</t>
  </si>
  <si>
    <t>Keenan Allen LAC</t>
  </si>
  <si>
    <t>Amari Cooper DAL</t>
  </si>
  <si>
    <t>Adam Thielen MIN</t>
  </si>
  <si>
    <t>Brandin Cooks LAR</t>
  </si>
  <si>
    <t>Robert Woods LAR</t>
  </si>
  <si>
    <t>Kenny Golladay DET</t>
  </si>
  <si>
    <t>Julian Edelman NE</t>
  </si>
  <si>
    <t>Cooper Kupp LAR</t>
  </si>
  <si>
    <t>Alshon Jeffery PHI</t>
  </si>
  <si>
    <t>Kerryon Johnson DET</t>
  </si>
  <si>
    <t>Phillip Lindsay DEN</t>
  </si>
  <si>
    <t>Derrius Guice WAS</t>
  </si>
  <si>
    <t>Tevin Coleman SF</t>
  </si>
  <si>
    <t>Harrison Butker KC</t>
  </si>
  <si>
    <t>Wil Lutz NO</t>
  </si>
  <si>
    <t>Jake Elliott PHI</t>
  </si>
  <si>
    <t>Chris Godwin TB</t>
  </si>
  <si>
    <t>Tyler Lockett SEA</t>
  </si>
  <si>
    <t>Allen Robinson CHI</t>
  </si>
  <si>
    <t>Sammy Watkins KC</t>
  </si>
  <si>
    <t>Latavius Murray NO</t>
  </si>
  <si>
    <t>James White NE</t>
  </si>
  <si>
    <t>Darren Waller</t>
  </si>
  <si>
    <t>Mike Boone</t>
  </si>
  <si>
    <t>Qadree Ollison</t>
  </si>
  <si>
    <t>TE58</t>
  </si>
  <si>
    <t>Robert Griffin</t>
  </si>
  <si>
    <t>TE59</t>
  </si>
  <si>
    <t>TE60</t>
  </si>
  <si>
    <t>TE61</t>
  </si>
  <si>
    <t>Zach Pascal</t>
  </si>
  <si>
    <t>TE62</t>
  </si>
  <si>
    <t>TE63</t>
  </si>
  <si>
    <t>J.D. McKissic</t>
  </si>
  <si>
    <t>RB124</t>
  </si>
  <si>
    <t>RB125</t>
  </si>
  <si>
    <t>Preston Williams</t>
  </si>
  <si>
    <t>Kyle Juszczyk</t>
  </si>
  <si>
    <t>RB126</t>
  </si>
  <si>
    <t>Mason Rudolph</t>
  </si>
  <si>
    <t>QB45</t>
  </si>
  <si>
    <t>RB127</t>
  </si>
  <si>
    <t>RB128</t>
  </si>
  <si>
    <t>TE64</t>
  </si>
  <si>
    <t>TE65</t>
  </si>
  <si>
    <t>TE66</t>
  </si>
  <si>
    <t>Tajae Sharpe</t>
  </si>
  <si>
    <t>TE67</t>
  </si>
  <si>
    <t>DeAndre Washington</t>
  </si>
  <si>
    <t>RB129</t>
  </si>
  <si>
    <t>Jordan Akins</t>
  </si>
  <si>
    <t>TE68</t>
  </si>
  <si>
    <t>Raheem Mostert</t>
  </si>
  <si>
    <t>RB130</t>
  </si>
  <si>
    <t>Karan Higdon</t>
  </si>
  <si>
    <t>RB131</t>
  </si>
  <si>
    <t>RB132</t>
  </si>
  <si>
    <t>Alex Erickson</t>
  </si>
  <si>
    <t>RB133</t>
  </si>
  <si>
    <t>TE69</t>
  </si>
  <si>
    <t>QB46</t>
  </si>
  <si>
    <t>Nick Boyle</t>
  </si>
  <si>
    <t>TE70</t>
  </si>
  <si>
    <t>TE71</t>
  </si>
  <si>
    <t>TE72</t>
  </si>
  <si>
    <t>Maxx Williams</t>
  </si>
  <si>
    <t>Mo Alie-Cox</t>
  </si>
  <si>
    <t>Anthony Firkser</t>
  </si>
  <si>
    <t>RB134</t>
  </si>
  <si>
    <t>Darren Fells</t>
  </si>
  <si>
    <t>Darius Slayton</t>
  </si>
  <si>
    <t>QB47</t>
  </si>
  <si>
    <t>QB48</t>
  </si>
  <si>
    <t>RB135</t>
  </si>
  <si>
    <t>Dalton Schultz</t>
  </si>
  <si>
    <t>RB136</t>
  </si>
  <si>
    <t>RB137</t>
  </si>
  <si>
    <t>CJ Ham</t>
  </si>
  <si>
    <t>RB138</t>
  </si>
  <si>
    <t>Austin Seibert</t>
  </si>
  <si>
    <t>K37</t>
  </si>
  <si>
    <t>Russell Gage</t>
  </si>
  <si>
    <t>RB139</t>
  </si>
  <si>
    <t>RB140</t>
  </si>
  <si>
    <t>RB141</t>
  </si>
  <si>
    <t>Jeremy Sprinkle</t>
  </si>
  <si>
    <t>Elijhaa Penny</t>
  </si>
  <si>
    <t>RB142</t>
  </si>
  <si>
    <t>Vyncint Smith</t>
  </si>
  <si>
    <t>Devine Ozigbo</t>
  </si>
  <si>
    <t>RB143</t>
  </si>
  <si>
    <t>RB144</t>
  </si>
  <si>
    <t>Dwayne Washington</t>
  </si>
  <si>
    <t>RB145</t>
  </si>
  <si>
    <t>RB146</t>
  </si>
  <si>
    <t>Jacob Hollister</t>
  </si>
  <si>
    <t>Drew Sample</t>
  </si>
  <si>
    <t>Andy Janovich</t>
  </si>
  <si>
    <t>RB147</t>
  </si>
  <si>
    <t>RB148</t>
  </si>
  <si>
    <t>RB149</t>
  </si>
  <si>
    <t>Scott Miller</t>
  </si>
  <si>
    <t>Dontrell Hilliard</t>
  </si>
  <si>
    <t>-</t>
  </si>
  <si>
    <t>Baseline Player by Round</t>
  </si>
  <si>
    <t>Num</t>
  </si>
  <si>
    <t>Val</t>
  </si>
  <si>
    <t>Carson Wentz PHI</t>
  </si>
  <si>
    <t>Jared Goff LAR</t>
  </si>
  <si>
    <t>Ben Roethlisberger PIT</t>
  </si>
  <si>
    <t>Dak Prescott DAL</t>
  </si>
  <si>
    <t>David Montgomery CHI</t>
  </si>
  <si>
    <t>Calvin Ridley ATL</t>
  </si>
  <si>
    <t>Mike Williams LAC</t>
  </si>
  <si>
    <t>Tyler Boyd CIN</t>
  </si>
  <si>
    <t>Jarvis Landry CLE</t>
  </si>
  <si>
    <t>Miles Sanders PHI</t>
  </si>
  <si>
    <t>Austin Ekeler LAC</t>
  </si>
  <si>
    <t>Christian Kirk ARI</t>
  </si>
  <si>
    <t>Curtis Samuel CAR</t>
  </si>
  <si>
    <t>Tier</t>
  </si>
  <si>
    <t>Jakobi Meyers</t>
  </si>
  <si>
    <t>Ty Johnson</t>
  </si>
  <si>
    <t>Auden Tate</t>
  </si>
  <si>
    <t>David Fluellen</t>
  </si>
  <si>
    <t>D'Ernest Johnson</t>
  </si>
  <si>
    <t>Marvin Hall</t>
  </si>
  <si>
    <t>Logan Thomas</t>
  </si>
  <si>
    <t>Patrick DiMarco</t>
  </si>
  <si>
    <t>Cur Round</t>
  </si>
  <si>
    <t>Kyler Murray ARI</t>
  </si>
  <si>
    <t>Lamar Jackson BAL</t>
  </si>
  <si>
    <t>Josh Allen BUF</t>
  </si>
  <si>
    <t>Matthew Stafford DET</t>
  </si>
  <si>
    <t>User Roster Size</t>
  </si>
  <si>
    <t>START %</t>
  </si>
  <si>
    <t>Depth #</t>
  </si>
  <si>
    <t>MULT</t>
  </si>
  <si>
    <t>RANK</t>
  </si>
  <si>
    <t>PLAYER</t>
  </si>
  <si>
    <t>NYGRB</t>
  </si>
  <si>
    <t>CarRB</t>
  </si>
  <si>
    <t>NORB</t>
  </si>
  <si>
    <t>DalRB</t>
  </si>
  <si>
    <t>AriRB</t>
  </si>
  <si>
    <t>NYJRB</t>
  </si>
  <si>
    <t>HouWR</t>
  </si>
  <si>
    <t>NOWR</t>
  </si>
  <si>
    <t>GBWR</t>
  </si>
  <si>
    <t>AtlWR</t>
  </si>
  <si>
    <t>CleWR</t>
  </si>
  <si>
    <t>KCWR</t>
  </si>
  <si>
    <t>PitWR</t>
  </si>
  <si>
    <t>LARRB</t>
  </si>
  <si>
    <t>KCTE</t>
  </si>
  <si>
    <t>CinRB</t>
  </si>
  <si>
    <t>PitRB</t>
  </si>
  <si>
    <t>MinRB</t>
  </si>
  <si>
    <t>TBWR</t>
  </si>
  <si>
    <t>LACWR</t>
  </si>
  <si>
    <t>CleRB</t>
  </si>
  <si>
    <t>DetRB</t>
  </si>
  <si>
    <t>JaxRB</t>
  </si>
  <si>
    <t>AtlRB</t>
  </si>
  <si>
    <t>LACRB</t>
  </si>
  <si>
    <t>DalWR</t>
  </si>
  <si>
    <t>IndWR</t>
  </si>
  <si>
    <t>SFTE</t>
  </si>
  <si>
    <t>PhiTE</t>
  </si>
  <si>
    <t>TenRB</t>
  </si>
  <si>
    <t>SeaRB</t>
  </si>
  <si>
    <t>IndRB</t>
  </si>
  <si>
    <t>GBRB</t>
  </si>
  <si>
    <t>NEWR</t>
  </si>
  <si>
    <t>MinWR</t>
  </si>
  <si>
    <t>LARWR</t>
  </si>
  <si>
    <t>DetWR</t>
  </si>
  <si>
    <t>KCQB</t>
  </si>
  <si>
    <t>KCRB</t>
  </si>
  <si>
    <t>BalRB</t>
  </si>
  <si>
    <t>PhiWR</t>
  </si>
  <si>
    <t>SeaWR</t>
  </si>
  <si>
    <t>DJ Moore</t>
  </si>
  <si>
    <t>CarWR</t>
  </si>
  <si>
    <t>CinWR</t>
  </si>
  <si>
    <t>ChiWR</t>
  </si>
  <si>
    <t>NERB</t>
  </si>
  <si>
    <t>MiaRB</t>
  </si>
  <si>
    <t>ChiRB</t>
  </si>
  <si>
    <t>DenRB</t>
  </si>
  <si>
    <t>WshRB</t>
  </si>
  <si>
    <t>HouRB</t>
  </si>
  <si>
    <t>NYGTE</t>
  </si>
  <si>
    <t>TBTE</t>
  </si>
  <si>
    <t>LACTE</t>
  </si>
  <si>
    <t>NOTE</t>
  </si>
  <si>
    <t>HouQB</t>
  </si>
  <si>
    <t>AtlQB</t>
  </si>
  <si>
    <t>GBQB</t>
  </si>
  <si>
    <t>NYGWR</t>
  </si>
  <si>
    <t>NYJWR</t>
  </si>
  <si>
    <t>JaxWR</t>
  </si>
  <si>
    <t>Will Fuller V</t>
  </si>
  <si>
    <t>AriWR</t>
  </si>
  <si>
    <t>DenWR</t>
  </si>
  <si>
    <t>SFRB</t>
  </si>
  <si>
    <t>PhiRB</t>
  </si>
  <si>
    <t>CarQB</t>
  </si>
  <si>
    <t>CleQB</t>
  </si>
  <si>
    <t>PhiQB</t>
  </si>
  <si>
    <t>IndQB</t>
  </si>
  <si>
    <t>TenWR</t>
  </si>
  <si>
    <t>TBRB</t>
  </si>
  <si>
    <t>BufRB</t>
  </si>
  <si>
    <t>SFWR</t>
  </si>
  <si>
    <t>PitTE</t>
  </si>
  <si>
    <t>CleTE</t>
  </si>
  <si>
    <t>TenTE</t>
  </si>
  <si>
    <t>IndTE</t>
  </si>
  <si>
    <t>DalQB</t>
  </si>
  <si>
    <t>NOQB</t>
  </si>
  <si>
    <t>PitQB</t>
  </si>
  <si>
    <t>SeaQB</t>
  </si>
  <si>
    <t>AriQB</t>
  </si>
  <si>
    <t>LARQB</t>
  </si>
  <si>
    <t>NEQB</t>
  </si>
  <si>
    <t>BalQB</t>
  </si>
  <si>
    <t>MiaWR</t>
  </si>
  <si>
    <t>AtlTE</t>
  </si>
  <si>
    <t>WshTE</t>
  </si>
  <si>
    <t>ChiTE</t>
  </si>
  <si>
    <t>BalTE</t>
  </si>
  <si>
    <t>BufWR</t>
  </si>
  <si>
    <t>Bears D/ST</t>
  </si>
  <si>
    <t>ChiD/ST</t>
  </si>
  <si>
    <t>Jaguars D/ST</t>
  </si>
  <si>
    <t>JaxD/ST</t>
  </si>
  <si>
    <t>Bills D/ST</t>
  </si>
  <si>
    <t>BufD/ST</t>
  </si>
  <si>
    <t>Rams D/ST</t>
  </si>
  <si>
    <t>LARD/ST</t>
  </si>
  <si>
    <t>Vikings D/ST</t>
  </si>
  <si>
    <t>MinD/ST</t>
  </si>
  <si>
    <t>Saints D/ST</t>
  </si>
  <si>
    <t>NOD/ST</t>
  </si>
  <si>
    <t>Chargers D/ST</t>
  </si>
  <si>
    <t>LACD/ST</t>
  </si>
  <si>
    <t>Patriots D/ST</t>
  </si>
  <si>
    <t>NED/ST</t>
  </si>
  <si>
    <t>Colts D/ST</t>
  </si>
  <si>
    <t>IndD/ST</t>
  </si>
  <si>
    <t>Titans D/ST</t>
  </si>
  <si>
    <t>TenD/ST</t>
  </si>
  <si>
    <t>EXCLUDE </t>
  </si>
  <si>
    <t>Excluded players will be moved to the bottom of the draft list and will only be drafted if all other players on the draft list have been selected</t>
  </si>
  <si>
    <t>Marvin Jones Jr.</t>
  </si>
  <si>
    <t>DK Metcalf</t>
  </si>
  <si>
    <t>LARK</t>
  </si>
  <si>
    <t>BalK</t>
  </si>
  <si>
    <t>NOK</t>
  </si>
  <si>
    <t>KCK</t>
  </si>
  <si>
    <t>NEK</t>
  </si>
  <si>
    <t>HouK</t>
  </si>
  <si>
    <t>SFK</t>
  </si>
  <si>
    <t>LACK</t>
  </si>
  <si>
    <t>IndK</t>
  </si>
  <si>
    <t>DalK</t>
  </si>
  <si>
    <t>CarTE</t>
  </si>
  <si>
    <t>GBTE</t>
  </si>
  <si>
    <t>Mitchell Trubisky</t>
  </si>
  <si>
    <t>ChiQB</t>
  </si>
  <si>
    <t>TBQB</t>
  </si>
  <si>
    <t>LACQB</t>
  </si>
  <si>
    <t>BalWR</t>
  </si>
  <si>
    <t>WshWR</t>
  </si>
  <si>
    <t>MinQB</t>
  </si>
  <si>
    <t>MinTE</t>
  </si>
  <si>
    <t>Broncos D/ST</t>
  </si>
  <si>
    <t>DenD/ST</t>
  </si>
  <si>
    <t>Texans D/ST</t>
  </si>
  <si>
    <t>HouD/ST</t>
  </si>
  <si>
    <t>DetK</t>
  </si>
  <si>
    <t>PhiK</t>
  </si>
  <si>
    <t>Chris Herndon</t>
  </si>
  <si>
    <t>NYJTE</t>
  </si>
  <si>
    <t>DetTE</t>
  </si>
  <si>
    <t>DenTE</t>
  </si>
  <si>
    <t>Ted Ginn Jr.</t>
  </si>
  <si>
    <t>DeVante Parker</t>
  </si>
  <si>
    <t>NYJQB</t>
  </si>
  <si>
    <t>SFQB</t>
  </si>
  <si>
    <t>Eagles D/ST</t>
  </si>
  <si>
    <t>PhiD/ST</t>
  </si>
  <si>
    <t>Browns D/ST</t>
  </si>
  <si>
    <t>CleD/ST</t>
  </si>
  <si>
    <t>GBK</t>
  </si>
  <si>
    <t>TenK</t>
  </si>
  <si>
    <t>Willie Snead IV</t>
  </si>
  <si>
    <t>BufQB</t>
  </si>
  <si>
    <t>DetQB</t>
  </si>
  <si>
    <t>TenQB</t>
  </si>
  <si>
    <t>CinTE</t>
  </si>
  <si>
    <t>MiaTE</t>
  </si>
  <si>
    <t>SeaTE</t>
  </si>
  <si>
    <t>Show More</t>
  </si>
  <si>
    <t>ESPN Rank</t>
  </si>
  <si>
    <t>Ravens D/ST</t>
  </si>
  <si>
    <t>Cowboys D/ST</t>
  </si>
  <si>
    <t>Steelers D/ST</t>
  </si>
  <si>
    <t>Seahawks D/ST</t>
  </si>
  <si>
    <t>Chiefs D/ST</t>
  </si>
  <si>
    <t>Panthers D/ST</t>
  </si>
  <si>
    <t>Packers D/ST</t>
  </si>
  <si>
    <t>Falcons D/ST</t>
  </si>
  <si>
    <t>Cardinals D/ST</t>
  </si>
  <si>
    <t>Lions D/ST</t>
  </si>
  <si>
    <t>Jets D/ST</t>
  </si>
  <si>
    <t>Giants D/ST</t>
  </si>
  <si>
    <t>49ers D/ST</t>
  </si>
  <si>
    <t>Dolphins D/ST</t>
  </si>
  <si>
    <t>Buccaneers D/ST</t>
  </si>
  <si>
    <t>Bengals D/ST</t>
  </si>
  <si>
    <t>Raiders D/ST</t>
  </si>
  <si>
    <t>Tyreek Hill KC</t>
  </si>
  <si>
    <t>Courtland Sutton DEN</t>
  </si>
  <si>
    <t>Sterling Shepard NYG</t>
  </si>
  <si>
    <t>Anthony Miller CHI</t>
  </si>
  <si>
    <t>Michael Gallup DAL</t>
  </si>
  <si>
    <t>DeSean Jackson PHI</t>
  </si>
  <si>
    <t>John Brown BUF</t>
  </si>
  <si>
    <t>Golden Tate NYG</t>
  </si>
  <si>
    <t>Jamison Crowder NYJ</t>
  </si>
  <si>
    <t>T.J. Hockenson DET</t>
  </si>
  <si>
    <t>Mark Andrews BAL</t>
  </si>
  <si>
    <t>Todd Gurley II</t>
  </si>
  <si>
    <t>Mark Ingram II</t>
  </si>
  <si>
    <t>John Ross III</t>
  </si>
  <si>
    <t>Mark Ingram II BAL</t>
  </si>
  <si>
    <t>VO2</t>
  </si>
  <si>
    <t>Devin Singletary BUF</t>
  </si>
  <si>
    <t>Robbie Gould SF</t>
  </si>
  <si>
    <t>Matt Prater DET</t>
  </si>
  <si>
    <t>VOR</t>
  </si>
  <si>
    <t>LV</t>
  </si>
  <si>
    <t>Ronald Jones II</t>
  </si>
  <si>
    <t>Duke Johnson</t>
  </si>
  <si>
    <t>Gardner Minshew II</t>
  </si>
  <si>
    <t>Allen Lazard</t>
  </si>
  <si>
    <t>Joey Slye</t>
  </si>
  <si>
    <t>Bo Scarbrough</t>
  </si>
  <si>
    <t>Stephen Hauschka</t>
  </si>
  <si>
    <t>Younghoe Koo</t>
  </si>
  <si>
    <t>Patrick Laird</t>
  </si>
  <si>
    <t>Greg Ward</t>
  </si>
  <si>
    <t>Jonathan Taylor</t>
  </si>
  <si>
    <t>Dare Ogunbowale</t>
  </si>
  <si>
    <t>Kai Forbath</t>
  </si>
  <si>
    <t>D'Andre Swift</t>
  </si>
  <si>
    <t>Paul Richardson Jr.</t>
  </si>
  <si>
    <t>J.K. Dobbins</t>
  </si>
  <si>
    <t>Joe Burrow</t>
  </si>
  <si>
    <t>Cam Akers</t>
  </si>
  <si>
    <t>CeeDee Lamb</t>
  </si>
  <si>
    <t>Jerry Jeudy</t>
  </si>
  <si>
    <t>Tee Higgins</t>
  </si>
  <si>
    <t>Justin Jefferson</t>
  </si>
  <si>
    <t>Henry Ruggs III</t>
  </si>
  <si>
    <t>Clyde Edwards-Helaire</t>
  </si>
  <si>
    <t>Reggie Bonnafon</t>
  </si>
  <si>
    <t>Zack Moss</t>
  </si>
  <si>
    <t>Laviska Shenault Jr.</t>
  </si>
  <si>
    <t>Jalen Reagor</t>
  </si>
  <si>
    <t>Chase McLaughlin</t>
  </si>
  <si>
    <t>Jarrett Stidham</t>
  </si>
  <si>
    <t>Tua Tagovailoa</t>
  </si>
  <si>
    <t>Brandon Aiyuk</t>
  </si>
  <si>
    <t>Denzel Mims</t>
  </si>
  <si>
    <t>Ke'Shawn Vaughn</t>
  </si>
  <si>
    <t>Tyler Johnson</t>
  </si>
  <si>
    <t>Kaden Smith</t>
  </si>
  <si>
    <t>Michael Pittman Jr.</t>
  </si>
  <si>
    <t>Eno Benjamin</t>
  </si>
  <si>
    <t>Darrynton Evans</t>
  </si>
  <si>
    <t>Cole Kmet</t>
  </si>
  <si>
    <t>KJ Hamler</t>
  </si>
  <si>
    <t>Brycen Hopkins</t>
  </si>
  <si>
    <t>Hunter Bryant</t>
  </si>
  <si>
    <t>Anthony McFarland Jr.</t>
  </si>
  <si>
    <t>Bryan Edwards</t>
  </si>
  <si>
    <t>Antonio Gibson</t>
  </si>
  <si>
    <t>Justin Herbert</t>
  </si>
  <si>
    <t>Joshua Kelley</t>
  </si>
  <si>
    <t>Donovan Peoples-Jones</t>
  </si>
  <si>
    <t>Antonio Gandy-Golden</t>
  </si>
  <si>
    <t>Chase Claypool</t>
  </si>
  <si>
    <t>DeeJay Dallas</t>
  </si>
  <si>
    <t>Ryan Tannehill TEN</t>
  </si>
  <si>
    <t>Daniel Jones NYG</t>
  </si>
  <si>
    <t>Tom Brady TB</t>
  </si>
  <si>
    <t>Josh Jacobs LV</t>
  </si>
  <si>
    <t>Todd Gurley ATL</t>
  </si>
  <si>
    <t>Kenyan Drake ARI</t>
  </si>
  <si>
    <t>Melvin Gordon DEN</t>
  </si>
  <si>
    <t>David Johnson HOU</t>
  </si>
  <si>
    <t>Kareem Hunt CLE</t>
  </si>
  <si>
    <t>Ronald Jones II TB</t>
  </si>
  <si>
    <t>Raheem Mostert SF</t>
  </si>
  <si>
    <t>Jordan Howard MIA</t>
  </si>
  <si>
    <t>Devonta Freeman FA</t>
  </si>
  <si>
    <t>DeAndre Hopkins ARI</t>
  </si>
  <si>
    <t>D.J. Moore CAR</t>
  </si>
  <si>
    <t>A.J. Brown TEN</t>
  </si>
  <si>
    <t>DeVante Parker MIA</t>
  </si>
  <si>
    <t>Stefon Diggs BUF</t>
  </si>
  <si>
    <t>D.K. Metcalf SEA</t>
  </si>
  <si>
    <t>D.J. Chark JAC</t>
  </si>
  <si>
    <t>Terry McLaurin WAS</t>
  </si>
  <si>
    <t>Deebo Samuel SF</t>
  </si>
  <si>
    <t>Marquise Brown BAL</t>
  </si>
  <si>
    <t>Will Fuller HOU</t>
  </si>
  <si>
    <t>Robby Anderson CAR</t>
  </si>
  <si>
    <t>Marvin Jones DET</t>
  </si>
  <si>
    <t>Emmanuel Sanders NO</t>
  </si>
  <si>
    <t>Darius Slayton NYG</t>
  </si>
  <si>
    <t>Preston Williams MIA</t>
  </si>
  <si>
    <t>Diontae Johnson PIT</t>
  </si>
  <si>
    <t>Mecole Hardman KC</t>
  </si>
  <si>
    <t>Breshad Perriman NYJ</t>
  </si>
  <si>
    <t>Darren Waller LV</t>
  </si>
  <si>
    <t>Austin Hooper CLE</t>
  </si>
  <si>
    <t>Tyler Higbee LAR</t>
  </si>
  <si>
    <t>Noah Fant DEN</t>
  </si>
  <si>
    <t>Dallas Goedert PHI</t>
  </si>
  <si>
    <t>Mike Gesicki MIA</t>
  </si>
  <si>
    <t>Jonnu Smith TEN</t>
  </si>
  <si>
    <t xml:space="preserve">San Francisco (SF) </t>
  </si>
  <si>
    <t xml:space="preserve">Pittsburgh (PIT) </t>
  </si>
  <si>
    <t>Greg Zuerlein DAL</t>
  </si>
  <si>
    <t>Zane Gonzalez ARI</t>
  </si>
  <si>
    <t>x^2</t>
  </si>
  <si>
    <t>x^1</t>
  </si>
  <si>
    <t>b</t>
  </si>
  <si>
    <t>STDEV Curve Fit (Quadratic)</t>
  </si>
  <si>
    <t>Hayden Hurst ATL</t>
  </si>
  <si>
    <t>Rob Gronkowski</t>
  </si>
  <si>
    <t>Devin Duvernay</t>
  </si>
  <si>
    <t>Van Jefferson</t>
  </si>
  <si>
    <t>Lynn Bowden Jr.</t>
  </si>
  <si>
    <t>Javon Wims</t>
  </si>
  <si>
    <t>Raymond Calais</t>
  </si>
  <si>
    <t>Devin Asiasi</t>
  </si>
  <si>
    <t>Justin Rohrwasser</t>
  </si>
  <si>
    <t>Isaiah Coulter</t>
  </si>
  <si>
    <t>Adam Trautman</t>
  </si>
  <si>
    <t>Ryan Nall</t>
  </si>
  <si>
    <t>Dalton Keene</t>
  </si>
  <si>
    <t>Kyle Allen</t>
  </si>
  <si>
    <t>Thaddeus Moss</t>
  </si>
  <si>
    <t>Albert Okwuegbunam</t>
  </si>
  <si>
    <t>Joe Burrow CIN</t>
  </si>
  <si>
    <t>Clyde Edwards-Helaire KC</t>
  </si>
  <si>
    <t>Jonathan Taylor IND</t>
  </si>
  <si>
    <t>Brandin Cooks HOU</t>
  </si>
  <si>
    <t>Justin Jefferson MIN</t>
  </si>
  <si>
    <t>Jerry Jeudy DEN</t>
  </si>
  <si>
    <t>CeeDee Lamb DAL</t>
  </si>
  <si>
    <t>Henry Ruggs III LV</t>
  </si>
  <si>
    <t>Jalen Reagor PHI</t>
  </si>
  <si>
    <t>Rob Gronkowski TB</t>
  </si>
  <si>
    <t>*1-200</t>
  </si>
  <si>
    <t>*1-300</t>
  </si>
  <si>
    <t>* Standard Deviation vs Avg</t>
  </si>
  <si>
    <t>STDEV</t>
  </si>
  <si>
    <t>RAND</t>
  </si>
  <si>
    <t>MIN AVAIL RAND</t>
  </si>
  <si>
    <t>TAKE</t>
  </si>
  <si>
    <t>TAKEN</t>
  </si>
  <si>
    <t>Sims</t>
  </si>
  <si>
    <t>Take to Taken</t>
  </si>
  <si>
    <t>After every sample</t>
  </si>
  <si>
    <t>After every simulation</t>
  </si>
  <si>
    <t>Reset Taken</t>
  </si>
  <si>
    <t>Min Avail</t>
  </si>
  <si>
    <t>Max Val Avail</t>
  </si>
  <si>
    <t>Tot Val Avail</t>
  </si>
  <si>
    <t>Temp Tot Val Avail</t>
  </si>
  <si>
    <t>Temp Tot Val Avail to Tot Val Avail</t>
  </si>
  <si>
    <t>Avg Val</t>
  </si>
  <si>
    <t>Before every simulation</t>
  </si>
  <si>
    <t>Sims to 0</t>
  </si>
  <si>
    <t>Sims to VoseCurrentSim</t>
  </si>
  <si>
    <t>Jalen Hurts</t>
  </si>
  <si>
    <t>Olabisi Johnson</t>
  </si>
  <si>
    <t>Sam Sloman</t>
  </si>
  <si>
    <t>Joe Reed</t>
  </si>
  <si>
    <t>Jaeden Graham</t>
  </si>
  <si>
    <t>Kerrith Whyte Jr.</t>
  </si>
  <si>
    <t>J.J. Taylor</t>
  </si>
  <si>
    <t>James Robinson</t>
  </si>
  <si>
    <t>Quintez Cephus</t>
  </si>
  <si>
    <t>Damiere Byrd</t>
  </si>
  <si>
    <t>Taquan Mizzell</t>
  </si>
  <si>
    <t>Jordan Love</t>
  </si>
  <si>
    <t>LVRB</t>
  </si>
  <si>
    <t>Allen Robinson II</t>
  </si>
  <si>
    <t>DJ Chark Jr.</t>
  </si>
  <si>
    <t>LVTE</t>
  </si>
  <si>
    <t>Darrell Henderson Jr.</t>
  </si>
  <si>
    <t>LARTE</t>
  </si>
  <si>
    <t>LVWR</t>
  </si>
  <si>
    <t>NYGQB</t>
  </si>
  <si>
    <t>PitD/ST</t>
  </si>
  <si>
    <t>SFD/ST</t>
  </si>
  <si>
    <t>BalD/ST</t>
  </si>
  <si>
    <t>NYJD/ST</t>
  </si>
  <si>
    <t>DalD/ST</t>
  </si>
  <si>
    <t>PitK</t>
  </si>
  <si>
    <t>TBK</t>
  </si>
  <si>
    <t>AriK</t>
  </si>
  <si>
    <t>CleK</t>
  </si>
  <si>
    <t>DalTE</t>
  </si>
  <si>
    <t>AJ Dillon</t>
  </si>
  <si>
    <t>La'Mical Perine</t>
  </si>
  <si>
    <t>CinQB</t>
  </si>
  <si>
    <t>DenQB</t>
  </si>
  <si>
    <t>JaxQB</t>
  </si>
  <si>
    <t>TBD/ST</t>
  </si>
  <si>
    <t>AtlK</t>
  </si>
  <si>
    <t>SeaK</t>
  </si>
  <si>
    <t>Mohamed Sanu Sr.</t>
  </si>
  <si>
    <t>Steven Sims Jr.</t>
  </si>
  <si>
    <t>LVQB</t>
  </si>
  <si>
    <t>BufTE</t>
  </si>
  <si>
    <t>Phillip Dorsett II</t>
  </si>
  <si>
    <t>CinD/ST</t>
  </si>
  <si>
    <t>KCD/ST</t>
  </si>
  <si>
    <t>MinK</t>
  </si>
  <si>
    <t>Dwayne Haskins Jr.</t>
  </si>
  <si>
    <t>WshQB</t>
  </si>
  <si>
    <t>MiaQB</t>
  </si>
  <si>
    <t>Scotty Miller</t>
  </si>
  <si>
    <t>SeaD/ST</t>
  </si>
  <si>
    <t>CarK</t>
  </si>
  <si>
    <t>JaxTE</t>
  </si>
  <si>
    <t>Jason Huntley</t>
  </si>
  <si>
    <t>AriTE</t>
  </si>
  <si>
    <t>HouTE</t>
  </si>
  <si>
    <t>NETE</t>
  </si>
  <si>
    <t>P.J. Walker</t>
  </si>
  <si>
    <t>Robert Griffin III</t>
  </si>
  <si>
    <t>Blaine Gabbert</t>
  </si>
  <si>
    <t>DenK</t>
  </si>
  <si>
    <t>NYGK</t>
  </si>
  <si>
    <t>JaxK</t>
  </si>
  <si>
    <t>CinK</t>
  </si>
  <si>
    <t>LVK</t>
  </si>
  <si>
    <t>WshK</t>
  </si>
  <si>
    <t>MiaK</t>
  </si>
  <si>
    <t>ChiK</t>
  </si>
  <si>
    <t>NYJK</t>
  </si>
  <si>
    <t>BufK</t>
  </si>
  <si>
    <t>GBD/ST</t>
  </si>
  <si>
    <t>DetD/ST</t>
  </si>
  <si>
    <t>MiaD/ST</t>
  </si>
  <si>
    <t>AriD/ST</t>
  </si>
  <si>
    <t>LVD/ST</t>
  </si>
  <si>
    <t>AtlD/ST</t>
  </si>
  <si>
    <t>WshD/ST</t>
  </si>
  <si>
    <t>NYGD/ST</t>
  </si>
  <si>
    <t>CarD/ST</t>
  </si>
  <si>
    <t>Christian Blake</t>
  </si>
  <si>
    <t>C.J. Ham</t>
  </si>
  <si>
    <t>Bisi Johnson</t>
  </si>
  <si>
    <t>Kalif Raymond</t>
  </si>
  <si>
    <t>Todd Gurley II ATL</t>
  </si>
  <si>
    <t>Allen Robinson II CHI</t>
  </si>
  <si>
    <t>DJ Moore CAR</t>
  </si>
  <si>
    <t>DJ Chark Jr. JAC</t>
  </si>
  <si>
    <t>DK Metcalf SEA</t>
  </si>
  <si>
    <t>Will Fuller V HOU</t>
  </si>
  <si>
    <t>Marvin Jones Jr. DET</t>
  </si>
  <si>
    <t xml:space="preserve">49ers D/ST </t>
  </si>
  <si>
    <t xml:space="preserve">Steelers D/ST </t>
  </si>
  <si>
    <t xml:space="preserve">Ravens D/ST </t>
  </si>
  <si>
    <t xml:space="preserve">Bills D/ST </t>
  </si>
  <si>
    <t xml:space="preserve">Patriots D/ST </t>
  </si>
  <si>
    <t xml:space="preserve">Bears D/ST </t>
  </si>
  <si>
    <t xml:space="preserve">Saints D/ST </t>
  </si>
  <si>
    <t xml:space="preserve">Chiefs D/ST </t>
  </si>
  <si>
    <t xml:space="preserve">Chargers D/ST </t>
  </si>
  <si>
    <t xml:space="preserve">Broncos D/ST </t>
  </si>
  <si>
    <t xml:space="preserve">CIN </t>
  </si>
  <si>
    <t>Arizona (ARI)</t>
  </si>
  <si>
    <t>New York (NYG)</t>
  </si>
  <si>
    <t>Miami (MIA)</t>
  </si>
  <si>
    <t>Cincinnati (CIN)</t>
  </si>
  <si>
    <t>JaMycal Hasty</t>
  </si>
  <si>
    <t>Isaiah Ford</t>
  </si>
  <si>
    <t>Dalyn Dawkins</t>
  </si>
  <si>
    <t>Buddy Howell</t>
  </si>
  <si>
    <t>Robert Tonyan</t>
  </si>
  <si>
    <t>Gary Jennings Jr.</t>
  </si>
  <si>
    <t>Alec Ingold</t>
  </si>
  <si>
    <t>Tyler Bass</t>
  </si>
  <si>
    <t>Ross Dwelley</t>
  </si>
  <si>
    <t>Khari Blasingame</t>
  </si>
  <si>
    <t>Trey Edmunds</t>
  </si>
  <si>
    <t>Taiwan Jones</t>
  </si>
  <si>
    <t>Josiah Deguara</t>
  </si>
  <si>
    <t>Ventell Bryant</t>
  </si>
  <si>
    <t>Salvon Ahmed</t>
  </si>
  <si>
    <t>Jonathan Williams</t>
  </si>
  <si>
    <t>TEAM DEFENSE / SPECIAL TEAMS</t>
  </si>
  <si>
    <t>TOTAL</t>
  </si>
  <si>
    <t>FAWR</t>
  </si>
  <si>
    <t>Alex Smith</t>
  </si>
  <si>
    <t>Sam Ficken</t>
  </si>
  <si>
    <t>Washington D/ST</t>
  </si>
  <si>
    <t>Cam Newton NE</t>
  </si>
  <si>
    <t>D'Andre Swift DET</t>
  </si>
  <si>
    <t>Cam Akers LAR</t>
  </si>
  <si>
    <t>J.K. Dobbins BAL</t>
  </si>
  <si>
    <t>Matt Breida MIA</t>
  </si>
  <si>
    <t>Tarik Cohen CHI</t>
  </si>
  <si>
    <t>Darrell Henderson Jr. LAR</t>
  </si>
  <si>
    <t>Duke Johnson HOU</t>
  </si>
  <si>
    <t>Alexander Mattison MIN</t>
  </si>
  <si>
    <t>Zack Moss BUF</t>
  </si>
  <si>
    <t>Tony Pollard DAL</t>
  </si>
  <si>
    <t>Boston Scott PHI</t>
  </si>
  <si>
    <t>Chase Edmonds ARI</t>
  </si>
  <si>
    <t>Antonio Gibson WAS</t>
  </si>
  <si>
    <t>Nyheim Hines IND</t>
  </si>
  <si>
    <t>Justin Jackson LAC</t>
  </si>
  <si>
    <t>Damien Harris NE</t>
  </si>
  <si>
    <t>Carlos Hyde SEA</t>
  </si>
  <si>
    <t>AJ Dillon GB</t>
  </si>
  <si>
    <t>Giovani Bernard CIN</t>
  </si>
  <si>
    <t>Darrynton Evans TEN</t>
  </si>
  <si>
    <t>Ryquell Armstead JAC</t>
  </si>
  <si>
    <t>Joshua Kelley LAC</t>
  </si>
  <si>
    <t>N'Keal Harry NE</t>
  </si>
  <si>
    <t>Allen Lazard GB</t>
  </si>
  <si>
    <t>Brandon Aiyuk SF</t>
  </si>
  <si>
    <t>Parris Campbell IND</t>
  </si>
  <si>
    <t>Column1</t>
  </si>
  <si>
    <t>CEILING.MATH(MATCH('Default Rankings Import 2020'!$D2,'ESPN Import'!C$3:C$1202,0)/3)</t>
  </si>
  <si>
    <t>Chris Thompson JAC</t>
  </si>
  <si>
    <t>Bryce Love WAS</t>
  </si>
  <si>
    <t>Devine Ozigbo JAC</t>
  </si>
  <si>
    <t>Darrel Williams KC</t>
  </si>
  <si>
    <t>Gardner Minshew II JAC</t>
  </si>
  <si>
    <t>Kirk Cousins MIN</t>
  </si>
  <si>
    <t>Jimmy Garoppolo SF</t>
  </si>
  <si>
    <t>Philip Rivers IND</t>
  </si>
  <si>
    <t>Drew Lock DEN</t>
  </si>
  <si>
    <t>YDS</t>
  </si>
  <si>
    <t>TD</t>
  </si>
  <si>
    <t>INT</t>
  </si>
  <si>
    <t>REC</t>
  </si>
  <si>
    <t>FR</t>
  </si>
  <si>
    <t>PA</t>
  </si>
  <si>
    <t>YA</t>
  </si>
  <si>
    <t>FPTS</t>
  </si>
  <si>
    <t>--</t>
  </si>
  <si>
    <t>Rodrigo Blankenship</t>
  </si>
  <si>
    <t>FAK</t>
  </si>
  <si>
    <t>Gunner Olszewski</t>
  </si>
  <si>
    <t>Jalen Guyton</t>
  </si>
  <si>
    <t>Chris Hogan</t>
  </si>
  <si>
    <t>Jeff Wilson Jr.</t>
  </si>
  <si>
    <t>James O'Shaughnessy</t>
  </si>
  <si>
    <t>Jake Luton</t>
  </si>
  <si>
    <t>Ryan Succop</t>
  </si>
  <si>
    <t>Nick Folk</t>
  </si>
  <si>
    <t>Jason Cabinda</t>
  </si>
  <si>
    <t>Dontrelle Inman</t>
  </si>
  <si>
    <t>Blake Jarwin DAL</t>
  </si>
  <si>
    <t>Chris Herndon NYJ</t>
  </si>
  <si>
    <t>Jack Doyle IND</t>
  </si>
  <si>
    <t>Eric Ebron PIT</t>
  </si>
  <si>
    <t>Younghoe Koo ATL</t>
  </si>
  <si>
    <t>#</t>
  </si>
  <si>
    <t>Greater</t>
  </si>
  <si>
    <t>Less</t>
  </si>
  <si>
    <t>STDEV (season)</t>
  </si>
  <si>
    <t>STDEV(weeks)</t>
  </si>
  <si>
    <t>Probability Matrices: Y better than X in Given Week</t>
  </si>
  <si>
    <t>Probability Matrices: Y is Xth-best Player</t>
  </si>
  <si>
    <t>Players Expected</t>
  </si>
  <si>
    <t>C36+D36+E36*0.5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</si>
</sst>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6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000000"/>
      <name val="Segoe UI"/>
      <family val="2"/>
    </font>
    <font>
      <b/>
      <sz val="6"/>
      <color rgb="FF48494A"/>
      <name val="Calibri"/>
      <family val="2"/>
      <scheme val="minor"/>
    </font>
    <font>
      <sz val="5"/>
      <color rgb="FF1A1A1A"/>
      <name val="Calibri"/>
      <family val="2"/>
      <scheme val="minor"/>
    </font>
    <font>
      <sz val="6"/>
      <color rgb="FF797B7D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6"/>
      <color rgb="FF767676"/>
      <name val="Arial"/>
      <family val="2"/>
    </font>
    <font>
      <u/>
      <sz val="11"/>
      <color theme="10"/>
      <name val="Calibri"/>
      <family val="2"/>
      <scheme val="minor"/>
    </font>
    <font>
      <sz val="6"/>
      <color rgb="FF151617"/>
      <name val="Segoe UI"/>
      <family val="2"/>
    </font>
    <font>
      <b/>
      <sz val="6"/>
      <color rgb="FFFFFFFF"/>
      <name val="Segoe UI"/>
      <family val="2"/>
    </font>
    <font>
      <sz val="6"/>
      <color rgb="FF151617"/>
      <name val="Calibri"/>
      <family val="2"/>
      <scheme val="minor"/>
    </font>
    <font>
      <sz val="6"/>
      <color rgb="FF0066CC"/>
      <name val="Calibri"/>
      <family val="2"/>
      <scheme val="minor"/>
    </font>
    <font>
      <b/>
      <sz val="6"/>
      <color rgb="FF797B7D"/>
      <name val="Calibri"/>
      <family val="2"/>
      <scheme val="minor"/>
    </font>
    <font>
      <sz val="1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/>
        <bgColor theme="9"/>
      </patternFill>
    </fill>
  </fills>
  <borders count="7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rgb="FFF1F2F3"/>
      </bottom>
      <diagonal/>
    </border>
    <border>
      <left/>
      <right/>
      <top style="medium">
        <color rgb="FFF1F2F3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rgb="FFDCDDDF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 style="thick">
        <color auto="1"/>
      </right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/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rgb="FFEAEAEA"/>
      </left>
      <right style="medium">
        <color rgb="FFEAEAEA"/>
      </right>
      <top style="medium">
        <color rgb="FFEAEAEA"/>
      </top>
      <bottom style="medium">
        <color rgb="FFEAEAEA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rgb="FFDCDDDF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/>
      <diagonal/>
    </border>
    <border>
      <left/>
      <right/>
      <top style="medium">
        <color rgb="FFDCDDDF"/>
      </top>
      <bottom style="medium">
        <color rgb="FFDCDDDF"/>
      </bottom>
      <diagonal/>
    </border>
    <border>
      <left style="thin">
        <color theme="9" tint="0.39997558519241921"/>
      </left>
      <right/>
      <top/>
      <bottom style="thin">
        <color theme="9" tint="0.39997558519241921"/>
      </bottom>
      <diagonal/>
    </border>
    <border>
      <left/>
      <right/>
      <top/>
      <bottom style="thin">
        <color theme="9" tint="0.39997558519241921"/>
      </bottom>
      <diagonal/>
    </border>
    <border>
      <left/>
      <right style="thin">
        <color theme="9" tint="0.39997558519241921"/>
      </right>
      <top/>
      <bottom style="thin">
        <color theme="9" tint="0.39997558519241921"/>
      </bottom>
      <diagonal/>
    </border>
    <border>
      <left/>
      <right style="thin">
        <color theme="9" tint="0.39997558519241921"/>
      </right>
      <top/>
      <bottom/>
      <diagonal/>
    </border>
    <border>
      <left style="thin">
        <color theme="9" tint="0.39997558519241921"/>
      </left>
      <right style="thin">
        <color theme="9" tint="0.39997558519241921"/>
      </right>
      <top/>
      <bottom/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209">
    <xf numFmtId="0" fontId="0" fillId="0" borderId="0" xfId="0"/>
    <xf numFmtId="0" fontId="0" fillId="0" borderId="0" xfId="0" applyAlignment="1">
      <alignment horizontal="center"/>
    </xf>
    <xf numFmtId="0" fontId="0" fillId="0" borderId="3" xfId="0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13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0" borderId="0" xfId="0" applyAlignment="1"/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0" fillId="5" borderId="16" xfId="0" applyFill="1" applyBorder="1" applyAlignment="1">
      <alignment horizontal="center"/>
    </xf>
    <xf numFmtId="0" fontId="0" fillId="5" borderId="12" xfId="0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2" borderId="10" xfId="0" applyFill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0" fillId="0" borderId="0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3" borderId="16" xfId="0" applyFill="1" applyBorder="1" applyAlignment="1">
      <alignment horizontal="center"/>
    </xf>
    <xf numFmtId="0" fontId="0" fillId="0" borderId="12" xfId="0" applyFill="1" applyBorder="1" applyAlignment="1">
      <alignment horizontal="center"/>
    </xf>
    <xf numFmtId="0" fontId="0" fillId="3" borderId="17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3" borderId="22" xfId="0" applyFill="1" applyBorder="1" applyAlignment="1">
      <alignment horizontal="center"/>
    </xf>
    <xf numFmtId="0" fontId="0" fillId="6" borderId="16" xfId="0" applyFill="1" applyBorder="1" applyAlignment="1">
      <alignment horizontal="center"/>
    </xf>
    <xf numFmtId="0" fontId="0" fillId="6" borderId="12" xfId="0" applyFill="1" applyBorder="1" applyAlignment="1">
      <alignment horizontal="center"/>
    </xf>
    <xf numFmtId="0" fontId="0" fillId="6" borderId="17" xfId="0" applyFill="1" applyBorder="1" applyAlignment="1">
      <alignment horizontal="center"/>
    </xf>
    <xf numFmtId="0" fontId="0" fillId="6" borderId="14" xfId="0" applyFill="1" applyBorder="1" applyAlignment="1">
      <alignment horizontal="center"/>
    </xf>
    <xf numFmtId="9" fontId="0" fillId="0" borderId="11" xfId="0" applyNumberFormat="1" applyBorder="1" applyAlignment="1">
      <alignment horizontal="center"/>
    </xf>
    <xf numFmtId="9" fontId="0" fillId="0" borderId="13" xfId="0" applyNumberFormat="1" applyBorder="1" applyAlignment="1">
      <alignment horizontal="center"/>
    </xf>
    <xf numFmtId="0" fontId="0" fillId="7" borderId="16" xfId="0" applyFill="1" applyBorder="1" applyAlignment="1">
      <alignment horizontal="center"/>
    </xf>
    <xf numFmtId="0" fontId="0" fillId="7" borderId="17" xfId="0" applyFill="1" applyBorder="1" applyAlignment="1">
      <alignment horizontal="center"/>
    </xf>
    <xf numFmtId="1" fontId="0" fillId="0" borderId="16" xfId="0" applyNumberFormat="1" applyBorder="1" applyAlignment="1">
      <alignment horizontal="center"/>
    </xf>
    <xf numFmtId="1" fontId="0" fillId="0" borderId="17" xfId="0" applyNumberFormat="1" applyBorder="1" applyAlignment="1">
      <alignment horizontal="center"/>
    </xf>
    <xf numFmtId="1" fontId="0" fillId="6" borderId="12" xfId="0" applyNumberFormat="1" applyFill="1" applyBorder="1" applyAlignment="1">
      <alignment horizontal="center"/>
    </xf>
    <xf numFmtId="1" fontId="0" fillId="6" borderId="14" xfId="0" applyNumberFormat="1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6" borderId="26" xfId="0" applyFill="1" applyBorder="1" applyAlignment="1">
      <alignment horizontal="center"/>
    </xf>
    <xf numFmtId="0" fontId="0" fillId="6" borderId="27" xfId="0" applyFill="1" applyBorder="1" applyAlignment="1">
      <alignment horizontal="center"/>
    </xf>
    <xf numFmtId="0" fontId="0" fillId="5" borderId="28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2" borderId="15" xfId="0" applyFill="1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3" borderId="29" xfId="0" applyFill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2" borderId="16" xfId="0" applyFill="1" applyBorder="1" applyAlignment="1">
      <alignment horizontal="center"/>
    </xf>
    <xf numFmtId="1" fontId="0" fillId="3" borderId="12" xfId="0" applyNumberFormat="1" applyFill="1" applyBorder="1" applyAlignment="1">
      <alignment horizontal="center"/>
    </xf>
    <xf numFmtId="1" fontId="0" fillId="3" borderId="14" xfId="0" applyNumberFormat="1" applyFill="1" applyBorder="1" applyAlignment="1">
      <alignment horizontal="center"/>
    </xf>
    <xf numFmtId="0" fontId="0" fillId="4" borderId="9" xfId="0" applyFill="1" applyBorder="1" applyAlignment="1">
      <alignment horizontal="center"/>
    </xf>
    <xf numFmtId="0" fontId="0" fillId="4" borderId="10" xfId="0" applyFill="1" applyBorder="1" applyAlignment="1">
      <alignment horizontal="center"/>
    </xf>
    <xf numFmtId="0" fontId="0" fillId="4" borderId="15" xfId="0" applyFill="1" applyBorder="1" applyAlignment="1">
      <alignment horizontal="center"/>
    </xf>
    <xf numFmtId="1" fontId="0" fillId="6" borderId="26" xfId="0" applyNumberFormat="1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1" fontId="0" fillId="5" borderId="16" xfId="0" applyNumberFormat="1" applyFill="1" applyBorder="1" applyAlignment="1">
      <alignment horizontal="center"/>
    </xf>
    <xf numFmtId="0" fontId="0" fillId="8" borderId="16" xfId="0" applyFill="1" applyBorder="1" applyAlignment="1">
      <alignment horizontal="center"/>
    </xf>
    <xf numFmtId="1" fontId="0" fillId="8" borderId="16" xfId="0" applyNumberFormat="1" applyFill="1" applyBorder="1" applyAlignment="1">
      <alignment horizontal="center"/>
    </xf>
    <xf numFmtId="1" fontId="0" fillId="8" borderId="12" xfId="0" applyNumberFormat="1" applyFill="1" applyBorder="1" applyAlignment="1">
      <alignment horizontal="center"/>
    </xf>
    <xf numFmtId="1" fontId="0" fillId="0" borderId="0" xfId="0" applyNumberFormat="1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0" fillId="4" borderId="32" xfId="0" applyFill="1" applyBorder="1"/>
    <xf numFmtId="0" fontId="0" fillId="3" borderId="31" xfId="0" applyFill="1" applyBorder="1" applyAlignment="1">
      <alignment horizontal="center"/>
    </xf>
    <xf numFmtId="0" fontId="0" fillId="3" borderId="14" xfId="0" applyFill="1" applyBorder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0" fillId="2" borderId="35" xfId="0" applyFill="1" applyBorder="1" applyAlignment="1">
      <alignment horizontal="center"/>
    </xf>
    <xf numFmtId="0" fontId="0" fillId="9" borderId="36" xfId="0" applyFill="1" applyBorder="1" applyAlignment="1">
      <alignment horizontal="center"/>
    </xf>
    <xf numFmtId="0" fontId="0" fillId="9" borderId="37" xfId="0" applyFill="1" applyBorder="1" applyAlignment="1">
      <alignment horizontal="center"/>
    </xf>
    <xf numFmtId="0" fontId="0" fillId="9" borderId="27" xfId="0" applyFill="1" applyBorder="1" applyAlignment="1">
      <alignment horizontal="center"/>
    </xf>
    <xf numFmtId="0" fontId="0" fillId="9" borderId="38" xfId="0" applyFill="1" applyBorder="1" applyAlignment="1">
      <alignment horizontal="center"/>
    </xf>
    <xf numFmtId="0" fontId="0" fillId="9" borderId="39" xfId="0" applyFill="1" applyBorder="1" applyAlignment="1">
      <alignment horizontal="center"/>
    </xf>
    <xf numFmtId="0" fontId="0" fillId="0" borderId="42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0" borderId="48" xfId="0" applyBorder="1"/>
    <xf numFmtId="0" fontId="0" fillId="3" borderId="15" xfId="0" applyFill="1" applyBorder="1" applyAlignment="1">
      <alignment horizontal="center" vertical="center"/>
    </xf>
    <xf numFmtId="0" fontId="6" fillId="10" borderId="55" xfId="0" applyFont="1" applyFill="1" applyBorder="1" applyAlignment="1">
      <alignment horizontal="center" vertical="center"/>
    </xf>
    <xf numFmtId="0" fontId="6" fillId="10" borderId="56" xfId="0" applyFont="1" applyFill="1" applyBorder="1" applyAlignment="1">
      <alignment horizontal="center" vertical="center"/>
    </xf>
    <xf numFmtId="0" fontId="0" fillId="3" borderId="29" xfId="0" applyFill="1" applyBorder="1" applyAlignment="1">
      <alignment horizontal="center" vertical="center"/>
    </xf>
    <xf numFmtId="0" fontId="0" fillId="3" borderId="30" xfId="0" applyFill="1" applyBorder="1" applyAlignment="1">
      <alignment horizontal="center" vertical="center"/>
    </xf>
    <xf numFmtId="0" fontId="0" fillId="3" borderId="57" xfId="0" applyFill="1" applyBorder="1" applyAlignment="1">
      <alignment horizontal="center" vertical="center"/>
    </xf>
    <xf numFmtId="0" fontId="0" fillId="3" borderId="23" xfId="0" applyFill="1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54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59" xfId="0" applyBorder="1" applyAlignment="1">
      <alignment horizontal="center"/>
    </xf>
    <xf numFmtId="0" fontId="0" fillId="0" borderId="60" xfId="0" applyBorder="1" applyAlignment="1">
      <alignment horizontal="center"/>
    </xf>
    <xf numFmtId="0" fontId="0" fillId="0" borderId="51" xfId="0" applyBorder="1" applyAlignment="1">
      <alignment horizontal="center"/>
    </xf>
    <xf numFmtId="0" fontId="0" fillId="0" borderId="58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3" borderId="53" xfId="0" applyFill="1" applyBorder="1" applyAlignment="1">
      <alignment horizontal="center"/>
    </xf>
    <xf numFmtId="0" fontId="0" fillId="2" borderId="61" xfId="0" applyFill="1" applyBorder="1" applyAlignment="1">
      <alignment horizontal="center"/>
    </xf>
    <xf numFmtId="0" fontId="0" fillId="5" borderId="26" xfId="0" applyFill="1" applyBorder="1" applyAlignment="1">
      <alignment horizontal="center"/>
    </xf>
    <xf numFmtId="0" fontId="9" fillId="0" borderId="62" xfId="1" applyBorder="1" applyAlignment="1">
      <alignment horizontal="left" vertical="center" wrapText="1"/>
    </xf>
    <xf numFmtId="0" fontId="8" fillId="0" borderId="62" xfId="0" applyFont="1" applyBorder="1" applyAlignment="1">
      <alignment horizontal="left" vertical="center" wrapText="1"/>
    </xf>
    <xf numFmtId="0" fontId="8" fillId="0" borderId="62" xfId="0" applyFont="1" applyBorder="1" applyAlignment="1">
      <alignment horizontal="center" vertical="center" wrapText="1"/>
    </xf>
    <xf numFmtId="0" fontId="0" fillId="2" borderId="15" xfId="0" applyFill="1" applyBorder="1" applyAlignment="1">
      <alignment horizontal="center" wrapText="1"/>
    </xf>
    <xf numFmtId="0" fontId="0" fillId="2" borderId="9" xfId="0" applyFill="1" applyBorder="1" applyAlignment="1">
      <alignment horizontal="center" wrapText="1"/>
    </xf>
    <xf numFmtId="0" fontId="0" fillId="2" borderId="61" xfId="0" applyFill="1" applyBorder="1" applyAlignment="1">
      <alignment horizontal="center" wrapText="1"/>
    </xf>
    <xf numFmtId="0" fontId="0" fillId="2" borderId="63" xfId="0" applyFill="1" applyBorder="1" applyAlignment="1">
      <alignment horizontal="center" wrapText="1"/>
    </xf>
    <xf numFmtId="0" fontId="0" fillId="0" borderId="0" xfId="0" applyFill="1" applyBorder="1" applyAlignment="1">
      <alignment horizontal="center" wrapText="1"/>
    </xf>
    <xf numFmtId="0" fontId="0" fillId="0" borderId="39" xfId="0" applyFill="1" applyBorder="1" applyAlignment="1">
      <alignment horizontal="center"/>
    </xf>
    <xf numFmtId="0" fontId="0" fillId="2" borderId="10" xfId="0" applyFill="1" applyBorder="1" applyAlignment="1">
      <alignment horizontal="center" vertical="center"/>
    </xf>
    <xf numFmtId="0" fontId="0" fillId="2" borderId="15" xfId="0" applyFill="1" applyBorder="1" applyAlignment="1">
      <alignment horizontal="center" vertical="center"/>
    </xf>
    <xf numFmtId="0" fontId="0" fillId="2" borderId="15" xfId="0" applyFill="1" applyBorder="1" applyAlignment="1">
      <alignment horizontal="center" vertical="center"/>
    </xf>
    <xf numFmtId="0" fontId="0" fillId="3" borderId="11" xfId="0" applyFill="1" applyBorder="1" applyAlignment="1">
      <alignment horizontal="center" vertical="center"/>
    </xf>
    <xf numFmtId="0" fontId="0" fillId="3" borderId="13" xfId="0" applyFill="1" applyBorder="1" applyAlignment="1">
      <alignment horizontal="center" vertical="center"/>
    </xf>
    <xf numFmtId="0" fontId="0" fillId="5" borderId="16" xfId="0" applyFill="1" applyBorder="1" applyAlignment="1">
      <alignment horizontal="center" vertical="center"/>
    </xf>
    <xf numFmtId="164" fontId="0" fillId="5" borderId="16" xfId="0" applyNumberFormat="1" applyFill="1" applyBorder="1" applyAlignment="1">
      <alignment horizontal="center" vertical="center"/>
    </xf>
    <xf numFmtId="164" fontId="0" fillId="5" borderId="16" xfId="0" applyNumberFormat="1" applyFill="1" applyBorder="1" applyAlignment="1">
      <alignment horizontal="center"/>
    </xf>
    <xf numFmtId="164" fontId="0" fillId="5" borderId="16" xfId="0" quotePrefix="1" applyNumberFormat="1" applyFill="1" applyBorder="1" applyAlignment="1">
      <alignment horizontal="center" vertical="center"/>
    </xf>
    <xf numFmtId="0" fontId="0" fillId="5" borderId="17" xfId="0" applyFill="1" applyBorder="1" applyAlignment="1">
      <alignment horizontal="center" vertical="center"/>
    </xf>
    <xf numFmtId="164" fontId="0" fillId="5" borderId="17" xfId="0" applyNumberFormat="1" applyFill="1" applyBorder="1" applyAlignment="1">
      <alignment horizontal="center" vertical="center"/>
    </xf>
    <xf numFmtId="164" fontId="0" fillId="5" borderId="17" xfId="0" applyNumberFormat="1" applyFill="1" applyBorder="1" applyAlignment="1">
      <alignment horizontal="center"/>
    </xf>
    <xf numFmtId="164" fontId="0" fillId="5" borderId="12" xfId="0" applyNumberFormat="1" applyFill="1" applyBorder="1" applyAlignment="1">
      <alignment horizontal="center"/>
    </xf>
    <xf numFmtId="164" fontId="0" fillId="5" borderId="14" xfId="0" applyNumberFormat="1" applyFill="1" applyBorder="1" applyAlignment="1">
      <alignment horizontal="center"/>
    </xf>
    <xf numFmtId="0" fontId="4" fillId="0" borderId="64" xfId="0" applyFont="1" applyBorder="1" applyAlignment="1">
      <alignment horizontal="left" vertical="center" wrapText="1" indent="1"/>
    </xf>
    <xf numFmtId="0" fontId="0" fillId="0" borderId="65" xfId="0" applyFont="1" applyBorder="1"/>
    <xf numFmtId="0" fontId="0" fillId="0" borderId="66" xfId="0" applyFont="1" applyBorder="1"/>
    <xf numFmtId="0" fontId="0" fillId="0" borderId="67" xfId="0" applyFont="1" applyBorder="1"/>
    <xf numFmtId="0" fontId="0" fillId="11" borderId="65" xfId="0" applyFont="1" applyFill="1" applyBorder="1"/>
    <xf numFmtId="0" fontId="0" fillId="11" borderId="66" xfId="0" applyFont="1" applyFill="1" applyBorder="1"/>
    <xf numFmtId="0" fontId="0" fillId="11" borderId="67" xfId="0" applyFont="1" applyFill="1" applyBorder="1"/>
    <xf numFmtId="0" fontId="0" fillId="11" borderId="68" xfId="0" applyFont="1" applyFill="1" applyBorder="1"/>
    <xf numFmtId="0" fontId="0" fillId="0" borderId="68" xfId="0" applyFont="1" applyBorder="1"/>
    <xf numFmtId="0" fontId="0" fillId="0" borderId="66" xfId="0" applyNumberFormat="1" applyFont="1" applyBorder="1"/>
    <xf numFmtId="0" fontId="0" fillId="11" borderId="66" xfId="0" applyNumberFormat="1" applyFont="1" applyFill="1" applyBorder="1"/>
    <xf numFmtId="0" fontId="10" fillId="0" borderId="64" xfId="0" applyFont="1" applyBorder="1" applyAlignment="1">
      <alignment horizontal="right" vertical="center"/>
    </xf>
    <xf numFmtId="0" fontId="10" fillId="0" borderId="64" xfId="0" applyFont="1" applyBorder="1" applyAlignment="1">
      <alignment horizontal="center" vertical="center"/>
    </xf>
    <xf numFmtId="0" fontId="11" fillId="0" borderId="69" xfId="0" applyFont="1" applyBorder="1" applyAlignment="1">
      <alignment horizontal="center" vertical="center"/>
    </xf>
    <xf numFmtId="0" fontId="6" fillId="12" borderId="70" xfId="0" applyFont="1" applyFill="1" applyBorder="1"/>
    <xf numFmtId="0" fontId="6" fillId="12" borderId="71" xfId="0" applyFont="1" applyFill="1" applyBorder="1"/>
    <xf numFmtId="0" fontId="6" fillId="12" borderId="72" xfId="0" applyFont="1" applyFill="1" applyBorder="1"/>
    <xf numFmtId="0" fontId="6" fillId="12" borderId="73" xfId="0" applyFont="1" applyFill="1" applyBorder="1"/>
    <xf numFmtId="0" fontId="6" fillId="12" borderId="74" xfId="0" applyFont="1" applyFill="1" applyBorder="1"/>
    <xf numFmtId="0" fontId="0" fillId="11" borderId="0" xfId="0" applyFont="1" applyFill="1" applyBorder="1"/>
    <xf numFmtId="0" fontId="0" fillId="0" borderId="0" xfId="0" applyFont="1" applyBorder="1"/>
    <xf numFmtId="0" fontId="0" fillId="0" borderId="0" xfId="0" applyBorder="1"/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/>
    </xf>
    <xf numFmtId="0" fontId="5" fillId="0" borderId="33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0" fillId="0" borderId="16" xfId="0" applyFont="1" applyBorder="1" applyAlignment="1">
      <alignment horizontal="center"/>
    </xf>
    <xf numFmtId="0" fontId="13" fillId="0" borderId="0" xfId="0" applyFont="1" applyAlignment="1">
      <alignment horizontal="left" vertical="center"/>
    </xf>
    <xf numFmtId="0" fontId="11" fillId="0" borderId="69" xfId="0" applyFont="1" applyBorder="1" applyAlignment="1">
      <alignment vertical="center"/>
    </xf>
    <xf numFmtId="0" fontId="0" fillId="0" borderId="68" xfId="0" applyBorder="1"/>
    <xf numFmtId="0" fontId="5" fillId="0" borderId="34" xfId="0" applyFont="1" applyBorder="1" applyAlignment="1">
      <alignment horizontal="right" vertical="center"/>
    </xf>
    <xf numFmtId="0" fontId="5" fillId="0" borderId="0" xfId="0" applyFont="1" applyAlignment="1">
      <alignment horizontal="right" vertical="center"/>
    </xf>
    <xf numFmtId="0" fontId="14" fillId="0" borderId="34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5" fillId="0" borderId="33" xfId="0" applyFont="1" applyBorder="1" applyAlignment="1">
      <alignment horizontal="right" vertical="center"/>
    </xf>
    <xf numFmtId="0" fontId="14" fillId="0" borderId="33" xfId="0" applyFont="1" applyBorder="1" applyAlignment="1">
      <alignment horizontal="center" vertical="center"/>
    </xf>
    <xf numFmtId="0" fontId="12" fillId="0" borderId="0" xfId="0" applyFont="1" applyAlignment="1">
      <alignment horizontal="right" vertical="center"/>
    </xf>
    <xf numFmtId="0" fontId="12" fillId="0" borderId="64" xfId="0" applyFont="1" applyBorder="1" applyAlignment="1">
      <alignment horizontal="right" vertical="center"/>
    </xf>
    <xf numFmtId="0" fontId="12" fillId="0" borderId="0" xfId="0" applyFont="1" applyAlignment="1">
      <alignment horizontal="center" vertical="center"/>
    </xf>
    <xf numFmtId="0" fontId="12" fillId="0" borderId="64" xfId="0" applyFont="1" applyBorder="1" applyAlignment="1">
      <alignment horizontal="center" vertical="center"/>
    </xf>
    <xf numFmtId="0" fontId="5" fillId="0" borderId="40" xfId="0" applyFont="1" applyBorder="1" applyAlignment="1">
      <alignment horizontal="right" vertical="center"/>
    </xf>
    <xf numFmtId="0" fontId="11" fillId="0" borderId="69" xfId="0" applyFont="1" applyBorder="1" applyAlignment="1">
      <alignment horizontal="center" vertical="center"/>
    </xf>
    <xf numFmtId="0" fontId="5" fillId="0" borderId="34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33" xfId="0" applyFont="1" applyBorder="1" applyAlignment="1">
      <alignment horizontal="center" vertical="center"/>
    </xf>
    <xf numFmtId="0" fontId="5" fillId="0" borderId="34" xfId="0" applyFont="1" applyBorder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5" fillId="0" borderId="33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0" borderId="64" xfId="0" applyFont="1" applyBorder="1" applyAlignment="1">
      <alignment horizontal="left" vertical="center"/>
    </xf>
    <xf numFmtId="0" fontId="5" fillId="0" borderId="40" xfId="0" applyFont="1" applyBorder="1" applyAlignment="1">
      <alignment horizontal="center" vertical="center"/>
    </xf>
    <xf numFmtId="0" fontId="5" fillId="0" borderId="40" xfId="0" applyFont="1" applyBorder="1" applyAlignment="1">
      <alignment horizontal="left" vertical="center"/>
    </xf>
    <xf numFmtId="0" fontId="0" fillId="0" borderId="49" xfId="0" applyBorder="1" applyAlignment="1">
      <alignment horizontal="center" vertical="center" wrapText="1"/>
    </xf>
    <xf numFmtId="0" fontId="0" fillId="0" borderId="50" xfId="0" applyBorder="1" applyAlignment="1">
      <alignment horizontal="center" vertical="center" wrapText="1"/>
    </xf>
    <xf numFmtId="0" fontId="0" fillId="0" borderId="47" xfId="0" applyBorder="1" applyAlignment="1">
      <alignment horizontal="center" vertical="center" wrapText="1"/>
    </xf>
    <xf numFmtId="0" fontId="0" fillId="0" borderId="44" xfId="0" applyBorder="1" applyAlignment="1">
      <alignment horizontal="center" vertical="center" wrapText="1"/>
    </xf>
    <xf numFmtId="0" fontId="0" fillId="0" borderId="45" xfId="0" applyBorder="1" applyAlignment="1">
      <alignment horizontal="center" vertical="center" wrapText="1"/>
    </xf>
    <xf numFmtId="0" fontId="0" fillId="0" borderId="46" xfId="0" applyBorder="1" applyAlignment="1">
      <alignment horizontal="center" vertical="center" wrapText="1"/>
    </xf>
    <xf numFmtId="0" fontId="0" fillId="4" borderId="49" xfId="0" applyFill="1" applyBorder="1" applyAlignment="1">
      <alignment horizontal="center" vertical="center"/>
    </xf>
    <xf numFmtId="0" fontId="0" fillId="4" borderId="50" xfId="0" applyFill="1" applyBorder="1" applyAlignment="1">
      <alignment horizontal="center" vertical="center"/>
    </xf>
    <xf numFmtId="0" fontId="0" fillId="4" borderId="47" xfId="0" applyFill="1" applyBorder="1" applyAlignment="1">
      <alignment horizontal="center" vertical="center"/>
    </xf>
    <xf numFmtId="0" fontId="0" fillId="4" borderId="9" xfId="0" applyFill="1" applyBorder="1" applyAlignment="1">
      <alignment horizontal="center"/>
    </xf>
    <xf numFmtId="0" fontId="0" fillId="4" borderId="10" xfId="0" applyFill="1" applyBorder="1" applyAlignment="1">
      <alignment horizontal="center"/>
    </xf>
    <xf numFmtId="0" fontId="0" fillId="2" borderId="16" xfId="0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0" fillId="4" borderId="15" xfId="0" applyFill="1" applyBorder="1" applyAlignment="1">
      <alignment horizontal="center"/>
    </xf>
    <xf numFmtId="0" fontId="0" fillId="2" borderId="11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wrapText="1"/>
    </xf>
    <xf numFmtId="0" fontId="0" fillId="2" borderId="8" xfId="0" applyFill="1" applyBorder="1" applyAlignment="1">
      <alignment horizontal="center" wrapText="1"/>
    </xf>
    <xf numFmtId="0" fontId="0" fillId="2" borderId="1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2" borderId="10" xfId="0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0" fillId="4" borderId="18" xfId="0" applyFill="1" applyBorder="1" applyAlignment="1">
      <alignment horizontal="center"/>
    </xf>
    <xf numFmtId="0" fontId="0" fillId="4" borderId="19" xfId="0" applyFill="1" applyBorder="1" applyAlignment="1">
      <alignment horizontal="center"/>
    </xf>
    <xf numFmtId="0" fontId="0" fillId="2" borderId="11" xfId="0" applyFill="1" applyBorder="1" applyAlignment="1">
      <alignment horizontal="center" vertical="center" wrapText="1"/>
    </xf>
    <xf numFmtId="0" fontId="0" fillId="2" borderId="16" xfId="0" applyFill="1" applyBorder="1" applyAlignment="1">
      <alignment horizontal="center" vertical="center" wrapText="1"/>
    </xf>
    <xf numFmtId="0" fontId="0" fillId="2" borderId="15" xfId="0" applyFill="1" applyBorder="1" applyAlignment="1">
      <alignment horizontal="center" vertical="center"/>
    </xf>
    <xf numFmtId="0" fontId="0" fillId="2" borderId="16" xfId="0" applyFill="1" applyBorder="1" applyAlignment="1">
      <alignment horizontal="center" vertical="center"/>
    </xf>
    <xf numFmtId="0" fontId="15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2">
    <cellStyle name="Hyperlink" xfId="1" builtinId="8"/>
    <cellStyle name="Normal" xfId="0" builtinId="0"/>
  </cellStyles>
  <dxfs count="59">
    <dxf>
      <font>
        <strike val="0"/>
        <color theme="0"/>
      </font>
      <numFmt numFmtId="1" formatCode="0"/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border outline="0">
        <top style="thin">
          <color theme="9" tint="0.3999755851924192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border diagonalUp="0" diagonalDown="0" outline="0">
        <left style="thin">
          <color theme="9" tint="0.39997558519241921"/>
        </left>
        <right style="thin">
          <color theme="9" tint="0.39997558519241921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2.xml><?xml version="1.0" encoding="utf-8"?>
<ax:ocx xmlns:ax="http://schemas.microsoft.com/office/2006/activeX" xmlns:r="http://schemas.openxmlformats.org/officeDocument/2006/relationships" ax:classid="{5512D122-5CC6-11CF-8D67-00AA00BDCE1D}" ax:persistence="persistStream" r:id="rId1"/>
</file>

<file path=xl/activeX/activeX3.xml><?xml version="1.0" encoding="utf-8"?>
<ax:ocx xmlns:ax="http://schemas.microsoft.com/office/2006/activeX" xmlns:r="http://schemas.openxmlformats.org/officeDocument/2006/relationships" ax:classid="{5512D122-5CC6-11CF-8D67-00AA00BDCE1D}" ax:persistence="persistStream" r:id="rId1"/>
</file>

<file path=xl/activeX/activeX4.xml><?xml version="1.0" encoding="utf-8"?>
<ax:ocx xmlns:ax="http://schemas.microsoft.com/office/2006/activeX" xmlns:r="http://schemas.openxmlformats.org/officeDocument/2006/relationships" ax:classid="{5512D122-5CC6-11CF-8D67-00AA00BDCE1D}" ax:persistence="persistStream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Positional Std</a:t>
            </a:r>
            <a:r>
              <a:rPr lang="en-US" baseline="0"/>
              <a:t> Dev vs Avg</a:t>
            </a:r>
            <a:endParaRPr lang="en-US"/>
          </a:p>
        </c:rich>
      </c:tx>
      <c:layout>
        <c:manualLayout>
          <c:xMode val="edge"/>
          <c:yMode val="edge"/>
          <c:x val="0.32893744531933511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'Default Rankings Import 2020'!$W$2:$W$301</c:f>
              <c:numCache>
                <c:formatCode>General</c:formatCode>
                <c:ptCount val="3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166.1</c:v>
                </c:pt>
                <c:pt idx="182">
                  <c:v>166.4</c:v>
                </c:pt>
                <c:pt idx="183">
                  <c:v>173.9</c:v>
                </c:pt>
                <c:pt idx="184">
                  <c:v>205</c:v>
                </c:pt>
                <c:pt idx="185">
                  <c:v>249.5</c:v>
                </c:pt>
                <c:pt idx="186">
                  <c:v>179.4</c:v>
                </c:pt>
                <c:pt idx="187">
                  <c:v>195.5</c:v>
                </c:pt>
                <c:pt idx="188">
                  <c:v>213.6</c:v>
                </c:pt>
                <c:pt idx="189">
                  <c:v>215.2</c:v>
                </c:pt>
                <c:pt idx="190">
                  <c:v>265.39999999999998</c:v>
                </c:pt>
                <c:pt idx="191">
                  <c:v>214.2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235.9</c:v>
                </c:pt>
                <c:pt idx="224">
                  <c:v>283.89999999999998</c:v>
                </c:pt>
                <c:pt idx="225">
                  <c:v>232.1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296.2</c:v>
                </c:pt>
                <c:pt idx="256">
                  <c:v>232.7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223.3</c:v>
                </c:pt>
                <c:pt idx="285">
                  <c:v>239.2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</c:numCache>
            </c:numRef>
          </c:xVal>
          <c:yVal>
            <c:numRef>
              <c:f>'Default Rankings Import 2020'!$X$2:$X$301</c:f>
              <c:numCache>
                <c:formatCode>General</c:formatCode>
                <c:ptCount val="3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21.3</c:v>
                </c:pt>
                <c:pt idx="182">
                  <c:v>26.1</c:v>
                </c:pt>
                <c:pt idx="183">
                  <c:v>20</c:v>
                </c:pt>
                <c:pt idx="184">
                  <c:v>21.6</c:v>
                </c:pt>
                <c:pt idx="185">
                  <c:v>28.6</c:v>
                </c:pt>
                <c:pt idx="186">
                  <c:v>21.6</c:v>
                </c:pt>
                <c:pt idx="187">
                  <c:v>20.6</c:v>
                </c:pt>
                <c:pt idx="188">
                  <c:v>28.8</c:v>
                </c:pt>
                <c:pt idx="189">
                  <c:v>22.7</c:v>
                </c:pt>
                <c:pt idx="190">
                  <c:v>31.1</c:v>
                </c:pt>
                <c:pt idx="191">
                  <c:v>24.1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26.9</c:v>
                </c:pt>
                <c:pt idx="224">
                  <c:v>30.5</c:v>
                </c:pt>
                <c:pt idx="225">
                  <c:v>33.5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40.6</c:v>
                </c:pt>
                <c:pt idx="256">
                  <c:v>24.1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26.5</c:v>
                </c:pt>
                <c:pt idx="285">
                  <c:v>29.4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6F-41C0-B39F-025F9C9256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1881624"/>
        <c:axId val="991879328"/>
      </c:scatterChart>
      <c:valAx>
        <c:axId val="9918816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Avg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1879328"/>
        <c:crosses val="autoZero"/>
        <c:crossBetween val="midCat"/>
      </c:valAx>
      <c:valAx>
        <c:axId val="991879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Std Dev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18816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33</xdr:row>
          <xdr:rowOff>0</xdr:rowOff>
        </xdr:from>
        <xdr:to>
          <xdr:col>10</xdr:col>
          <xdr:colOff>304800</xdr:colOff>
          <xdr:row>34</xdr:row>
          <xdr:rowOff>38100</xdr:rowOff>
        </xdr:to>
        <xdr:sp macro="" textlink="">
          <xdr:nvSpPr>
            <xdr:cNvPr id="28910" name="Control 6382" hidden="1">
              <a:extLst>
                <a:ext uri="{63B3BB69-23CF-44E3-9099-C40C66FF867C}">
                  <a14:compatExt spid="_x0000_s28910"/>
                </a:ext>
                <a:ext uri="{FF2B5EF4-FFF2-40B4-BE49-F238E27FC236}">
                  <a16:creationId xmlns:a16="http://schemas.microsoft.com/office/drawing/2014/main" id="{00000000-0008-0000-0000-0000EE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35</xdr:row>
          <xdr:rowOff>0</xdr:rowOff>
        </xdr:from>
        <xdr:to>
          <xdr:col>10</xdr:col>
          <xdr:colOff>88900</xdr:colOff>
          <xdr:row>36</xdr:row>
          <xdr:rowOff>38100</xdr:rowOff>
        </xdr:to>
        <xdr:sp macro="" textlink="">
          <xdr:nvSpPr>
            <xdr:cNvPr id="28911" name="Control 6383" hidden="1">
              <a:extLst>
                <a:ext uri="{63B3BB69-23CF-44E3-9099-C40C66FF867C}">
                  <a14:compatExt spid="_x0000_s28911"/>
                </a:ext>
                <a:ext uri="{FF2B5EF4-FFF2-40B4-BE49-F238E27FC236}">
                  <a16:creationId xmlns:a16="http://schemas.microsoft.com/office/drawing/2014/main" id="{00000000-0008-0000-0000-0000EF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37</xdr:row>
          <xdr:rowOff>0</xdr:rowOff>
        </xdr:from>
        <xdr:to>
          <xdr:col>10</xdr:col>
          <xdr:colOff>527050</xdr:colOff>
          <xdr:row>38</xdr:row>
          <xdr:rowOff>38100</xdr:rowOff>
        </xdr:to>
        <xdr:sp macro="" textlink="">
          <xdr:nvSpPr>
            <xdr:cNvPr id="28912" name="Control 6384" hidden="1">
              <a:extLst>
                <a:ext uri="{63B3BB69-23CF-44E3-9099-C40C66FF867C}">
                  <a14:compatExt spid="_x0000_s28912"/>
                </a:ext>
                <a:ext uri="{FF2B5EF4-FFF2-40B4-BE49-F238E27FC236}">
                  <a16:creationId xmlns:a16="http://schemas.microsoft.com/office/drawing/2014/main" id="{00000000-0008-0000-0000-0000F0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39</xdr:row>
          <xdr:rowOff>0</xdr:rowOff>
        </xdr:from>
        <xdr:to>
          <xdr:col>10</xdr:col>
          <xdr:colOff>88900</xdr:colOff>
          <xdr:row>40</xdr:row>
          <xdr:rowOff>38100</xdr:rowOff>
        </xdr:to>
        <xdr:sp macro="" textlink="">
          <xdr:nvSpPr>
            <xdr:cNvPr id="28913" name="Control 6385" hidden="1">
              <a:extLst>
                <a:ext uri="{63B3BB69-23CF-44E3-9099-C40C66FF867C}">
                  <a14:compatExt spid="_x0000_s28913"/>
                </a:ext>
                <a:ext uri="{FF2B5EF4-FFF2-40B4-BE49-F238E27FC236}">
                  <a16:creationId xmlns:a16="http://schemas.microsoft.com/office/drawing/2014/main" id="{00000000-0008-0000-0000-0000F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41275</xdr:colOff>
      <xdr:row>0</xdr:row>
      <xdr:rowOff>28575</xdr:rowOff>
    </xdr:from>
    <xdr:to>
      <xdr:col>31</xdr:col>
      <xdr:colOff>346075</xdr:colOff>
      <xdr:row>14</xdr:row>
      <xdr:rowOff>149225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3</xdr:col>
          <xdr:colOff>584200</xdr:colOff>
          <xdr:row>2</xdr:row>
          <xdr:rowOff>158750</xdr:rowOff>
        </xdr:to>
        <xdr:sp macro="" textlink="">
          <xdr:nvSpPr>
            <xdr:cNvPr id="12459" name="PAGEOPTIONS" hidden="1">
              <a:extLst>
                <a:ext uri="{63B3BB69-23CF-44E3-9099-C40C66FF867C}">
                  <a14:compatExt spid="_x0000_s12459"/>
                </a:ext>
                <a:ext uri="{FF2B5EF4-FFF2-40B4-BE49-F238E27FC236}">
                  <a16:creationId xmlns:a16="http://schemas.microsoft.com/office/drawing/2014/main" id="{00000000-0008-0000-0A00-0000A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FYearlyStatDatabas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tings"/>
      <sheetName val="QB"/>
      <sheetName val="RB"/>
      <sheetName val="WR"/>
      <sheetName val="TE"/>
      <sheetName val="DST"/>
      <sheetName val="K"/>
    </sheetNames>
    <sheetDataSet>
      <sheetData sheetId="0" refreshError="1"/>
      <sheetData sheetId="1">
        <row r="4">
          <cell r="AL4">
            <v>-1.2604446915054896E-4</v>
          </cell>
          <cell r="AM4">
            <v>1.0604882604189457E-2</v>
          </cell>
          <cell r="AN4">
            <v>-0.3412549793088554</v>
          </cell>
          <cell r="AO4">
            <v>5.1743920753062396</v>
          </cell>
          <cell r="AP4">
            <v>-40.541682503213444</v>
          </cell>
          <cell r="AQ4">
            <v>422.99796035913607</v>
          </cell>
        </row>
      </sheetData>
      <sheetData sheetId="2">
        <row r="4">
          <cell r="AL4">
            <v>-7.4217206307405773E-7</v>
          </cell>
          <cell r="AM4">
            <v>1.8931583028500358E-4</v>
          </cell>
          <cell r="AN4">
            <v>-1.8462065732259482E-2</v>
          </cell>
          <cell r="AO4">
            <v>0.8621580616935669</v>
          </cell>
          <cell r="AP4">
            <v>-21.86587772500884</v>
          </cell>
          <cell r="AQ4">
            <v>411.55941154601396</v>
          </cell>
        </row>
      </sheetData>
      <sheetData sheetId="3">
        <row r="4">
          <cell r="AL4">
            <v>-2.6148712110397047E-7</v>
          </cell>
          <cell r="AM4">
            <v>7.1967927447665254E-5</v>
          </cell>
          <cell r="AN4">
            <v>-7.5231402508819743E-3</v>
          </cell>
          <cell r="AO4">
            <v>0.37407850015164112</v>
          </cell>
          <cell r="AP4">
            <v>-10.94205350498666</v>
          </cell>
          <cell r="AQ4">
            <v>345.65414783774162</v>
          </cell>
        </row>
      </sheetData>
      <sheetData sheetId="4">
        <row r="4">
          <cell r="AL4">
            <v>-3.5820205543385349E-6</v>
          </cell>
          <cell r="AM4">
            <v>3.7026441633272061E-4</v>
          </cell>
          <cell r="AN4">
            <v>-2.1364389591210516E-2</v>
          </cell>
          <cell r="AO4">
            <v>0.76050745818062282</v>
          </cell>
          <cell r="AP4">
            <v>-17.510700753941904</v>
          </cell>
          <cell r="AQ4">
            <v>283.29769807646807</v>
          </cell>
        </row>
      </sheetData>
      <sheetData sheetId="5">
        <row r="4">
          <cell r="R4">
            <v>-3.2734097753992708E-5</v>
          </cell>
          <cell r="S4">
            <v>2.7085562002739324E-3</v>
          </cell>
          <cell r="T4">
            <v>-8.6249734799912881E-2</v>
          </cell>
          <cell r="U4">
            <v>1.3732020242026304</v>
          </cell>
          <cell r="V4">
            <v>-13.527492360006702</v>
          </cell>
          <cell r="W4">
            <v>170.87372708310292</v>
          </cell>
        </row>
      </sheetData>
      <sheetData sheetId="6">
        <row r="4">
          <cell r="AG4">
            <v>-6.5129139807616418E-5</v>
          </cell>
          <cell r="AH4">
            <v>5.5394747625485182E-3</v>
          </cell>
          <cell r="AI4">
            <v>-0.17765672772417826</v>
          </cell>
          <cell r="AJ4">
            <v>2.6383397036457525</v>
          </cell>
          <cell r="AK4">
            <v>-20.08520645538162</v>
          </cell>
          <cell r="AL4">
            <v>199.86583380965752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58F7140-D586-4EFA-BE23-B073D01A8B01}" name="Table2" displayName="Table2" ref="A1:O1048576" totalsRowShown="0" headerRowDxfId="58" tableBorderDxfId="57">
  <autoFilter ref="A1:O1048576" xr:uid="{A70F0E38-B129-4B74-B127-31C8D0BE2E2D}"/>
  <sortState xmlns:xlrd2="http://schemas.microsoft.com/office/spreadsheetml/2017/richdata2" ref="A2:O486">
    <sortCondition ref="N1:N1048576"/>
  </sortState>
  <tableColumns count="15">
    <tableColumn id="1" xr3:uid="{FE93C68D-11E8-44B0-9F14-9681DB5E768F}" name="Rank"/>
    <tableColumn id="2" xr3:uid="{66400894-152D-474B-B947-D3E0126BE891}" name="Tier"/>
    <tableColumn id="3" xr3:uid="{93C9E85C-6436-4126-BBCC-CCD1A794E38B}" name="WSID"/>
    <tableColumn id="4" xr3:uid="{110F73C0-2A32-429C-BBF4-742AE01E32D6}" name="Overall"/>
    <tableColumn id="5" xr3:uid="{5CBA65F8-21ED-42A6-B4F4-E11EF96D5884}" name="Team"/>
    <tableColumn id="6" xr3:uid="{7C69FAC0-9FB1-440E-A892-1B94C42B946F}" name="Pos"/>
    <tableColumn id="7" xr3:uid="{DCE8B8B3-9E8A-49D4-94C6-28707F7BAA28}" name="Bye"/>
    <tableColumn id="8" xr3:uid="{6F32BC82-46C9-406F-A7D7-346075B36420}" name="Best"/>
    <tableColumn id="9" xr3:uid="{A0710D3A-BEC8-4737-AA7E-DCB1335FF746}" name="Worst"/>
    <tableColumn id="10" xr3:uid="{FC0B0591-FB1C-4DF9-9678-308AA87F71D2}" name="Avg"/>
    <tableColumn id="11" xr3:uid="{0618ADCC-C5F2-4928-9CD1-EAEBA50363B6}" name="Std Dev"/>
    <tableColumn id="12" xr3:uid="{6965C953-56EF-4061-B827-5DC3C3A100FC}" name="ADP"/>
    <tableColumn id="13" xr3:uid="{716B14D8-9B8C-4D14-AE26-53AA17F8AA71}" name="vs. ADP"/>
    <tableColumn id="14" xr3:uid="{C0603C5B-B603-4B84-A369-8A7E699327D9}" name="ESPN Rank"/>
    <tableColumn id="16" xr3:uid="{99DEC8F8-7948-4925-A074-518875B956D0}" name="Column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4.emf"/><Relationship Id="rId4" Type="http://schemas.openxmlformats.org/officeDocument/2006/relationships/oleObject" Target="../embeddings/oleObject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B1226D-C241-4230-931E-0624167C67E3}">
  <sheetPr codeName="Sheet10"/>
  <dimension ref="A1:X1203"/>
  <sheetViews>
    <sheetView topLeftCell="A411" workbookViewId="0">
      <selection activeCell="C421" sqref="C421"/>
    </sheetView>
  </sheetViews>
  <sheetFormatPr defaultRowHeight="14.5" x14ac:dyDescent="0.35"/>
  <sheetData>
    <row r="1" spans="1:24" ht="15" thickBot="1" x14ac:dyDescent="0.4">
      <c r="A1" s="172" t="s">
        <v>1017</v>
      </c>
      <c r="B1" s="172" t="s">
        <v>1018</v>
      </c>
      <c r="C1" s="149" t="s">
        <v>1132</v>
      </c>
      <c r="D1" s="160" t="s">
        <v>1535</v>
      </c>
      <c r="E1" s="160" t="s">
        <v>1536</v>
      </c>
      <c r="F1" s="160" t="s">
        <v>1537</v>
      </c>
      <c r="G1" s="160" t="s">
        <v>1535</v>
      </c>
      <c r="H1" s="160" t="s">
        <v>1536</v>
      </c>
      <c r="I1" s="160" t="s">
        <v>1538</v>
      </c>
      <c r="J1" s="160" t="s">
        <v>1535</v>
      </c>
      <c r="K1" s="160" t="s">
        <v>1536</v>
      </c>
      <c r="L1" s="160" t="s">
        <v>1537</v>
      </c>
      <c r="M1" s="160" t="s">
        <v>1539</v>
      </c>
      <c r="N1" s="160" t="s">
        <v>1540</v>
      </c>
      <c r="O1" s="160" t="s">
        <v>1541</v>
      </c>
      <c r="P1" s="162" t="s">
        <v>1542</v>
      </c>
      <c r="R1" s="152"/>
      <c r="S1" s="165" t="s">
        <v>1491</v>
      </c>
      <c r="T1" s="165"/>
      <c r="U1" s="165"/>
      <c r="V1" s="165"/>
      <c r="W1" s="137" t="s">
        <v>1492</v>
      </c>
    </row>
    <row r="2" spans="1:24" ht="65.5" thickBot="1" x14ac:dyDescent="0.4">
      <c r="A2" s="173"/>
      <c r="B2" s="173"/>
      <c r="C2" s="124" t="s">
        <v>1133</v>
      </c>
      <c r="D2" s="161"/>
      <c r="E2" s="161"/>
      <c r="F2" s="161"/>
      <c r="G2" s="161"/>
      <c r="H2" s="161"/>
      <c r="I2" s="161"/>
      <c r="J2" s="161"/>
      <c r="K2" s="161"/>
      <c r="L2" s="161"/>
      <c r="M2" s="161"/>
      <c r="N2" s="161"/>
      <c r="O2" s="161"/>
      <c r="P2" s="163"/>
      <c r="R2" s="135"/>
      <c r="S2" s="135"/>
      <c r="T2" s="135"/>
      <c r="U2" s="135"/>
      <c r="V2" s="135"/>
      <c r="W2" s="136"/>
    </row>
    <row r="3" spans="1:24" ht="15" thickBot="1" x14ac:dyDescent="0.4">
      <c r="A3" s="174"/>
      <c r="B3" s="175">
        <v>1</v>
      </c>
      <c r="C3" s="147"/>
      <c r="D3" s="175"/>
      <c r="E3" s="164">
        <v>0</v>
      </c>
      <c r="F3" s="164">
        <v>0</v>
      </c>
      <c r="G3" s="164">
        <v>0</v>
      </c>
      <c r="H3" s="164">
        <v>1060</v>
      </c>
      <c r="I3" s="164">
        <v>8</v>
      </c>
      <c r="J3" s="164">
        <v>90</v>
      </c>
      <c r="K3" s="164">
        <v>742</v>
      </c>
      <c r="L3" s="164">
        <v>3</v>
      </c>
      <c r="M3" s="164">
        <v>0</v>
      </c>
      <c r="N3" s="164">
        <v>0</v>
      </c>
      <c r="O3" s="164">
        <v>0</v>
      </c>
      <c r="P3" s="164">
        <v>0</v>
      </c>
      <c r="Q3" s="157">
        <v>289.5</v>
      </c>
      <c r="S3" s="101"/>
      <c r="T3" s="102"/>
      <c r="U3" s="103"/>
      <c r="V3" s="103"/>
      <c r="W3" s="103"/>
    </row>
    <row r="4" spans="1:24" ht="15" thickBot="1" x14ac:dyDescent="0.4">
      <c r="A4" s="167"/>
      <c r="B4" s="170"/>
      <c r="C4" s="151" t="s">
        <v>52</v>
      </c>
      <c r="D4" s="170"/>
      <c r="E4" s="155"/>
      <c r="F4" s="155"/>
      <c r="G4" s="155"/>
      <c r="H4" s="155"/>
      <c r="I4" s="155"/>
      <c r="J4" s="155"/>
      <c r="K4" s="155"/>
      <c r="L4" s="155"/>
      <c r="M4" s="155"/>
      <c r="N4" s="155"/>
      <c r="O4" s="155"/>
      <c r="P4" s="155"/>
      <c r="Q4" s="157"/>
      <c r="S4" s="101"/>
      <c r="T4" s="101"/>
      <c r="U4" s="102"/>
      <c r="V4" s="103"/>
      <c r="W4" s="103"/>
      <c r="X4" s="103"/>
    </row>
    <row r="5" spans="1:24" ht="15" thickBot="1" x14ac:dyDescent="0.4">
      <c r="A5" s="168"/>
      <c r="B5" s="171"/>
      <c r="C5" s="148" t="s">
        <v>1020</v>
      </c>
      <c r="D5" s="171"/>
      <c r="E5" s="158"/>
      <c r="F5" s="158"/>
      <c r="G5" s="158"/>
      <c r="H5" s="158"/>
      <c r="I5" s="158"/>
      <c r="J5" s="158"/>
      <c r="K5" s="158"/>
      <c r="L5" s="158"/>
      <c r="M5" s="158"/>
      <c r="N5" s="158"/>
      <c r="O5" s="158"/>
      <c r="P5" s="158"/>
      <c r="Q5" s="159"/>
      <c r="S5" s="101"/>
      <c r="T5" s="101"/>
      <c r="U5" s="102"/>
      <c r="V5" s="103"/>
      <c r="W5" s="103"/>
      <c r="X5" s="103"/>
    </row>
    <row r="6" spans="1:24" ht="15" thickBot="1" x14ac:dyDescent="0.4">
      <c r="A6" s="166"/>
      <c r="B6" s="169">
        <v>2</v>
      </c>
      <c r="C6" s="147"/>
      <c r="D6" s="169"/>
      <c r="E6" s="154">
        <v>0</v>
      </c>
      <c r="F6" s="154">
        <v>0</v>
      </c>
      <c r="G6" s="154">
        <v>0</v>
      </c>
      <c r="H6" s="154">
        <v>1182</v>
      </c>
      <c r="I6" s="154">
        <v>9</v>
      </c>
      <c r="J6" s="154">
        <v>58</v>
      </c>
      <c r="K6" s="154">
        <v>461</v>
      </c>
      <c r="L6" s="154">
        <v>2</v>
      </c>
      <c r="M6" s="154">
        <v>0</v>
      </c>
      <c r="N6" s="154">
        <v>0</v>
      </c>
      <c r="O6" s="154">
        <v>0</v>
      </c>
      <c r="P6" s="154">
        <v>0</v>
      </c>
      <c r="Q6" s="156">
        <v>259.89999999999998</v>
      </c>
      <c r="S6" s="101"/>
      <c r="T6" s="101"/>
      <c r="U6" s="102"/>
      <c r="V6" s="103"/>
      <c r="W6" s="103"/>
      <c r="X6" s="103"/>
    </row>
    <row r="7" spans="1:24" ht="15" thickBot="1" x14ac:dyDescent="0.4">
      <c r="A7" s="167"/>
      <c r="B7" s="170"/>
      <c r="C7" s="151" t="s">
        <v>46</v>
      </c>
      <c r="D7" s="170"/>
      <c r="E7" s="155"/>
      <c r="F7" s="155"/>
      <c r="G7" s="155"/>
      <c r="H7" s="155"/>
      <c r="I7" s="155"/>
      <c r="J7" s="155"/>
      <c r="K7" s="155"/>
      <c r="L7" s="155"/>
      <c r="M7" s="155"/>
      <c r="N7" s="155"/>
      <c r="O7" s="155"/>
      <c r="P7" s="155"/>
      <c r="Q7" s="157"/>
      <c r="S7" s="101"/>
      <c r="T7" s="101"/>
      <c r="U7" s="102"/>
      <c r="V7" s="103"/>
      <c r="W7" s="103"/>
      <c r="X7" s="103"/>
    </row>
    <row r="8" spans="1:24" ht="15" thickBot="1" x14ac:dyDescent="0.4">
      <c r="A8" s="168"/>
      <c r="B8" s="171"/>
      <c r="C8" s="148" t="s">
        <v>1019</v>
      </c>
      <c r="D8" s="171"/>
      <c r="E8" s="158"/>
      <c r="F8" s="158"/>
      <c r="G8" s="158"/>
      <c r="H8" s="158"/>
      <c r="I8" s="158"/>
      <c r="J8" s="158"/>
      <c r="K8" s="158"/>
      <c r="L8" s="158"/>
      <c r="M8" s="158"/>
      <c r="N8" s="158"/>
      <c r="O8" s="158"/>
      <c r="P8" s="158"/>
      <c r="Q8" s="159"/>
      <c r="S8" s="101"/>
      <c r="T8" s="101"/>
      <c r="U8" s="102"/>
      <c r="V8" s="103"/>
      <c r="W8" s="103"/>
      <c r="X8" s="103"/>
    </row>
    <row r="9" spans="1:24" ht="15" thickBot="1" x14ac:dyDescent="0.4">
      <c r="A9" s="166"/>
      <c r="B9" s="169">
        <v>3</v>
      </c>
      <c r="C9" s="147"/>
      <c r="D9" s="169"/>
      <c r="E9" s="154">
        <v>0</v>
      </c>
      <c r="F9" s="154">
        <v>0</v>
      </c>
      <c r="G9" s="154">
        <v>0</v>
      </c>
      <c r="H9" s="154">
        <v>1234</v>
      </c>
      <c r="I9" s="154">
        <v>10</v>
      </c>
      <c r="J9" s="154">
        <v>58</v>
      </c>
      <c r="K9" s="154">
        <v>462</v>
      </c>
      <c r="L9" s="154">
        <v>2</v>
      </c>
      <c r="M9" s="154">
        <v>0</v>
      </c>
      <c r="N9" s="154">
        <v>0</v>
      </c>
      <c r="O9" s="154">
        <v>0</v>
      </c>
      <c r="P9" s="154">
        <v>0</v>
      </c>
      <c r="Q9" s="156">
        <v>269.60000000000002</v>
      </c>
      <c r="S9" s="101"/>
      <c r="T9" s="101"/>
      <c r="U9" s="102"/>
      <c r="V9" s="103"/>
      <c r="W9" s="103"/>
      <c r="X9" s="103"/>
    </row>
    <row r="10" spans="1:24" ht="15" thickBot="1" x14ac:dyDescent="0.4">
      <c r="A10" s="167"/>
      <c r="B10" s="170"/>
      <c r="C10" s="151" t="s">
        <v>49</v>
      </c>
      <c r="D10" s="170"/>
      <c r="E10" s="155"/>
      <c r="F10" s="155"/>
      <c r="G10" s="155"/>
      <c r="H10" s="155"/>
      <c r="I10" s="155"/>
      <c r="J10" s="155"/>
      <c r="K10" s="155"/>
      <c r="L10" s="155"/>
      <c r="M10" s="155"/>
      <c r="N10" s="155"/>
      <c r="O10" s="155"/>
      <c r="P10" s="155"/>
      <c r="Q10" s="157"/>
      <c r="S10" s="101"/>
      <c r="T10" s="101"/>
      <c r="U10" s="102"/>
      <c r="V10" s="103"/>
      <c r="W10" s="103"/>
      <c r="X10" s="103"/>
    </row>
    <row r="11" spans="1:24" ht="15" thickBot="1" x14ac:dyDescent="0.4">
      <c r="A11" s="168"/>
      <c r="B11" s="171"/>
      <c r="C11" s="148" t="s">
        <v>1022</v>
      </c>
      <c r="D11" s="171"/>
      <c r="E11" s="158"/>
      <c r="F11" s="158"/>
      <c r="G11" s="158"/>
      <c r="H11" s="158"/>
      <c r="I11" s="158"/>
      <c r="J11" s="158"/>
      <c r="K11" s="158"/>
      <c r="L11" s="158"/>
      <c r="M11" s="158"/>
      <c r="N11" s="158"/>
      <c r="O11" s="158"/>
      <c r="P11" s="158"/>
      <c r="Q11" s="159"/>
      <c r="S11" s="101"/>
      <c r="T11" s="101"/>
      <c r="U11" s="102"/>
      <c r="V11" s="103"/>
      <c r="W11" s="103"/>
      <c r="X11" s="103"/>
    </row>
    <row r="12" spans="1:24" ht="15" thickBot="1" x14ac:dyDescent="0.4">
      <c r="A12" s="166"/>
      <c r="B12" s="169">
        <v>4</v>
      </c>
      <c r="C12" s="147"/>
      <c r="D12" s="169"/>
      <c r="E12" s="154">
        <v>0</v>
      </c>
      <c r="F12" s="154">
        <v>0</v>
      </c>
      <c r="G12" s="154">
        <v>0</v>
      </c>
      <c r="H12" s="154">
        <v>1062</v>
      </c>
      <c r="I12" s="154">
        <v>10</v>
      </c>
      <c r="J12" s="154">
        <v>65</v>
      </c>
      <c r="K12" s="154">
        <v>539</v>
      </c>
      <c r="L12" s="154">
        <v>1</v>
      </c>
      <c r="M12" s="154">
        <v>0</v>
      </c>
      <c r="N12" s="154">
        <v>0</v>
      </c>
      <c r="O12" s="154">
        <v>0</v>
      </c>
      <c r="P12" s="154">
        <v>0</v>
      </c>
      <c r="Q12" s="156">
        <v>257.60000000000002</v>
      </c>
      <c r="S12" s="101"/>
      <c r="T12" s="101"/>
      <c r="U12" s="102"/>
      <c r="V12" s="103"/>
      <c r="W12" s="103"/>
      <c r="X12" s="103"/>
    </row>
    <row r="13" spans="1:24" ht="15" thickBot="1" x14ac:dyDescent="0.4">
      <c r="A13" s="167"/>
      <c r="B13" s="170"/>
      <c r="C13" s="151" t="s">
        <v>101</v>
      </c>
      <c r="D13" s="170"/>
      <c r="E13" s="155"/>
      <c r="F13" s="155"/>
      <c r="G13" s="155"/>
      <c r="H13" s="155"/>
      <c r="I13" s="155"/>
      <c r="J13" s="155"/>
      <c r="K13" s="155"/>
      <c r="L13" s="155"/>
      <c r="M13" s="155"/>
      <c r="N13" s="155"/>
      <c r="O13" s="155"/>
      <c r="P13" s="155"/>
      <c r="Q13" s="157"/>
      <c r="S13" s="101"/>
      <c r="T13" s="101"/>
      <c r="U13" s="102"/>
      <c r="V13" s="103"/>
      <c r="W13" s="103"/>
      <c r="X13" s="103"/>
    </row>
    <row r="14" spans="1:24" ht="15" thickBot="1" x14ac:dyDescent="0.4">
      <c r="A14" s="168"/>
      <c r="B14" s="171"/>
      <c r="C14" s="148" t="s">
        <v>1036</v>
      </c>
      <c r="D14" s="171"/>
      <c r="E14" s="158"/>
      <c r="F14" s="158"/>
      <c r="G14" s="158"/>
      <c r="H14" s="158"/>
      <c r="I14" s="158"/>
      <c r="J14" s="158"/>
      <c r="K14" s="158"/>
      <c r="L14" s="158"/>
      <c r="M14" s="158"/>
      <c r="N14" s="158"/>
      <c r="O14" s="158"/>
      <c r="P14" s="158"/>
      <c r="Q14" s="159"/>
      <c r="S14" s="101"/>
      <c r="T14" s="101"/>
      <c r="U14" s="102"/>
      <c r="V14" s="103"/>
      <c r="W14" s="103"/>
      <c r="X14" s="103"/>
    </row>
    <row r="15" spans="1:24" ht="15" thickBot="1" x14ac:dyDescent="0.4">
      <c r="A15" s="166"/>
      <c r="B15" s="169">
        <v>5</v>
      </c>
      <c r="C15" s="147"/>
      <c r="D15" s="169"/>
      <c r="E15" s="154">
        <v>0</v>
      </c>
      <c r="F15" s="154">
        <v>0</v>
      </c>
      <c r="G15" s="154">
        <v>0</v>
      </c>
      <c r="H15" s="154">
        <v>878</v>
      </c>
      <c r="I15" s="154">
        <v>8</v>
      </c>
      <c r="J15" s="154">
        <v>79</v>
      </c>
      <c r="K15" s="154">
        <v>605</v>
      </c>
      <c r="L15" s="154">
        <v>3</v>
      </c>
      <c r="M15" s="154">
        <v>0</v>
      </c>
      <c r="N15" s="154">
        <v>0</v>
      </c>
      <c r="O15" s="154">
        <v>0</v>
      </c>
      <c r="P15" s="154">
        <v>0</v>
      </c>
      <c r="Q15" s="156">
        <v>252.6</v>
      </c>
      <c r="S15" s="101"/>
      <c r="T15" s="101"/>
      <c r="U15" s="102"/>
      <c r="V15" s="103"/>
      <c r="W15" s="103"/>
      <c r="X15" s="103"/>
    </row>
    <row r="16" spans="1:24" ht="15" thickBot="1" x14ac:dyDescent="0.4">
      <c r="A16" s="167"/>
      <c r="B16" s="170"/>
      <c r="C16" s="151" t="s">
        <v>55</v>
      </c>
      <c r="D16" s="170"/>
      <c r="E16" s="155"/>
      <c r="F16" s="155"/>
      <c r="G16" s="155"/>
      <c r="H16" s="155"/>
      <c r="I16" s="155"/>
      <c r="J16" s="155"/>
      <c r="K16" s="155"/>
      <c r="L16" s="155"/>
      <c r="M16" s="155"/>
      <c r="N16" s="155"/>
      <c r="O16" s="155"/>
      <c r="P16" s="155"/>
      <c r="Q16" s="157"/>
      <c r="S16" s="101"/>
      <c r="T16" s="101"/>
      <c r="U16" s="102"/>
      <c r="V16" s="103"/>
      <c r="W16" s="103"/>
      <c r="X16" s="103"/>
    </row>
    <row r="17" spans="1:24" ht="15" thickBot="1" x14ac:dyDescent="0.4">
      <c r="A17" s="168"/>
      <c r="B17" s="171"/>
      <c r="C17" s="148" t="s">
        <v>1021</v>
      </c>
      <c r="D17" s="171"/>
      <c r="E17" s="158"/>
      <c r="F17" s="158"/>
      <c r="G17" s="158"/>
      <c r="H17" s="158"/>
      <c r="I17" s="158"/>
      <c r="J17" s="158"/>
      <c r="K17" s="158"/>
      <c r="L17" s="158"/>
      <c r="M17" s="158"/>
      <c r="N17" s="158"/>
      <c r="O17" s="158"/>
      <c r="P17" s="158"/>
      <c r="Q17" s="159"/>
      <c r="S17" s="101"/>
      <c r="T17" s="101"/>
      <c r="U17" s="102"/>
      <c r="V17" s="103"/>
      <c r="W17" s="103"/>
      <c r="X17" s="103"/>
    </row>
    <row r="18" spans="1:24" ht="15" thickBot="1" x14ac:dyDescent="0.4">
      <c r="A18" s="166"/>
      <c r="B18" s="169">
        <v>6</v>
      </c>
      <c r="C18" s="147"/>
      <c r="D18" s="169"/>
      <c r="E18" s="154">
        <v>0</v>
      </c>
      <c r="F18" s="154">
        <v>0</v>
      </c>
      <c r="G18" s="154">
        <v>0</v>
      </c>
      <c r="H18" s="154">
        <v>0</v>
      </c>
      <c r="I18" s="154">
        <v>0</v>
      </c>
      <c r="J18" s="154">
        <v>115</v>
      </c>
      <c r="K18" s="154">
        <v>1359</v>
      </c>
      <c r="L18" s="154">
        <v>9</v>
      </c>
      <c r="M18" s="154">
        <v>0</v>
      </c>
      <c r="N18" s="154">
        <v>0</v>
      </c>
      <c r="O18" s="154">
        <v>0</v>
      </c>
      <c r="P18" s="154">
        <v>0</v>
      </c>
      <c r="Q18" s="156">
        <v>246</v>
      </c>
      <c r="S18" s="101"/>
      <c r="T18" s="101"/>
      <c r="U18" s="102"/>
      <c r="V18" s="103"/>
      <c r="W18" s="103"/>
      <c r="X18" s="103"/>
    </row>
    <row r="19" spans="1:24" ht="15" thickBot="1" x14ac:dyDescent="0.4">
      <c r="A19" s="167"/>
      <c r="B19" s="170"/>
      <c r="C19" s="151" t="s">
        <v>90</v>
      </c>
      <c r="D19" s="170"/>
      <c r="E19" s="155"/>
      <c r="F19" s="155"/>
      <c r="G19" s="155"/>
      <c r="H19" s="155"/>
      <c r="I19" s="155"/>
      <c r="J19" s="155"/>
      <c r="K19" s="155"/>
      <c r="L19" s="155"/>
      <c r="M19" s="155"/>
      <c r="N19" s="155"/>
      <c r="O19" s="155"/>
      <c r="P19" s="155"/>
      <c r="Q19" s="157"/>
      <c r="S19" s="101"/>
      <c r="T19" s="101"/>
      <c r="U19" s="102"/>
      <c r="V19" s="103"/>
      <c r="W19" s="103"/>
      <c r="X19" s="103"/>
    </row>
    <row r="20" spans="1:24" ht="15" thickBot="1" x14ac:dyDescent="0.4">
      <c r="A20" s="168"/>
      <c r="B20" s="171"/>
      <c r="C20" s="148" t="s">
        <v>1026</v>
      </c>
      <c r="D20" s="171"/>
      <c r="E20" s="158"/>
      <c r="F20" s="158"/>
      <c r="G20" s="158"/>
      <c r="H20" s="158"/>
      <c r="I20" s="158"/>
      <c r="J20" s="158"/>
      <c r="K20" s="158"/>
      <c r="L20" s="158"/>
      <c r="M20" s="158"/>
      <c r="N20" s="158"/>
      <c r="O20" s="158"/>
      <c r="P20" s="158"/>
      <c r="Q20" s="159"/>
      <c r="S20" s="101"/>
      <c r="T20" s="101"/>
      <c r="U20" s="102"/>
      <c r="V20" s="103"/>
      <c r="W20" s="103"/>
      <c r="X20" s="103"/>
    </row>
    <row r="21" spans="1:24" ht="15" thickBot="1" x14ac:dyDescent="0.4">
      <c r="A21" s="166"/>
      <c r="B21" s="169">
        <v>7</v>
      </c>
      <c r="C21" s="147"/>
      <c r="D21" s="169"/>
      <c r="E21" s="154">
        <v>0</v>
      </c>
      <c r="F21" s="154">
        <v>0</v>
      </c>
      <c r="G21" s="154">
        <v>0</v>
      </c>
      <c r="H21" s="154">
        <v>1354</v>
      </c>
      <c r="I21" s="154">
        <v>11</v>
      </c>
      <c r="J21" s="154">
        <v>25</v>
      </c>
      <c r="K21" s="154">
        <v>208</v>
      </c>
      <c r="L21" s="154">
        <v>1</v>
      </c>
      <c r="M21" s="154">
        <v>0</v>
      </c>
      <c r="N21" s="154">
        <v>0</v>
      </c>
      <c r="O21" s="154">
        <v>0</v>
      </c>
      <c r="P21" s="154">
        <v>0</v>
      </c>
      <c r="Q21" s="156">
        <v>241.4</v>
      </c>
      <c r="S21" s="101"/>
      <c r="T21" s="101"/>
      <c r="U21" s="102"/>
      <c r="V21" s="103"/>
      <c r="W21" s="103"/>
      <c r="X21" s="103"/>
    </row>
    <row r="22" spans="1:24" ht="15" thickBot="1" x14ac:dyDescent="0.4">
      <c r="A22" s="167"/>
      <c r="B22" s="170"/>
      <c r="C22" s="151" t="s">
        <v>121</v>
      </c>
      <c r="D22" s="170"/>
      <c r="E22" s="155"/>
      <c r="F22" s="155"/>
      <c r="G22" s="155"/>
      <c r="H22" s="155"/>
      <c r="I22" s="155"/>
      <c r="J22" s="155"/>
      <c r="K22" s="155"/>
      <c r="L22" s="155"/>
      <c r="M22" s="155"/>
      <c r="N22" s="155"/>
      <c r="O22" s="155"/>
      <c r="P22" s="155"/>
      <c r="Q22" s="157"/>
      <c r="S22" s="101"/>
      <c r="T22" s="101"/>
      <c r="U22" s="102"/>
      <c r="V22" s="103"/>
      <c r="W22" s="103"/>
      <c r="X22" s="103"/>
    </row>
    <row r="23" spans="1:24" ht="15" thickBot="1" x14ac:dyDescent="0.4">
      <c r="A23" s="168"/>
      <c r="B23" s="171"/>
      <c r="C23" s="148" t="s">
        <v>1048</v>
      </c>
      <c r="D23" s="171"/>
      <c r="E23" s="158"/>
      <c r="F23" s="158"/>
      <c r="G23" s="158"/>
      <c r="H23" s="158"/>
      <c r="I23" s="158"/>
      <c r="J23" s="158"/>
      <c r="K23" s="158"/>
      <c r="L23" s="158"/>
      <c r="M23" s="158"/>
      <c r="N23" s="158"/>
      <c r="O23" s="158"/>
      <c r="P23" s="158"/>
      <c r="Q23" s="159"/>
      <c r="S23" s="101"/>
      <c r="T23" s="101"/>
      <c r="U23" s="102"/>
      <c r="V23" s="103"/>
      <c r="W23" s="103"/>
      <c r="X23" s="103"/>
    </row>
    <row r="24" spans="1:24" ht="15" thickBot="1" x14ac:dyDescent="0.4">
      <c r="A24" s="166"/>
      <c r="B24" s="169">
        <v>8</v>
      </c>
      <c r="C24" s="147"/>
      <c r="D24" s="169"/>
      <c r="E24" s="154">
        <v>0</v>
      </c>
      <c r="F24" s="154">
        <v>0</v>
      </c>
      <c r="G24" s="154">
        <v>0</v>
      </c>
      <c r="H24" s="154">
        <v>897</v>
      </c>
      <c r="I24" s="154">
        <v>8</v>
      </c>
      <c r="J24" s="154">
        <v>52</v>
      </c>
      <c r="K24" s="154">
        <v>434</v>
      </c>
      <c r="L24" s="154">
        <v>4</v>
      </c>
      <c r="M24" s="154">
        <v>0</v>
      </c>
      <c r="N24" s="154">
        <v>0</v>
      </c>
      <c r="O24" s="154">
        <v>0</v>
      </c>
      <c r="P24" s="154">
        <v>0</v>
      </c>
      <c r="Q24" s="156">
        <v>227.2</v>
      </c>
      <c r="S24" s="101"/>
      <c r="T24" s="101"/>
      <c r="U24" s="102"/>
      <c r="V24" s="103"/>
      <c r="W24" s="103"/>
      <c r="X24" s="103"/>
    </row>
    <row r="25" spans="1:24" ht="15" thickBot="1" x14ac:dyDescent="0.4">
      <c r="A25" s="167"/>
      <c r="B25" s="170"/>
      <c r="C25" s="151" t="s">
        <v>1246</v>
      </c>
      <c r="D25" s="170"/>
      <c r="E25" s="155"/>
      <c r="F25" s="155"/>
      <c r="G25" s="155"/>
      <c r="H25" s="155"/>
      <c r="I25" s="155"/>
      <c r="J25" s="155"/>
      <c r="K25" s="155"/>
      <c r="L25" s="155"/>
      <c r="M25" s="155"/>
      <c r="N25" s="155"/>
      <c r="O25" s="155"/>
      <c r="P25" s="155"/>
      <c r="Q25" s="157"/>
      <c r="S25" s="101"/>
      <c r="T25" s="101"/>
      <c r="U25" s="102"/>
      <c r="V25" s="103"/>
      <c r="W25" s="103"/>
      <c r="X25" s="103"/>
    </row>
    <row r="26" spans="1:24" ht="15" thickBot="1" x14ac:dyDescent="0.4">
      <c r="A26" s="168"/>
      <c r="B26" s="171"/>
      <c r="C26" s="148" t="s">
        <v>1057</v>
      </c>
      <c r="D26" s="171"/>
      <c r="E26" s="158"/>
      <c r="F26" s="158"/>
      <c r="G26" s="158"/>
      <c r="H26" s="158"/>
      <c r="I26" s="158"/>
      <c r="J26" s="158"/>
      <c r="K26" s="158"/>
      <c r="L26" s="158"/>
      <c r="M26" s="158"/>
      <c r="N26" s="158"/>
      <c r="O26" s="158"/>
      <c r="P26" s="158"/>
      <c r="Q26" s="159"/>
      <c r="S26" s="101"/>
      <c r="T26" s="101"/>
      <c r="U26" s="102"/>
      <c r="V26" s="103"/>
      <c r="W26" s="103"/>
      <c r="X26" s="103"/>
    </row>
    <row r="27" spans="1:24" ht="15" thickBot="1" x14ac:dyDescent="0.4">
      <c r="A27" s="166"/>
      <c r="B27" s="169">
        <v>9</v>
      </c>
      <c r="C27" s="147"/>
      <c r="D27" s="169"/>
      <c r="E27" s="154">
        <v>0</v>
      </c>
      <c r="F27" s="154">
        <v>0</v>
      </c>
      <c r="G27" s="154">
        <v>0</v>
      </c>
      <c r="H27" s="154">
        <v>1083</v>
      </c>
      <c r="I27" s="154">
        <v>8</v>
      </c>
      <c r="J27" s="154">
        <v>43</v>
      </c>
      <c r="K27" s="154">
        <v>360</v>
      </c>
      <c r="L27" s="154">
        <v>2</v>
      </c>
      <c r="M27" s="154">
        <v>0</v>
      </c>
      <c r="N27" s="154">
        <v>0</v>
      </c>
      <c r="O27" s="154">
        <v>0</v>
      </c>
      <c r="P27" s="154">
        <v>0</v>
      </c>
      <c r="Q27" s="156">
        <v>222.6</v>
      </c>
      <c r="S27" s="101"/>
      <c r="T27" s="101"/>
      <c r="U27" s="102"/>
      <c r="V27" s="103"/>
      <c r="W27" s="103"/>
      <c r="X27" s="103"/>
    </row>
    <row r="28" spans="1:24" ht="15" thickBot="1" x14ac:dyDescent="0.4">
      <c r="A28" s="167"/>
      <c r="B28" s="170"/>
      <c r="C28" s="151" t="s">
        <v>341</v>
      </c>
      <c r="D28" s="170"/>
      <c r="E28" s="155"/>
      <c r="F28" s="155"/>
      <c r="G28" s="155"/>
      <c r="H28" s="155"/>
      <c r="I28" s="155"/>
      <c r="J28" s="155"/>
      <c r="K28" s="155"/>
      <c r="L28" s="155"/>
      <c r="M28" s="155"/>
      <c r="N28" s="155"/>
      <c r="O28" s="155"/>
      <c r="P28" s="155"/>
      <c r="Q28" s="157"/>
      <c r="S28" s="101"/>
      <c r="T28" s="101"/>
      <c r="U28" s="102"/>
      <c r="V28" s="103"/>
      <c r="W28" s="103"/>
      <c r="X28" s="103"/>
    </row>
    <row r="29" spans="1:24" ht="15" thickBot="1" x14ac:dyDescent="0.4">
      <c r="A29" s="168"/>
      <c r="B29" s="171"/>
      <c r="C29" s="148" t="s">
        <v>1085</v>
      </c>
      <c r="D29" s="171"/>
      <c r="E29" s="158"/>
      <c r="F29" s="158"/>
      <c r="G29" s="158"/>
      <c r="H29" s="158"/>
      <c r="I29" s="158"/>
      <c r="J29" s="158"/>
      <c r="K29" s="158"/>
      <c r="L29" s="158"/>
      <c r="M29" s="158"/>
      <c r="N29" s="158"/>
      <c r="O29" s="158"/>
      <c r="P29" s="158"/>
      <c r="Q29" s="159"/>
      <c r="S29" s="101"/>
      <c r="T29" s="101"/>
      <c r="U29" s="102"/>
      <c r="V29" s="103"/>
      <c r="W29" s="103"/>
      <c r="X29" s="103"/>
    </row>
    <row r="30" spans="1:24" ht="15" thickBot="1" x14ac:dyDescent="0.4">
      <c r="A30" s="166"/>
      <c r="B30" s="169">
        <v>10</v>
      </c>
      <c r="C30" s="147"/>
      <c r="D30" s="169"/>
      <c r="E30" s="154">
        <v>0</v>
      </c>
      <c r="F30" s="154">
        <v>0</v>
      </c>
      <c r="G30" s="154">
        <v>0</v>
      </c>
      <c r="H30" s="154">
        <v>1143</v>
      </c>
      <c r="I30" s="154">
        <v>9</v>
      </c>
      <c r="J30" s="154">
        <v>37</v>
      </c>
      <c r="K30" s="154">
        <v>287</v>
      </c>
      <c r="L30" s="154">
        <v>1</v>
      </c>
      <c r="M30" s="154">
        <v>0</v>
      </c>
      <c r="N30" s="154">
        <v>0</v>
      </c>
      <c r="O30" s="154">
        <v>0</v>
      </c>
      <c r="P30" s="154">
        <v>0</v>
      </c>
      <c r="Q30" s="156">
        <v>221</v>
      </c>
      <c r="S30" s="101"/>
      <c r="T30" s="101"/>
      <c r="U30" s="102"/>
      <c r="V30" s="103"/>
      <c r="W30" s="103"/>
      <c r="X30" s="103"/>
    </row>
    <row r="31" spans="1:24" ht="15" thickBot="1" x14ac:dyDescent="0.4">
      <c r="A31" s="167"/>
      <c r="B31" s="170"/>
      <c r="C31" s="151" t="s">
        <v>204</v>
      </c>
      <c r="D31" s="170"/>
      <c r="E31" s="155"/>
      <c r="F31" s="155"/>
      <c r="G31" s="155"/>
      <c r="H31" s="155"/>
      <c r="I31" s="155"/>
      <c r="J31" s="155"/>
      <c r="K31" s="155"/>
      <c r="L31" s="155"/>
      <c r="M31" s="155"/>
      <c r="N31" s="155"/>
      <c r="O31" s="155"/>
      <c r="P31" s="155"/>
      <c r="Q31" s="157"/>
      <c r="S31" s="101"/>
      <c r="T31" s="101"/>
      <c r="U31" s="102"/>
      <c r="V31" s="103"/>
      <c r="W31" s="103"/>
      <c r="X31" s="103"/>
    </row>
    <row r="32" spans="1:24" ht="15" thickBot="1" x14ac:dyDescent="0.4">
      <c r="A32" s="168"/>
      <c r="B32" s="171"/>
      <c r="C32" s="148" t="s">
        <v>1382</v>
      </c>
      <c r="D32" s="171"/>
      <c r="E32" s="158"/>
      <c r="F32" s="158"/>
      <c r="G32" s="158"/>
      <c r="H32" s="158"/>
      <c r="I32" s="158"/>
      <c r="J32" s="158"/>
      <c r="K32" s="158"/>
      <c r="L32" s="158"/>
      <c r="M32" s="158"/>
      <c r="N32" s="158"/>
      <c r="O32" s="158"/>
      <c r="P32" s="158"/>
      <c r="Q32" s="159"/>
      <c r="S32" s="101"/>
      <c r="T32" s="101"/>
      <c r="U32" s="102"/>
      <c r="V32" s="103"/>
      <c r="W32" s="103"/>
      <c r="X32" s="103"/>
    </row>
    <row r="33" spans="1:24" ht="15" thickBot="1" x14ac:dyDescent="0.4">
      <c r="A33" s="166"/>
      <c r="B33" s="169">
        <v>11</v>
      </c>
      <c r="C33" s="147"/>
      <c r="D33" s="169"/>
      <c r="E33" s="154">
        <v>0</v>
      </c>
      <c r="F33" s="154">
        <v>0</v>
      </c>
      <c r="G33" s="154">
        <v>0</v>
      </c>
      <c r="H33" s="154">
        <v>1305</v>
      </c>
      <c r="I33" s="154">
        <v>10</v>
      </c>
      <c r="J33" s="154">
        <v>26</v>
      </c>
      <c r="K33" s="154">
        <v>210</v>
      </c>
      <c r="L33" s="154">
        <v>1</v>
      </c>
      <c r="M33" s="154">
        <v>0</v>
      </c>
      <c r="N33" s="154">
        <v>0</v>
      </c>
      <c r="O33" s="154">
        <v>0</v>
      </c>
      <c r="P33" s="154">
        <v>0</v>
      </c>
      <c r="Q33" s="156">
        <v>228.6</v>
      </c>
      <c r="S33" s="101"/>
      <c r="T33" s="101"/>
      <c r="U33" s="102"/>
      <c r="V33" s="103"/>
      <c r="W33" s="103"/>
      <c r="X33" s="103"/>
    </row>
    <row r="34" spans="1:24" ht="15" thickBot="1" x14ac:dyDescent="0.4">
      <c r="A34" s="167"/>
      <c r="B34" s="170"/>
      <c r="C34" s="151" t="s">
        <v>92</v>
      </c>
      <c r="D34" s="170"/>
      <c r="E34" s="155"/>
      <c r="F34" s="155"/>
      <c r="G34" s="155"/>
      <c r="H34" s="155"/>
      <c r="I34" s="155"/>
      <c r="J34" s="155"/>
      <c r="K34" s="155"/>
      <c r="L34" s="155"/>
      <c r="M34" s="155"/>
      <c r="N34" s="155"/>
      <c r="O34" s="155"/>
      <c r="P34" s="155"/>
      <c r="Q34" s="157"/>
      <c r="S34" s="101"/>
      <c r="T34" s="101"/>
      <c r="U34" s="102"/>
      <c r="V34" s="103"/>
      <c r="W34" s="103"/>
      <c r="X34" s="103"/>
    </row>
    <row r="35" spans="1:24" ht="15" thickBot="1" x14ac:dyDescent="0.4">
      <c r="A35" s="168"/>
      <c r="B35" s="171"/>
      <c r="C35" s="148" t="s">
        <v>1039</v>
      </c>
      <c r="D35" s="171"/>
      <c r="E35" s="158"/>
      <c r="F35" s="158"/>
      <c r="G35" s="158"/>
      <c r="H35" s="158"/>
      <c r="I35" s="158"/>
      <c r="J35" s="158"/>
      <c r="K35" s="158"/>
      <c r="L35" s="158"/>
      <c r="M35" s="158"/>
      <c r="N35" s="158"/>
      <c r="O35" s="158"/>
      <c r="P35" s="158"/>
      <c r="Q35" s="159"/>
      <c r="S35" s="101"/>
      <c r="T35" s="101"/>
      <c r="U35" s="102"/>
      <c r="V35" s="103"/>
      <c r="W35" s="103"/>
      <c r="X35" s="103"/>
    </row>
    <row r="36" spans="1:24" ht="15" thickBot="1" x14ac:dyDescent="0.4">
      <c r="A36" s="166"/>
      <c r="B36" s="169">
        <v>12</v>
      </c>
      <c r="C36" s="147"/>
      <c r="D36" s="169"/>
      <c r="E36" s="154">
        <v>0</v>
      </c>
      <c r="F36" s="154">
        <v>0</v>
      </c>
      <c r="G36" s="154">
        <v>0</v>
      </c>
      <c r="H36" s="154">
        <v>1140</v>
      </c>
      <c r="I36" s="154">
        <v>7</v>
      </c>
      <c r="J36" s="154">
        <v>38</v>
      </c>
      <c r="K36" s="154">
        <v>295</v>
      </c>
      <c r="L36" s="154">
        <v>1</v>
      </c>
      <c r="M36" s="154">
        <v>0</v>
      </c>
      <c r="N36" s="154">
        <v>0</v>
      </c>
      <c r="O36" s="154">
        <v>0</v>
      </c>
      <c r="P36" s="154">
        <v>0</v>
      </c>
      <c r="Q36" s="156">
        <v>210</v>
      </c>
      <c r="S36" s="101"/>
      <c r="T36" s="101"/>
      <c r="U36" s="102"/>
      <c r="V36" s="103"/>
      <c r="W36" s="103"/>
      <c r="X36" s="103"/>
    </row>
    <row r="37" spans="1:24" ht="15" thickBot="1" x14ac:dyDescent="0.4">
      <c r="A37" s="167"/>
      <c r="B37" s="170"/>
      <c r="C37" s="151" t="s">
        <v>79</v>
      </c>
      <c r="D37" s="170"/>
      <c r="E37" s="155"/>
      <c r="F37" s="155"/>
      <c r="G37" s="155"/>
      <c r="H37" s="155"/>
      <c r="I37" s="155"/>
      <c r="J37" s="155"/>
      <c r="K37" s="155"/>
      <c r="L37" s="155"/>
      <c r="M37" s="155"/>
      <c r="N37" s="155"/>
      <c r="O37" s="155"/>
      <c r="P37" s="155"/>
      <c r="Q37" s="157"/>
      <c r="S37" s="101"/>
      <c r="T37" s="101"/>
      <c r="U37" s="102"/>
      <c r="V37" s="103"/>
      <c r="W37" s="103"/>
      <c r="X37" s="103"/>
    </row>
    <row r="38" spans="1:24" ht="15" thickBot="1" x14ac:dyDescent="0.4">
      <c r="A38" s="168"/>
      <c r="B38" s="171"/>
      <c r="C38" s="148" t="s">
        <v>1034</v>
      </c>
      <c r="D38" s="171"/>
      <c r="E38" s="158"/>
      <c r="F38" s="158"/>
      <c r="G38" s="158"/>
      <c r="H38" s="158"/>
      <c r="I38" s="158"/>
      <c r="J38" s="158"/>
      <c r="K38" s="158"/>
      <c r="L38" s="158"/>
      <c r="M38" s="158"/>
      <c r="N38" s="158"/>
      <c r="O38" s="158"/>
      <c r="P38" s="158"/>
      <c r="Q38" s="159"/>
      <c r="S38" s="101"/>
      <c r="T38" s="101"/>
      <c r="U38" s="102"/>
      <c r="V38" s="103"/>
      <c r="W38" s="103"/>
      <c r="X38" s="103"/>
    </row>
    <row r="39" spans="1:24" ht="15" thickBot="1" x14ac:dyDescent="0.4">
      <c r="A39" s="166"/>
      <c r="B39" s="169">
        <v>13</v>
      </c>
      <c r="C39" s="147"/>
      <c r="D39" s="169"/>
      <c r="E39" s="154">
        <v>0</v>
      </c>
      <c r="F39" s="154">
        <v>0</v>
      </c>
      <c r="G39" s="154">
        <v>0</v>
      </c>
      <c r="H39" s="154">
        <v>933</v>
      </c>
      <c r="I39" s="154">
        <v>8</v>
      </c>
      <c r="J39" s="154">
        <v>54</v>
      </c>
      <c r="K39" s="154">
        <v>404</v>
      </c>
      <c r="L39" s="154">
        <v>2</v>
      </c>
      <c r="M39" s="154">
        <v>0</v>
      </c>
      <c r="N39" s="154">
        <v>0</v>
      </c>
      <c r="O39" s="154">
        <v>0</v>
      </c>
      <c r="P39" s="154">
        <v>0</v>
      </c>
      <c r="Q39" s="156">
        <v>218.8</v>
      </c>
      <c r="S39" s="101"/>
      <c r="T39" s="101"/>
      <c r="U39" s="102"/>
      <c r="V39" s="103"/>
      <c r="W39" s="103"/>
      <c r="X39" s="103"/>
    </row>
    <row r="40" spans="1:24" ht="15" thickBot="1" x14ac:dyDescent="0.4">
      <c r="A40" s="167"/>
      <c r="B40" s="170"/>
      <c r="C40" s="151" t="s">
        <v>178</v>
      </c>
      <c r="D40" s="170"/>
      <c r="E40" s="155"/>
      <c r="F40" s="155"/>
      <c r="G40" s="155"/>
      <c r="H40" s="155"/>
      <c r="I40" s="155"/>
      <c r="J40" s="155"/>
      <c r="K40" s="155"/>
      <c r="L40" s="155"/>
      <c r="M40" s="155"/>
      <c r="N40" s="155"/>
      <c r="O40" s="155"/>
      <c r="P40" s="155"/>
      <c r="Q40" s="157"/>
      <c r="S40" s="101"/>
      <c r="T40" s="101"/>
      <c r="U40" s="102"/>
      <c r="V40" s="103"/>
      <c r="W40" s="103"/>
      <c r="X40" s="103"/>
    </row>
    <row r="41" spans="1:24" ht="15" thickBot="1" x14ac:dyDescent="0.4">
      <c r="A41" s="168"/>
      <c r="B41" s="171"/>
      <c r="C41" s="148" t="s">
        <v>1023</v>
      </c>
      <c r="D41" s="171"/>
      <c r="E41" s="158"/>
      <c r="F41" s="158"/>
      <c r="G41" s="158"/>
      <c r="H41" s="158"/>
      <c r="I41" s="158"/>
      <c r="J41" s="158"/>
      <c r="K41" s="158"/>
      <c r="L41" s="158"/>
      <c r="M41" s="158"/>
      <c r="N41" s="158"/>
      <c r="O41" s="158"/>
      <c r="P41" s="158"/>
      <c r="Q41" s="159"/>
      <c r="S41" s="101"/>
      <c r="T41" s="101"/>
      <c r="U41" s="102"/>
      <c r="V41" s="103"/>
      <c r="W41" s="103"/>
      <c r="X41" s="103"/>
    </row>
    <row r="42" spans="1:24" ht="15" thickBot="1" x14ac:dyDescent="0.4">
      <c r="A42" s="166"/>
      <c r="B42" s="169">
        <v>14</v>
      </c>
      <c r="C42" s="147"/>
      <c r="D42" s="169"/>
      <c r="E42" s="154">
        <v>0</v>
      </c>
      <c r="F42" s="154">
        <v>0</v>
      </c>
      <c r="G42" s="154">
        <v>0</v>
      </c>
      <c r="H42" s="154">
        <v>906</v>
      </c>
      <c r="I42" s="154">
        <v>9</v>
      </c>
      <c r="J42" s="154">
        <v>45</v>
      </c>
      <c r="K42" s="154">
        <v>368</v>
      </c>
      <c r="L42" s="154">
        <v>2</v>
      </c>
      <c r="M42" s="154">
        <v>0</v>
      </c>
      <c r="N42" s="154">
        <v>0</v>
      </c>
      <c r="O42" s="154">
        <v>0</v>
      </c>
      <c r="P42" s="154">
        <v>0</v>
      </c>
      <c r="Q42" s="156">
        <v>218.1</v>
      </c>
      <c r="S42" s="101"/>
      <c r="T42" s="101"/>
      <c r="U42" s="102"/>
      <c r="V42" s="103"/>
      <c r="W42" s="103"/>
      <c r="X42" s="103"/>
    </row>
    <row r="43" spans="1:24" ht="15" thickBot="1" x14ac:dyDescent="0.4">
      <c r="A43" s="167"/>
      <c r="B43" s="170"/>
      <c r="C43" s="151" t="s">
        <v>131</v>
      </c>
      <c r="D43" s="170"/>
      <c r="E43" s="155"/>
      <c r="F43" s="155"/>
      <c r="G43" s="155"/>
      <c r="H43" s="155"/>
      <c r="I43" s="155"/>
      <c r="J43" s="155"/>
      <c r="K43" s="155"/>
      <c r="L43" s="155"/>
      <c r="M43" s="155"/>
      <c r="N43" s="155"/>
      <c r="O43" s="155"/>
      <c r="P43" s="155"/>
      <c r="Q43" s="157"/>
      <c r="S43" s="101"/>
      <c r="T43" s="101"/>
      <c r="U43" s="102"/>
      <c r="V43" s="103"/>
      <c r="W43" s="103"/>
      <c r="X43" s="103"/>
    </row>
    <row r="44" spans="1:24" ht="15" thickBot="1" x14ac:dyDescent="0.4">
      <c r="A44" s="168"/>
      <c r="B44" s="171"/>
      <c r="C44" s="148" t="s">
        <v>1051</v>
      </c>
      <c r="D44" s="171"/>
      <c r="E44" s="158"/>
      <c r="F44" s="158"/>
      <c r="G44" s="158"/>
      <c r="H44" s="158"/>
      <c r="I44" s="158"/>
      <c r="J44" s="158"/>
      <c r="K44" s="158"/>
      <c r="L44" s="158"/>
      <c r="M44" s="158"/>
      <c r="N44" s="158"/>
      <c r="O44" s="158"/>
      <c r="P44" s="158"/>
      <c r="Q44" s="159"/>
      <c r="S44" s="101"/>
      <c r="T44" s="101"/>
      <c r="U44" s="102"/>
      <c r="V44" s="103"/>
      <c r="W44" s="103"/>
      <c r="X44" s="103"/>
    </row>
    <row r="45" spans="1:24" ht="15" thickBot="1" x14ac:dyDescent="0.4">
      <c r="A45" s="166"/>
      <c r="B45" s="169">
        <v>15</v>
      </c>
      <c r="C45" s="147"/>
      <c r="D45" s="169"/>
      <c r="E45" s="154">
        <v>0</v>
      </c>
      <c r="F45" s="154">
        <v>0</v>
      </c>
      <c r="G45" s="154">
        <v>0</v>
      </c>
      <c r="H45" s="154">
        <v>715</v>
      </c>
      <c r="I45" s="154">
        <v>4</v>
      </c>
      <c r="J45" s="154">
        <v>65</v>
      </c>
      <c r="K45" s="154">
        <v>605</v>
      </c>
      <c r="L45" s="154">
        <v>3</v>
      </c>
      <c r="M45" s="154">
        <v>0</v>
      </c>
      <c r="N45" s="154">
        <v>0</v>
      </c>
      <c r="O45" s="154">
        <v>0</v>
      </c>
      <c r="P45" s="154">
        <v>0</v>
      </c>
      <c r="Q45" s="156">
        <v>206.6</v>
      </c>
      <c r="S45" s="101"/>
      <c r="T45" s="101"/>
      <c r="U45" s="102"/>
      <c r="V45" s="103"/>
      <c r="W45" s="103"/>
      <c r="X45" s="103"/>
    </row>
    <row r="46" spans="1:24" ht="15" thickBot="1" x14ac:dyDescent="0.4">
      <c r="A46" s="167"/>
      <c r="B46" s="170"/>
      <c r="C46" s="151" t="s">
        <v>322</v>
      </c>
      <c r="D46" s="170"/>
      <c r="E46" s="155"/>
      <c r="F46" s="155"/>
      <c r="G46" s="155"/>
      <c r="H46" s="155"/>
      <c r="I46" s="155"/>
      <c r="J46" s="155"/>
      <c r="K46" s="155"/>
      <c r="L46" s="155"/>
      <c r="M46" s="155"/>
      <c r="N46" s="155"/>
      <c r="O46" s="155"/>
      <c r="P46" s="155"/>
      <c r="Q46" s="157"/>
      <c r="S46" s="101"/>
      <c r="T46" s="101"/>
      <c r="U46" s="102"/>
      <c r="V46" s="103"/>
      <c r="W46" s="103"/>
      <c r="X46" s="103"/>
    </row>
    <row r="47" spans="1:24" ht="15" thickBot="1" x14ac:dyDescent="0.4">
      <c r="A47" s="168"/>
      <c r="B47" s="171"/>
      <c r="C47" s="148" t="s">
        <v>1043</v>
      </c>
      <c r="D47" s="171"/>
      <c r="E47" s="158"/>
      <c r="F47" s="158"/>
      <c r="G47" s="158"/>
      <c r="H47" s="158"/>
      <c r="I47" s="158"/>
      <c r="J47" s="158"/>
      <c r="K47" s="158"/>
      <c r="L47" s="158"/>
      <c r="M47" s="158"/>
      <c r="N47" s="158"/>
      <c r="O47" s="158"/>
      <c r="P47" s="158"/>
      <c r="Q47" s="159"/>
      <c r="S47" s="101"/>
      <c r="T47" s="101"/>
      <c r="U47" s="102"/>
      <c r="V47" s="103"/>
      <c r="W47" s="103"/>
      <c r="X47" s="103"/>
    </row>
    <row r="48" spans="1:24" ht="15" thickBot="1" x14ac:dyDescent="0.4">
      <c r="A48" s="166"/>
      <c r="B48" s="169">
        <v>16</v>
      </c>
      <c r="C48" s="147"/>
      <c r="D48" s="169"/>
      <c r="E48" s="154">
        <v>0</v>
      </c>
      <c r="F48" s="154">
        <v>0</v>
      </c>
      <c r="G48" s="154">
        <v>0</v>
      </c>
      <c r="H48" s="154">
        <v>0</v>
      </c>
      <c r="I48" s="154">
        <v>0</v>
      </c>
      <c r="J48" s="154">
        <v>92</v>
      </c>
      <c r="K48" s="154">
        <v>1167</v>
      </c>
      <c r="L48" s="154">
        <v>8</v>
      </c>
      <c r="M48" s="154">
        <v>0</v>
      </c>
      <c r="N48" s="154">
        <v>0</v>
      </c>
      <c r="O48" s="154">
        <v>0</v>
      </c>
      <c r="P48" s="154">
        <v>0</v>
      </c>
      <c r="Q48" s="156">
        <v>207.5</v>
      </c>
      <c r="S48" s="101"/>
      <c r="T48" s="101"/>
      <c r="U48" s="102"/>
      <c r="V48" s="103"/>
      <c r="W48" s="103"/>
      <c r="X48" s="103"/>
    </row>
    <row r="49" spans="1:24" ht="15" thickBot="1" x14ac:dyDescent="0.4">
      <c r="A49" s="167"/>
      <c r="B49" s="170"/>
      <c r="C49" s="151" t="s">
        <v>64</v>
      </c>
      <c r="D49" s="170"/>
      <c r="E49" s="155"/>
      <c r="F49" s="155"/>
      <c r="G49" s="155"/>
      <c r="H49" s="155"/>
      <c r="I49" s="155"/>
      <c r="J49" s="155"/>
      <c r="K49" s="155"/>
      <c r="L49" s="155"/>
      <c r="M49" s="155"/>
      <c r="N49" s="155"/>
      <c r="O49" s="155"/>
      <c r="P49" s="155"/>
      <c r="Q49" s="157"/>
      <c r="S49" s="101"/>
      <c r="T49" s="101"/>
      <c r="U49" s="102"/>
      <c r="V49" s="103"/>
      <c r="W49" s="103"/>
      <c r="X49" s="103"/>
    </row>
    <row r="50" spans="1:24" ht="15" thickBot="1" x14ac:dyDescent="0.4">
      <c r="A50" s="168"/>
      <c r="B50" s="171"/>
      <c r="C50" s="148" t="s">
        <v>1027</v>
      </c>
      <c r="D50" s="171"/>
      <c r="E50" s="158"/>
      <c r="F50" s="158"/>
      <c r="G50" s="158"/>
      <c r="H50" s="158"/>
      <c r="I50" s="158"/>
      <c r="J50" s="158"/>
      <c r="K50" s="158"/>
      <c r="L50" s="158"/>
      <c r="M50" s="158"/>
      <c r="N50" s="158"/>
      <c r="O50" s="158"/>
      <c r="P50" s="158"/>
      <c r="Q50" s="159"/>
      <c r="S50" s="101"/>
      <c r="T50" s="101"/>
      <c r="U50" s="102"/>
      <c r="V50" s="103"/>
      <c r="W50" s="103"/>
      <c r="X50" s="103"/>
    </row>
    <row r="51" spans="1:24" ht="15" thickBot="1" x14ac:dyDescent="0.4">
      <c r="A51" s="166"/>
      <c r="B51" s="169">
        <v>17</v>
      </c>
      <c r="C51" s="147"/>
      <c r="D51" s="169"/>
      <c r="E51" s="154">
        <v>0</v>
      </c>
      <c r="F51" s="154">
        <v>0</v>
      </c>
      <c r="G51" s="154">
        <v>0</v>
      </c>
      <c r="H51" s="154">
        <v>66</v>
      </c>
      <c r="I51" s="154">
        <v>1</v>
      </c>
      <c r="J51" s="154">
        <v>79</v>
      </c>
      <c r="K51" s="154">
        <v>1115</v>
      </c>
      <c r="L51" s="154">
        <v>9</v>
      </c>
      <c r="M51" s="154">
        <v>0</v>
      </c>
      <c r="N51" s="154">
        <v>0</v>
      </c>
      <c r="O51" s="154">
        <v>0</v>
      </c>
      <c r="P51" s="154">
        <v>0</v>
      </c>
      <c r="Q51" s="156">
        <v>212.5</v>
      </c>
      <c r="S51" s="101"/>
      <c r="T51" s="101"/>
      <c r="U51" s="102"/>
      <c r="V51" s="103"/>
      <c r="W51" s="103"/>
      <c r="X51" s="103"/>
    </row>
    <row r="52" spans="1:24" ht="15" thickBot="1" x14ac:dyDescent="0.4">
      <c r="A52" s="167"/>
      <c r="B52" s="170"/>
      <c r="C52" s="151" t="s">
        <v>469</v>
      </c>
      <c r="D52" s="170"/>
      <c r="E52" s="155"/>
      <c r="F52" s="155"/>
      <c r="G52" s="155"/>
      <c r="H52" s="155"/>
      <c r="I52" s="155"/>
      <c r="J52" s="155"/>
      <c r="K52" s="155"/>
      <c r="L52" s="155"/>
      <c r="M52" s="155"/>
      <c r="N52" s="155"/>
      <c r="O52" s="155"/>
      <c r="P52" s="155"/>
      <c r="Q52" s="157"/>
      <c r="S52" s="101"/>
      <c r="T52" s="101"/>
      <c r="U52" s="102"/>
      <c r="V52" s="103"/>
      <c r="W52" s="103"/>
      <c r="X52" s="103"/>
    </row>
    <row r="53" spans="1:24" ht="15" thickBot="1" x14ac:dyDescent="0.4">
      <c r="A53" s="168"/>
      <c r="B53" s="171"/>
      <c r="C53" s="148" t="s">
        <v>1030</v>
      </c>
      <c r="D53" s="171"/>
      <c r="E53" s="158"/>
      <c r="F53" s="158"/>
      <c r="G53" s="158"/>
      <c r="H53" s="158"/>
      <c r="I53" s="158"/>
      <c r="J53" s="158"/>
      <c r="K53" s="158"/>
      <c r="L53" s="158"/>
      <c r="M53" s="158"/>
      <c r="N53" s="158"/>
      <c r="O53" s="158"/>
      <c r="P53" s="158"/>
      <c r="Q53" s="159"/>
      <c r="S53" s="101"/>
      <c r="T53" s="101"/>
      <c r="U53" s="102"/>
      <c r="V53" s="103"/>
      <c r="W53" s="103"/>
      <c r="X53" s="103"/>
    </row>
    <row r="54" spans="1:24" ht="15" thickBot="1" x14ac:dyDescent="0.4">
      <c r="A54" s="166"/>
      <c r="B54" s="169">
        <v>18</v>
      </c>
      <c r="C54" s="147"/>
      <c r="D54" s="169"/>
      <c r="E54" s="154">
        <v>0</v>
      </c>
      <c r="F54" s="154">
        <v>0</v>
      </c>
      <c r="G54" s="154">
        <v>0</v>
      </c>
      <c r="H54" s="154">
        <v>10</v>
      </c>
      <c r="I54" s="154">
        <v>0</v>
      </c>
      <c r="J54" s="154">
        <v>89</v>
      </c>
      <c r="K54" s="154">
        <v>1249</v>
      </c>
      <c r="L54" s="154">
        <v>7</v>
      </c>
      <c r="M54" s="154">
        <v>0</v>
      </c>
      <c r="N54" s="154">
        <v>0</v>
      </c>
      <c r="O54" s="154">
        <v>0</v>
      </c>
      <c r="P54" s="154">
        <v>0</v>
      </c>
      <c r="Q54" s="156">
        <v>209.9</v>
      </c>
      <c r="S54" s="101"/>
      <c r="T54" s="101"/>
      <c r="U54" s="102"/>
      <c r="V54" s="103"/>
      <c r="W54" s="103"/>
      <c r="X54" s="103"/>
    </row>
    <row r="55" spans="1:24" ht="15" thickBot="1" x14ac:dyDescent="0.4">
      <c r="A55" s="167"/>
      <c r="B55" s="170"/>
      <c r="C55" s="151" t="s">
        <v>76</v>
      </c>
      <c r="D55" s="170"/>
      <c r="E55" s="155"/>
      <c r="F55" s="155"/>
      <c r="G55" s="155"/>
      <c r="H55" s="155"/>
      <c r="I55" s="155"/>
      <c r="J55" s="155"/>
      <c r="K55" s="155"/>
      <c r="L55" s="155"/>
      <c r="M55" s="155"/>
      <c r="N55" s="155"/>
      <c r="O55" s="155"/>
      <c r="P55" s="155"/>
      <c r="Q55" s="157"/>
      <c r="S55" s="101"/>
      <c r="T55" s="101"/>
      <c r="U55" s="102"/>
      <c r="V55" s="103"/>
      <c r="W55" s="103"/>
      <c r="X55" s="103"/>
    </row>
    <row r="56" spans="1:24" ht="15" thickBot="1" x14ac:dyDescent="0.4">
      <c r="A56" s="168"/>
      <c r="B56" s="171"/>
      <c r="C56" s="148" t="s">
        <v>1028</v>
      </c>
      <c r="D56" s="171"/>
      <c r="E56" s="158"/>
      <c r="F56" s="158"/>
      <c r="G56" s="158"/>
      <c r="H56" s="158"/>
      <c r="I56" s="158"/>
      <c r="J56" s="158"/>
      <c r="K56" s="158"/>
      <c r="L56" s="158"/>
      <c r="M56" s="158"/>
      <c r="N56" s="158"/>
      <c r="O56" s="158"/>
      <c r="P56" s="158"/>
      <c r="Q56" s="159"/>
      <c r="S56" s="101"/>
      <c r="T56" s="101"/>
      <c r="U56" s="102"/>
      <c r="V56" s="103"/>
      <c r="W56" s="103"/>
      <c r="X56" s="103"/>
    </row>
    <row r="57" spans="1:24" ht="15" thickBot="1" x14ac:dyDescent="0.4">
      <c r="A57" s="166"/>
      <c r="B57" s="169">
        <v>19</v>
      </c>
      <c r="C57" s="147"/>
      <c r="D57" s="169"/>
      <c r="E57" s="154">
        <v>0</v>
      </c>
      <c r="F57" s="154">
        <v>0</v>
      </c>
      <c r="G57" s="154">
        <v>0</v>
      </c>
      <c r="H57" s="154">
        <v>23</v>
      </c>
      <c r="I57" s="154">
        <v>0</v>
      </c>
      <c r="J57" s="154">
        <v>89</v>
      </c>
      <c r="K57" s="154">
        <v>1100</v>
      </c>
      <c r="L57" s="154">
        <v>7</v>
      </c>
      <c r="M57" s="154">
        <v>0</v>
      </c>
      <c r="N57" s="154">
        <v>0</v>
      </c>
      <c r="O57" s="154">
        <v>0</v>
      </c>
      <c r="P57" s="154">
        <v>0</v>
      </c>
      <c r="Q57" s="156">
        <v>201.3</v>
      </c>
      <c r="S57" s="101"/>
      <c r="T57" s="101"/>
      <c r="U57" s="102"/>
      <c r="V57" s="103"/>
      <c r="W57" s="103"/>
      <c r="X57" s="103"/>
    </row>
    <row r="58" spans="1:24" ht="15" thickBot="1" x14ac:dyDescent="0.4">
      <c r="A58" s="167"/>
      <c r="B58" s="170"/>
      <c r="C58" s="151" t="s">
        <v>61</v>
      </c>
      <c r="D58" s="170"/>
      <c r="E58" s="155"/>
      <c r="F58" s="155"/>
      <c r="G58" s="155"/>
      <c r="H58" s="155"/>
      <c r="I58" s="155"/>
      <c r="J58" s="155"/>
      <c r="K58" s="155"/>
      <c r="L58" s="155"/>
      <c r="M58" s="155"/>
      <c r="N58" s="155"/>
      <c r="O58" s="155"/>
      <c r="P58" s="155"/>
      <c r="Q58" s="157"/>
      <c r="S58" s="101"/>
      <c r="T58" s="101"/>
      <c r="U58" s="102"/>
      <c r="V58" s="103"/>
      <c r="W58" s="103"/>
      <c r="X58" s="103"/>
    </row>
    <row r="59" spans="1:24" ht="15" thickBot="1" x14ac:dyDescent="0.4">
      <c r="A59" s="168"/>
      <c r="B59" s="171"/>
      <c r="C59" s="148" t="s">
        <v>1082</v>
      </c>
      <c r="D59" s="171"/>
      <c r="E59" s="158"/>
      <c r="F59" s="158"/>
      <c r="G59" s="158"/>
      <c r="H59" s="158"/>
      <c r="I59" s="158"/>
      <c r="J59" s="158"/>
      <c r="K59" s="158"/>
      <c r="L59" s="158"/>
      <c r="M59" s="158"/>
      <c r="N59" s="158"/>
      <c r="O59" s="158"/>
      <c r="P59" s="158"/>
      <c r="Q59" s="159"/>
      <c r="T59" s="101"/>
      <c r="U59" s="102"/>
      <c r="V59" s="103"/>
      <c r="W59" s="103"/>
      <c r="X59" s="103"/>
    </row>
    <row r="60" spans="1:24" x14ac:dyDescent="0.35">
      <c r="A60" s="166"/>
      <c r="B60" s="169">
        <v>20</v>
      </c>
      <c r="C60" s="147"/>
      <c r="D60" s="169"/>
      <c r="E60" s="154">
        <v>0</v>
      </c>
      <c r="F60" s="154">
        <v>0</v>
      </c>
      <c r="G60" s="154">
        <v>0</v>
      </c>
      <c r="H60" s="154">
        <v>6</v>
      </c>
      <c r="I60" s="154">
        <v>0</v>
      </c>
      <c r="J60" s="154">
        <v>88</v>
      </c>
      <c r="K60" s="154">
        <v>1096</v>
      </c>
      <c r="L60" s="154">
        <v>9</v>
      </c>
      <c r="M60" s="154">
        <v>0</v>
      </c>
      <c r="N60" s="154">
        <v>0</v>
      </c>
      <c r="O60" s="154">
        <v>0</v>
      </c>
      <c r="P60" s="154">
        <v>0</v>
      </c>
      <c r="Q60" s="156">
        <v>209.9</v>
      </c>
    </row>
    <row r="61" spans="1:24" x14ac:dyDescent="0.35">
      <c r="A61" s="167"/>
      <c r="B61" s="170"/>
      <c r="C61" s="151" t="s">
        <v>87</v>
      </c>
      <c r="D61" s="170"/>
      <c r="E61" s="155"/>
      <c r="F61" s="155"/>
      <c r="G61" s="155"/>
      <c r="H61" s="155"/>
      <c r="I61" s="155"/>
      <c r="J61" s="155"/>
      <c r="K61" s="155"/>
      <c r="L61" s="155"/>
      <c r="M61" s="155"/>
      <c r="N61" s="155"/>
      <c r="O61" s="155"/>
      <c r="P61" s="155"/>
      <c r="Q61" s="157"/>
    </row>
    <row r="62" spans="1:24" ht="15" thickBot="1" x14ac:dyDescent="0.4">
      <c r="A62" s="168"/>
      <c r="B62" s="171"/>
      <c r="C62" s="148" t="s">
        <v>1033</v>
      </c>
      <c r="D62" s="171"/>
      <c r="E62" s="158"/>
      <c r="F62" s="158"/>
      <c r="G62" s="158"/>
      <c r="H62" s="158"/>
      <c r="I62" s="158"/>
      <c r="J62" s="158"/>
      <c r="K62" s="158"/>
      <c r="L62" s="158"/>
      <c r="M62" s="158"/>
      <c r="N62" s="158"/>
      <c r="O62" s="158"/>
      <c r="P62" s="158"/>
      <c r="Q62" s="159"/>
    </row>
    <row r="63" spans="1:24" x14ac:dyDescent="0.35">
      <c r="A63" s="166"/>
      <c r="B63" s="169">
        <v>21</v>
      </c>
      <c r="C63" s="147"/>
      <c r="D63" s="169"/>
      <c r="E63" s="154">
        <v>0</v>
      </c>
      <c r="F63" s="154">
        <v>0</v>
      </c>
      <c r="G63" s="154">
        <v>0</v>
      </c>
      <c r="H63" s="154">
        <v>0</v>
      </c>
      <c r="I63" s="154">
        <v>0</v>
      </c>
      <c r="J63" s="154">
        <v>84</v>
      </c>
      <c r="K63" s="154">
        <v>1151</v>
      </c>
      <c r="L63" s="154">
        <v>7</v>
      </c>
      <c r="M63" s="154">
        <v>0</v>
      </c>
      <c r="N63" s="154">
        <v>0</v>
      </c>
      <c r="O63" s="154">
        <v>0</v>
      </c>
      <c r="P63" s="154">
        <v>0</v>
      </c>
      <c r="Q63" s="156">
        <v>201.1</v>
      </c>
    </row>
    <row r="64" spans="1:24" x14ac:dyDescent="0.35">
      <c r="A64" s="167"/>
      <c r="B64" s="170"/>
      <c r="C64" s="151" t="s">
        <v>167</v>
      </c>
      <c r="D64" s="170"/>
      <c r="E64" s="155"/>
      <c r="F64" s="155"/>
      <c r="G64" s="155"/>
      <c r="H64" s="155"/>
      <c r="I64" s="155"/>
      <c r="J64" s="155"/>
      <c r="K64" s="155"/>
      <c r="L64" s="155"/>
      <c r="M64" s="155"/>
      <c r="N64" s="155"/>
      <c r="O64" s="155"/>
      <c r="P64" s="155"/>
      <c r="Q64" s="157"/>
    </row>
    <row r="65" spans="1:17" ht="15" thickBot="1" x14ac:dyDescent="0.4">
      <c r="A65" s="168"/>
      <c r="B65" s="171"/>
      <c r="C65" s="148" t="s">
        <v>1037</v>
      </c>
      <c r="D65" s="171"/>
      <c r="E65" s="158"/>
      <c r="F65" s="158"/>
      <c r="G65" s="158"/>
      <c r="H65" s="158"/>
      <c r="I65" s="158"/>
      <c r="J65" s="158"/>
      <c r="K65" s="158"/>
      <c r="L65" s="158"/>
      <c r="M65" s="158"/>
      <c r="N65" s="158"/>
      <c r="O65" s="158"/>
      <c r="P65" s="158"/>
      <c r="Q65" s="159"/>
    </row>
    <row r="66" spans="1:17" x14ac:dyDescent="0.35">
      <c r="A66" s="166"/>
      <c r="B66" s="169">
        <v>22</v>
      </c>
      <c r="C66" s="147"/>
      <c r="D66" s="169"/>
      <c r="E66" s="154">
        <v>0</v>
      </c>
      <c r="F66" s="154">
        <v>0</v>
      </c>
      <c r="G66" s="154">
        <v>0</v>
      </c>
      <c r="H66" s="154">
        <v>0</v>
      </c>
      <c r="I66" s="154">
        <v>0</v>
      </c>
      <c r="J66" s="154">
        <v>74</v>
      </c>
      <c r="K66" s="154">
        <v>1135</v>
      </c>
      <c r="L66" s="154">
        <v>9</v>
      </c>
      <c r="M66" s="154">
        <v>0</v>
      </c>
      <c r="N66" s="154">
        <v>0</v>
      </c>
      <c r="O66" s="154">
        <v>0</v>
      </c>
      <c r="P66" s="154">
        <v>0</v>
      </c>
      <c r="Q66" s="156">
        <v>204.2</v>
      </c>
    </row>
    <row r="67" spans="1:17" x14ac:dyDescent="0.35">
      <c r="A67" s="167"/>
      <c r="B67" s="170"/>
      <c r="C67" s="151" t="s">
        <v>104</v>
      </c>
      <c r="D67" s="170"/>
      <c r="E67" s="155"/>
      <c r="F67" s="155"/>
      <c r="G67" s="155"/>
      <c r="H67" s="155"/>
      <c r="I67" s="155"/>
      <c r="J67" s="155"/>
      <c r="K67" s="155"/>
      <c r="L67" s="155"/>
      <c r="M67" s="155"/>
      <c r="N67" s="155"/>
      <c r="O67" s="155"/>
      <c r="P67" s="155"/>
      <c r="Q67" s="157"/>
    </row>
    <row r="68" spans="1:17" ht="15" thickBot="1" x14ac:dyDescent="0.4">
      <c r="A68" s="168"/>
      <c r="B68" s="171"/>
      <c r="C68" s="148" t="s">
        <v>1037</v>
      </c>
      <c r="D68" s="171"/>
      <c r="E68" s="158"/>
      <c r="F68" s="158"/>
      <c r="G68" s="158"/>
      <c r="H68" s="158"/>
      <c r="I68" s="158"/>
      <c r="J68" s="158"/>
      <c r="K68" s="158"/>
      <c r="L68" s="158"/>
      <c r="M68" s="158"/>
      <c r="N68" s="158"/>
      <c r="O68" s="158"/>
      <c r="P68" s="158"/>
      <c r="Q68" s="159"/>
    </row>
    <row r="69" spans="1:17" x14ac:dyDescent="0.35">
      <c r="A69" s="166"/>
      <c r="B69" s="169">
        <v>23</v>
      </c>
      <c r="C69" s="147"/>
      <c r="D69" s="169"/>
      <c r="E69" s="154">
        <v>0</v>
      </c>
      <c r="F69" s="154">
        <v>0</v>
      </c>
      <c r="G69" s="154">
        <v>0</v>
      </c>
      <c r="H69" s="154">
        <v>17</v>
      </c>
      <c r="I69" s="154">
        <v>1</v>
      </c>
      <c r="J69" s="154">
        <v>80</v>
      </c>
      <c r="K69" s="154">
        <v>998</v>
      </c>
      <c r="L69" s="154">
        <v>6</v>
      </c>
      <c r="M69" s="154">
        <v>0</v>
      </c>
      <c r="N69" s="154">
        <v>0</v>
      </c>
      <c r="O69" s="154">
        <v>0</v>
      </c>
      <c r="P69" s="154">
        <v>0</v>
      </c>
      <c r="Q69" s="156">
        <v>183.3</v>
      </c>
    </row>
    <row r="70" spans="1:17" x14ac:dyDescent="0.35">
      <c r="A70" s="167"/>
      <c r="B70" s="170"/>
      <c r="C70" s="151" t="s">
        <v>96</v>
      </c>
      <c r="D70" s="170"/>
      <c r="E70" s="155"/>
      <c r="F70" s="155"/>
      <c r="G70" s="155"/>
      <c r="H70" s="155"/>
      <c r="I70" s="155"/>
      <c r="J70" s="155"/>
      <c r="K70" s="155"/>
      <c r="L70" s="155"/>
      <c r="M70" s="155"/>
      <c r="N70" s="155"/>
      <c r="O70" s="155"/>
      <c r="P70" s="155"/>
      <c r="Q70" s="157"/>
    </row>
    <row r="71" spans="1:17" ht="15" thickBot="1" x14ac:dyDescent="0.4">
      <c r="A71" s="168"/>
      <c r="B71" s="171"/>
      <c r="C71" s="148" t="s">
        <v>1046</v>
      </c>
      <c r="D71" s="171"/>
      <c r="E71" s="158"/>
      <c r="F71" s="158"/>
      <c r="G71" s="158"/>
      <c r="H71" s="158"/>
      <c r="I71" s="158"/>
      <c r="J71" s="158"/>
      <c r="K71" s="158"/>
      <c r="L71" s="158"/>
      <c r="M71" s="158"/>
      <c r="N71" s="158"/>
      <c r="O71" s="158"/>
      <c r="P71" s="158"/>
      <c r="Q71" s="159"/>
    </row>
    <row r="72" spans="1:17" x14ac:dyDescent="0.35">
      <c r="A72" s="166"/>
      <c r="B72" s="169">
        <v>24</v>
      </c>
      <c r="C72" s="147"/>
      <c r="D72" s="169"/>
      <c r="E72" s="154">
        <v>0</v>
      </c>
      <c r="F72" s="154">
        <v>0</v>
      </c>
      <c r="G72" s="154">
        <v>0</v>
      </c>
      <c r="H72" s="154">
        <v>0</v>
      </c>
      <c r="I72" s="154">
        <v>0</v>
      </c>
      <c r="J72" s="154">
        <v>66</v>
      </c>
      <c r="K72" s="154">
        <v>1109</v>
      </c>
      <c r="L72" s="154">
        <v>8</v>
      </c>
      <c r="M72" s="154">
        <v>0</v>
      </c>
      <c r="N72" s="154">
        <v>0</v>
      </c>
      <c r="O72" s="154">
        <v>0</v>
      </c>
      <c r="P72" s="154">
        <v>0</v>
      </c>
      <c r="Q72" s="156">
        <v>191</v>
      </c>
    </row>
    <row r="73" spans="1:17" x14ac:dyDescent="0.35">
      <c r="A73" s="167"/>
      <c r="B73" s="170"/>
      <c r="C73" s="151" t="s">
        <v>143</v>
      </c>
      <c r="D73" s="170"/>
      <c r="E73" s="155"/>
      <c r="F73" s="155"/>
      <c r="G73" s="155"/>
      <c r="H73" s="155"/>
      <c r="I73" s="155"/>
      <c r="J73" s="155"/>
      <c r="K73" s="155"/>
      <c r="L73" s="155"/>
      <c r="M73" s="155"/>
      <c r="N73" s="155"/>
      <c r="O73" s="155"/>
      <c r="P73" s="155"/>
      <c r="Q73" s="157"/>
    </row>
    <row r="74" spans="1:17" ht="15" thickBot="1" x14ac:dyDescent="0.4">
      <c r="A74" s="168"/>
      <c r="B74" s="171"/>
      <c r="C74" s="148" t="s">
        <v>1055</v>
      </c>
      <c r="D74" s="171"/>
      <c r="E74" s="158"/>
      <c r="F74" s="158"/>
      <c r="G74" s="158"/>
      <c r="H74" s="158"/>
      <c r="I74" s="158"/>
      <c r="J74" s="158"/>
      <c r="K74" s="158"/>
      <c r="L74" s="158"/>
      <c r="M74" s="158"/>
      <c r="N74" s="158"/>
      <c r="O74" s="158"/>
      <c r="P74" s="158"/>
      <c r="Q74" s="159"/>
    </row>
    <row r="75" spans="1:17" x14ac:dyDescent="0.35">
      <c r="A75" s="166"/>
      <c r="B75" s="169">
        <v>25</v>
      </c>
      <c r="C75" s="147"/>
      <c r="D75" s="169"/>
      <c r="E75" s="154">
        <v>0</v>
      </c>
      <c r="F75" s="154">
        <v>0</v>
      </c>
      <c r="G75" s="154">
        <v>0</v>
      </c>
      <c r="H75" s="154">
        <v>49</v>
      </c>
      <c r="I75" s="154">
        <v>0</v>
      </c>
      <c r="J75" s="154">
        <v>87</v>
      </c>
      <c r="K75" s="154">
        <v>1125</v>
      </c>
      <c r="L75" s="154">
        <v>4</v>
      </c>
      <c r="M75" s="154">
        <v>0</v>
      </c>
      <c r="N75" s="154">
        <v>0</v>
      </c>
      <c r="O75" s="154">
        <v>0</v>
      </c>
      <c r="P75" s="154">
        <v>0</v>
      </c>
      <c r="Q75" s="156">
        <v>186.3</v>
      </c>
    </row>
    <row r="76" spans="1:17" x14ac:dyDescent="0.35">
      <c r="A76" s="167"/>
      <c r="B76" s="170"/>
      <c r="C76" s="151" t="s">
        <v>1061</v>
      </c>
      <c r="D76" s="170"/>
      <c r="E76" s="155"/>
      <c r="F76" s="155"/>
      <c r="G76" s="155"/>
      <c r="H76" s="155"/>
      <c r="I76" s="155"/>
      <c r="J76" s="155"/>
      <c r="K76" s="155"/>
      <c r="L76" s="155"/>
      <c r="M76" s="155"/>
      <c r="N76" s="155"/>
      <c r="O76" s="155"/>
      <c r="P76" s="155"/>
      <c r="Q76" s="157"/>
    </row>
    <row r="77" spans="1:17" ht="15" thickBot="1" x14ac:dyDescent="0.4">
      <c r="A77" s="168"/>
      <c r="B77" s="171"/>
      <c r="C77" s="148" t="s">
        <v>1062</v>
      </c>
      <c r="D77" s="171"/>
      <c r="E77" s="158"/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9"/>
    </row>
    <row r="78" spans="1:17" x14ac:dyDescent="0.35">
      <c r="A78" s="166"/>
      <c r="B78" s="169">
        <v>26</v>
      </c>
      <c r="C78" s="147"/>
      <c r="D78" s="169"/>
      <c r="E78" s="154">
        <v>0</v>
      </c>
      <c r="F78" s="154">
        <v>0</v>
      </c>
      <c r="G78" s="154">
        <v>0</v>
      </c>
      <c r="H78" s="154">
        <v>25</v>
      </c>
      <c r="I78" s="154">
        <v>0</v>
      </c>
      <c r="J78" s="154">
        <v>78</v>
      </c>
      <c r="K78" s="154">
        <v>1108</v>
      </c>
      <c r="L78" s="154">
        <v>6</v>
      </c>
      <c r="M78" s="154">
        <v>0</v>
      </c>
      <c r="N78" s="154">
        <v>0</v>
      </c>
      <c r="O78" s="154">
        <v>0</v>
      </c>
      <c r="P78" s="154">
        <v>0</v>
      </c>
      <c r="Q78" s="156">
        <v>191.8</v>
      </c>
    </row>
    <row r="79" spans="1:17" x14ac:dyDescent="0.35">
      <c r="A79" s="167"/>
      <c r="B79" s="170"/>
      <c r="C79" s="151" t="s">
        <v>127</v>
      </c>
      <c r="D79" s="170"/>
      <c r="E79" s="155"/>
      <c r="F79" s="155"/>
      <c r="G79" s="155"/>
      <c r="H79" s="155"/>
      <c r="I79" s="155"/>
      <c r="J79" s="155"/>
      <c r="K79" s="155"/>
      <c r="L79" s="155"/>
      <c r="M79" s="155"/>
      <c r="N79" s="155"/>
      <c r="O79" s="155"/>
      <c r="P79" s="155"/>
      <c r="Q79" s="157"/>
    </row>
    <row r="80" spans="1:17" ht="15" thickBot="1" x14ac:dyDescent="0.4">
      <c r="A80" s="168"/>
      <c r="B80" s="171"/>
      <c r="C80" s="148" t="s">
        <v>1053</v>
      </c>
      <c r="D80" s="171"/>
      <c r="E80" s="158"/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9"/>
    </row>
    <row r="81" spans="1:17" x14ac:dyDescent="0.35">
      <c r="A81" s="166"/>
      <c r="B81" s="169">
        <v>27</v>
      </c>
      <c r="C81" s="147"/>
      <c r="D81" s="169"/>
      <c r="E81" s="154">
        <v>0</v>
      </c>
      <c r="F81" s="154">
        <v>0</v>
      </c>
      <c r="G81" s="154">
        <v>0</v>
      </c>
      <c r="H81" s="154">
        <v>12</v>
      </c>
      <c r="I81" s="154">
        <v>0</v>
      </c>
      <c r="J81" s="154">
        <v>76</v>
      </c>
      <c r="K81" s="154">
        <v>1084</v>
      </c>
      <c r="L81" s="154">
        <v>7</v>
      </c>
      <c r="M81" s="154">
        <v>0</v>
      </c>
      <c r="N81" s="154">
        <v>0</v>
      </c>
      <c r="O81" s="154">
        <v>0</v>
      </c>
      <c r="P81" s="154">
        <v>0</v>
      </c>
      <c r="Q81" s="156">
        <v>187.1</v>
      </c>
    </row>
    <row r="82" spans="1:17" x14ac:dyDescent="0.35">
      <c r="A82" s="167"/>
      <c r="B82" s="170"/>
      <c r="C82" s="151" t="s">
        <v>116</v>
      </c>
      <c r="D82" s="170"/>
      <c r="E82" s="155"/>
      <c r="F82" s="155"/>
      <c r="G82" s="155"/>
      <c r="H82" s="155"/>
      <c r="I82" s="155"/>
      <c r="J82" s="155"/>
      <c r="K82" s="155"/>
      <c r="L82" s="155"/>
      <c r="M82" s="155"/>
      <c r="N82" s="155"/>
      <c r="O82" s="155"/>
      <c r="P82" s="155"/>
      <c r="Q82" s="157"/>
    </row>
    <row r="83" spans="1:17" ht="15" thickBot="1" x14ac:dyDescent="0.4">
      <c r="A83" s="168"/>
      <c r="B83" s="171"/>
      <c r="C83" s="148" t="s">
        <v>1044</v>
      </c>
      <c r="D83" s="171"/>
      <c r="E83" s="158"/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9"/>
    </row>
    <row r="84" spans="1:17" x14ac:dyDescent="0.35">
      <c r="A84" s="166"/>
      <c r="B84" s="169">
        <v>28</v>
      </c>
      <c r="C84" s="147"/>
      <c r="D84" s="169"/>
      <c r="E84" s="154">
        <v>0</v>
      </c>
      <c r="F84" s="154">
        <v>0</v>
      </c>
      <c r="G84" s="154">
        <v>0</v>
      </c>
      <c r="H84" s="154">
        <v>11</v>
      </c>
      <c r="I84" s="154">
        <v>0</v>
      </c>
      <c r="J84" s="154">
        <v>85</v>
      </c>
      <c r="K84" s="154">
        <v>1045</v>
      </c>
      <c r="L84" s="154">
        <v>6</v>
      </c>
      <c r="M84" s="154">
        <v>0</v>
      </c>
      <c r="N84" s="154">
        <v>0</v>
      </c>
      <c r="O84" s="154">
        <v>0</v>
      </c>
      <c r="P84" s="154">
        <v>0</v>
      </c>
      <c r="Q84" s="156">
        <v>183.5</v>
      </c>
    </row>
    <row r="85" spans="1:17" x14ac:dyDescent="0.35">
      <c r="A85" s="167"/>
      <c r="B85" s="170"/>
      <c r="C85" s="151" t="s">
        <v>1383</v>
      </c>
      <c r="D85" s="170"/>
      <c r="E85" s="155"/>
      <c r="F85" s="155"/>
      <c r="G85" s="155"/>
      <c r="H85" s="155"/>
      <c r="I85" s="155"/>
      <c r="J85" s="155"/>
      <c r="K85" s="155"/>
      <c r="L85" s="155"/>
      <c r="M85" s="155"/>
      <c r="N85" s="155"/>
      <c r="O85" s="155"/>
      <c r="P85" s="155"/>
      <c r="Q85" s="157"/>
    </row>
    <row r="86" spans="1:17" ht="15" thickBot="1" x14ac:dyDescent="0.4">
      <c r="A86" s="168"/>
      <c r="B86" s="171"/>
      <c r="C86" s="148" t="s">
        <v>1064</v>
      </c>
      <c r="D86" s="171"/>
      <c r="E86" s="158"/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9"/>
    </row>
    <row r="87" spans="1:17" x14ac:dyDescent="0.35">
      <c r="A87" s="166"/>
      <c r="B87" s="169">
        <v>29</v>
      </c>
      <c r="C87" s="147"/>
      <c r="D87" s="169"/>
      <c r="E87" s="154">
        <v>0</v>
      </c>
      <c r="F87" s="154">
        <v>0</v>
      </c>
      <c r="G87" s="154">
        <v>0</v>
      </c>
      <c r="H87" s="154">
        <v>24</v>
      </c>
      <c r="I87" s="154">
        <v>0</v>
      </c>
      <c r="J87" s="154">
        <v>72</v>
      </c>
      <c r="K87" s="154">
        <v>1014</v>
      </c>
      <c r="L87" s="154">
        <v>7</v>
      </c>
      <c r="M87" s="154">
        <v>0</v>
      </c>
      <c r="N87" s="154">
        <v>0</v>
      </c>
      <c r="O87" s="154">
        <v>0</v>
      </c>
      <c r="P87" s="154">
        <v>0</v>
      </c>
      <c r="Q87" s="156">
        <v>181.3</v>
      </c>
    </row>
    <row r="88" spans="1:17" x14ac:dyDescent="0.35">
      <c r="A88" s="167"/>
      <c r="B88" s="170"/>
      <c r="C88" s="151" t="s">
        <v>84</v>
      </c>
      <c r="D88" s="170"/>
      <c r="E88" s="155"/>
      <c r="F88" s="155"/>
      <c r="G88" s="155"/>
      <c r="H88" s="155"/>
      <c r="I88" s="155"/>
      <c r="J88" s="155"/>
      <c r="K88" s="155"/>
      <c r="L88" s="155"/>
      <c r="M88" s="155"/>
      <c r="N88" s="155"/>
      <c r="O88" s="155"/>
      <c r="P88" s="155"/>
      <c r="Q88" s="157"/>
    </row>
    <row r="89" spans="1:17" ht="15" thickBot="1" x14ac:dyDescent="0.4">
      <c r="A89" s="168"/>
      <c r="B89" s="171"/>
      <c r="C89" s="148" t="s">
        <v>1029</v>
      </c>
      <c r="D89" s="171"/>
      <c r="E89" s="158"/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9"/>
    </row>
    <row r="90" spans="1:17" x14ac:dyDescent="0.35">
      <c r="A90" s="166"/>
      <c r="B90" s="169">
        <v>30</v>
      </c>
      <c r="C90" s="147"/>
      <c r="D90" s="169"/>
      <c r="E90" s="154">
        <v>0</v>
      </c>
      <c r="F90" s="154">
        <v>0</v>
      </c>
      <c r="G90" s="154">
        <v>0</v>
      </c>
      <c r="H90" s="154">
        <v>0</v>
      </c>
      <c r="I90" s="154">
        <v>0</v>
      </c>
      <c r="J90" s="154">
        <v>80</v>
      </c>
      <c r="K90" s="154">
        <v>1034</v>
      </c>
      <c r="L90" s="154">
        <v>7</v>
      </c>
      <c r="M90" s="154">
        <v>0</v>
      </c>
      <c r="N90" s="154">
        <v>0</v>
      </c>
      <c r="O90" s="154">
        <v>0</v>
      </c>
      <c r="P90" s="154">
        <v>0</v>
      </c>
      <c r="Q90" s="156">
        <v>183.1</v>
      </c>
    </row>
    <row r="91" spans="1:17" x14ac:dyDescent="0.35">
      <c r="A91" s="167"/>
      <c r="B91" s="170"/>
      <c r="C91" s="151" t="s">
        <v>94</v>
      </c>
      <c r="D91" s="170"/>
      <c r="E91" s="155"/>
      <c r="F91" s="155"/>
      <c r="G91" s="155"/>
      <c r="H91" s="155"/>
      <c r="I91" s="155"/>
      <c r="J91" s="155"/>
      <c r="K91" s="155"/>
      <c r="L91" s="155"/>
      <c r="M91" s="155"/>
      <c r="N91" s="155"/>
      <c r="O91" s="155"/>
      <c r="P91" s="155"/>
      <c r="Q91" s="157"/>
    </row>
    <row r="92" spans="1:17" ht="15" thickBot="1" x14ac:dyDescent="0.4">
      <c r="A92" s="168"/>
      <c r="B92" s="171"/>
      <c r="C92" s="148" t="s">
        <v>1031</v>
      </c>
      <c r="D92" s="171"/>
      <c r="E92" s="158"/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9"/>
    </row>
    <row r="93" spans="1:17" x14ac:dyDescent="0.35">
      <c r="A93" s="166"/>
      <c r="B93" s="169">
        <v>31</v>
      </c>
      <c r="C93" s="147"/>
      <c r="D93" s="169"/>
      <c r="E93" s="154">
        <v>0</v>
      </c>
      <c r="F93" s="154">
        <v>0</v>
      </c>
      <c r="G93" s="154">
        <v>0</v>
      </c>
      <c r="H93" s="154">
        <v>14</v>
      </c>
      <c r="I93" s="154">
        <v>0</v>
      </c>
      <c r="J93" s="154">
        <v>72</v>
      </c>
      <c r="K93" s="154">
        <v>1036</v>
      </c>
      <c r="L93" s="154">
        <v>7</v>
      </c>
      <c r="M93" s="154">
        <v>0</v>
      </c>
      <c r="N93" s="154">
        <v>0</v>
      </c>
      <c r="O93" s="154">
        <v>0</v>
      </c>
      <c r="P93" s="154">
        <v>0</v>
      </c>
      <c r="Q93" s="156">
        <v>180.6</v>
      </c>
    </row>
    <row r="94" spans="1:17" x14ac:dyDescent="0.35">
      <c r="A94" s="167"/>
      <c r="B94" s="170"/>
      <c r="C94" s="151" t="s">
        <v>236</v>
      </c>
      <c r="D94" s="170"/>
      <c r="E94" s="155"/>
      <c r="F94" s="155"/>
      <c r="G94" s="155"/>
      <c r="H94" s="155"/>
      <c r="I94" s="155"/>
      <c r="J94" s="155"/>
      <c r="K94" s="155"/>
      <c r="L94" s="155"/>
      <c r="M94" s="155"/>
      <c r="N94" s="155"/>
      <c r="O94" s="155"/>
      <c r="P94" s="155"/>
      <c r="Q94" s="157"/>
    </row>
    <row r="95" spans="1:17" ht="15" thickBot="1" x14ac:dyDescent="0.4">
      <c r="A95" s="168"/>
      <c r="B95" s="171"/>
      <c r="C95" s="148" t="s">
        <v>1083</v>
      </c>
      <c r="D95" s="171"/>
      <c r="E95" s="158"/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9"/>
    </row>
    <row r="96" spans="1:17" x14ac:dyDescent="0.35">
      <c r="A96" s="166"/>
      <c r="B96" s="169">
        <v>32</v>
      </c>
      <c r="C96" s="147"/>
      <c r="D96" s="169"/>
      <c r="E96" s="154">
        <v>0</v>
      </c>
      <c r="F96" s="154">
        <v>0</v>
      </c>
      <c r="G96" s="154">
        <v>0</v>
      </c>
      <c r="H96" s="154">
        <v>27</v>
      </c>
      <c r="I96" s="154">
        <v>0</v>
      </c>
      <c r="J96" s="154">
        <v>65</v>
      </c>
      <c r="K96" s="154">
        <v>1024</v>
      </c>
      <c r="L96" s="154">
        <v>7</v>
      </c>
      <c r="M96" s="154">
        <v>0</v>
      </c>
      <c r="N96" s="154">
        <v>0</v>
      </c>
      <c r="O96" s="154">
        <v>0</v>
      </c>
      <c r="P96" s="154">
        <v>0</v>
      </c>
      <c r="Q96" s="156">
        <v>180.9</v>
      </c>
    </row>
    <row r="97" spans="1:17" x14ac:dyDescent="0.35">
      <c r="A97" s="167"/>
      <c r="B97" s="170"/>
      <c r="C97" s="151" t="s">
        <v>395</v>
      </c>
      <c r="D97" s="170"/>
      <c r="E97" s="155"/>
      <c r="F97" s="155"/>
      <c r="G97" s="155"/>
      <c r="H97" s="155"/>
      <c r="I97" s="155"/>
      <c r="J97" s="155"/>
      <c r="K97" s="155"/>
      <c r="L97" s="155"/>
      <c r="M97" s="155"/>
      <c r="N97" s="155"/>
      <c r="O97" s="155"/>
      <c r="P97" s="155"/>
      <c r="Q97" s="157"/>
    </row>
    <row r="98" spans="1:17" ht="15" thickBot="1" x14ac:dyDescent="0.4">
      <c r="A98" s="168"/>
      <c r="B98" s="171"/>
      <c r="C98" s="148" t="s">
        <v>1090</v>
      </c>
      <c r="D98" s="171"/>
      <c r="E98" s="158"/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9"/>
    </row>
    <row r="99" spans="1:17" x14ac:dyDescent="0.35">
      <c r="A99" s="166"/>
      <c r="B99" s="169">
        <v>33</v>
      </c>
      <c r="C99" s="147"/>
      <c r="D99" s="169"/>
      <c r="E99" s="154">
        <v>0</v>
      </c>
      <c r="F99" s="154">
        <v>0</v>
      </c>
      <c r="G99" s="154">
        <v>0</v>
      </c>
      <c r="H99" s="154">
        <v>12</v>
      </c>
      <c r="I99" s="154">
        <v>0</v>
      </c>
      <c r="J99" s="154">
        <v>76</v>
      </c>
      <c r="K99" s="154">
        <v>1011</v>
      </c>
      <c r="L99" s="154">
        <v>7</v>
      </c>
      <c r="M99" s="154">
        <v>0</v>
      </c>
      <c r="N99" s="154">
        <v>0</v>
      </c>
      <c r="O99" s="154">
        <v>0</v>
      </c>
      <c r="P99" s="154">
        <v>0</v>
      </c>
      <c r="Q99" s="156">
        <v>180.7</v>
      </c>
    </row>
    <row r="100" spans="1:17" x14ac:dyDescent="0.35">
      <c r="A100" s="167"/>
      <c r="B100" s="170"/>
      <c r="C100" s="151" t="s">
        <v>186</v>
      </c>
      <c r="D100" s="170"/>
      <c r="E100" s="155"/>
      <c r="F100" s="155"/>
      <c r="G100" s="155"/>
      <c r="H100" s="155"/>
      <c r="I100" s="155"/>
      <c r="J100" s="155"/>
      <c r="K100" s="155"/>
      <c r="L100" s="155"/>
      <c r="M100" s="155"/>
      <c r="N100" s="155"/>
      <c r="O100" s="155"/>
      <c r="P100" s="155"/>
      <c r="Q100" s="157"/>
    </row>
    <row r="101" spans="1:17" ht="15" thickBot="1" x14ac:dyDescent="0.4">
      <c r="A101" s="168"/>
      <c r="B101" s="171"/>
      <c r="C101" s="148" t="s">
        <v>1028</v>
      </c>
      <c r="D101" s="171"/>
      <c r="E101" s="158"/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9"/>
    </row>
    <row r="102" spans="1:17" x14ac:dyDescent="0.35">
      <c r="A102" s="166"/>
      <c r="B102" s="169">
        <v>34</v>
      </c>
      <c r="C102" s="147"/>
      <c r="D102" s="169"/>
      <c r="E102" s="154">
        <v>3441</v>
      </c>
      <c r="F102" s="154">
        <v>25</v>
      </c>
      <c r="G102" s="154">
        <v>10</v>
      </c>
      <c r="H102" s="154">
        <v>905</v>
      </c>
      <c r="I102" s="154">
        <v>6</v>
      </c>
      <c r="J102" s="154">
        <v>0</v>
      </c>
      <c r="K102" s="154">
        <v>0</v>
      </c>
      <c r="L102" s="154">
        <v>0</v>
      </c>
      <c r="M102" s="154">
        <v>0</v>
      </c>
      <c r="N102" s="154">
        <v>0</v>
      </c>
      <c r="O102" s="154">
        <v>0</v>
      </c>
      <c r="P102" s="154">
        <v>0</v>
      </c>
      <c r="Q102" s="156">
        <v>340</v>
      </c>
    </row>
    <row r="103" spans="1:17" x14ac:dyDescent="0.35">
      <c r="A103" s="167"/>
      <c r="B103" s="170"/>
      <c r="C103" s="151" t="s">
        <v>282</v>
      </c>
      <c r="D103" s="170"/>
      <c r="E103" s="155"/>
      <c r="F103" s="155"/>
      <c r="G103" s="155"/>
      <c r="H103" s="155"/>
      <c r="I103" s="155"/>
      <c r="J103" s="155"/>
      <c r="K103" s="155"/>
      <c r="L103" s="155"/>
      <c r="M103" s="155"/>
      <c r="N103" s="155"/>
      <c r="O103" s="155"/>
      <c r="P103" s="155"/>
      <c r="Q103" s="157"/>
    </row>
    <row r="104" spans="1:17" ht="15" thickBot="1" x14ac:dyDescent="0.4">
      <c r="A104" s="168"/>
      <c r="B104" s="171"/>
      <c r="C104" s="148" t="s">
        <v>1105</v>
      </c>
      <c r="D104" s="171"/>
      <c r="E104" s="158"/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9"/>
    </row>
    <row r="105" spans="1:17" x14ac:dyDescent="0.35">
      <c r="A105" s="166"/>
      <c r="B105" s="169">
        <v>35</v>
      </c>
      <c r="C105" s="147"/>
      <c r="D105" s="169"/>
      <c r="E105" s="154">
        <v>4458</v>
      </c>
      <c r="F105" s="154">
        <v>34</v>
      </c>
      <c r="G105" s="154">
        <v>10</v>
      </c>
      <c r="H105" s="154">
        <v>283</v>
      </c>
      <c r="I105" s="154">
        <v>4</v>
      </c>
      <c r="J105" s="154">
        <v>0</v>
      </c>
      <c r="K105" s="154">
        <v>0</v>
      </c>
      <c r="L105" s="154">
        <v>0</v>
      </c>
      <c r="M105" s="154">
        <v>0</v>
      </c>
      <c r="N105" s="154">
        <v>0</v>
      </c>
      <c r="O105" s="154">
        <v>0</v>
      </c>
      <c r="P105" s="154">
        <v>0</v>
      </c>
      <c r="Q105" s="156">
        <v>341</v>
      </c>
    </row>
    <row r="106" spans="1:17" x14ac:dyDescent="0.35">
      <c r="A106" s="167"/>
      <c r="B106" s="170"/>
      <c r="C106" s="151" t="s">
        <v>139</v>
      </c>
      <c r="D106" s="170"/>
      <c r="E106" s="155"/>
      <c r="F106" s="155"/>
      <c r="G106" s="155"/>
      <c r="H106" s="155"/>
      <c r="I106" s="155"/>
      <c r="J106" s="155"/>
      <c r="K106" s="155"/>
      <c r="L106" s="155"/>
      <c r="M106" s="155"/>
      <c r="N106" s="155"/>
      <c r="O106" s="155"/>
      <c r="P106" s="155"/>
      <c r="Q106" s="157"/>
    </row>
    <row r="107" spans="1:17" ht="15" thickBot="1" x14ac:dyDescent="0.4">
      <c r="A107" s="168"/>
      <c r="B107" s="171"/>
      <c r="C107" s="148" t="s">
        <v>1056</v>
      </c>
      <c r="D107" s="171"/>
      <c r="E107" s="158"/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9"/>
    </row>
    <row r="108" spans="1:17" x14ac:dyDescent="0.35">
      <c r="A108" s="166"/>
      <c r="B108" s="169">
        <v>36</v>
      </c>
      <c r="C108" s="147"/>
      <c r="D108" s="169"/>
      <c r="E108" s="154">
        <v>0</v>
      </c>
      <c r="F108" s="154">
        <v>0</v>
      </c>
      <c r="G108" s="154">
        <v>0</v>
      </c>
      <c r="H108" s="154">
        <v>27</v>
      </c>
      <c r="I108" s="154">
        <v>0</v>
      </c>
      <c r="J108" s="154">
        <v>72</v>
      </c>
      <c r="K108" s="154">
        <v>981</v>
      </c>
      <c r="L108" s="154">
        <v>7</v>
      </c>
      <c r="M108" s="154">
        <v>0</v>
      </c>
      <c r="N108" s="154">
        <v>0</v>
      </c>
      <c r="O108" s="154">
        <v>0</v>
      </c>
      <c r="P108" s="154">
        <v>0</v>
      </c>
      <c r="Q108" s="156">
        <v>180.8</v>
      </c>
    </row>
    <row r="109" spans="1:17" x14ac:dyDescent="0.35">
      <c r="A109" s="167"/>
      <c r="B109" s="170"/>
      <c r="C109" s="151" t="s">
        <v>169</v>
      </c>
      <c r="D109" s="170"/>
      <c r="E109" s="155"/>
      <c r="F109" s="155"/>
      <c r="G109" s="155"/>
      <c r="H109" s="155"/>
      <c r="I109" s="155"/>
      <c r="J109" s="155"/>
      <c r="K109" s="155"/>
      <c r="L109" s="155"/>
      <c r="M109" s="155"/>
      <c r="N109" s="155"/>
      <c r="O109" s="155"/>
      <c r="P109" s="155"/>
      <c r="Q109" s="157"/>
    </row>
    <row r="110" spans="1:17" ht="15" thickBot="1" x14ac:dyDescent="0.4">
      <c r="A110" s="168"/>
      <c r="B110" s="171"/>
      <c r="C110" s="148" t="s">
        <v>1060</v>
      </c>
      <c r="D110" s="171"/>
      <c r="E110" s="158"/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9"/>
    </row>
    <row r="111" spans="1:17" x14ac:dyDescent="0.35">
      <c r="A111" s="166"/>
      <c r="B111" s="169">
        <v>37</v>
      </c>
      <c r="C111" s="147"/>
      <c r="D111" s="169"/>
      <c r="E111" s="154">
        <v>0</v>
      </c>
      <c r="F111" s="154">
        <v>0</v>
      </c>
      <c r="G111" s="154">
        <v>0</v>
      </c>
      <c r="H111" s="154">
        <v>100</v>
      </c>
      <c r="I111" s="154">
        <v>1</v>
      </c>
      <c r="J111" s="154">
        <v>83</v>
      </c>
      <c r="K111" s="154">
        <v>1056</v>
      </c>
      <c r="L111" s="154">
        <v>3</v>
      </c>
      <c r="M111" s="154">
        <v>0</v>
      </c>
      <c r="N111" s="154">
        <v>0</v>
      </c>
      <c r="O111" s="154">
        <v>0</v>
      </c>
      <c r="P111" s="154">
        <v>0</v>
      </c>
      <c r="Q111" s="156">
        <v>181.5</v>
      </c>
    </row>
    <row r="112" spans="1:17" x14ac:dyDescent="0.35">
      <c r="A112" s="167"/>
      <c r="B112" s="170"/>
      <c r="C112" s="151" t="s">
        <v>141</v>
      </c>
      <c r="D112" s="170"/>
      <c r="E112" s="155"/>
      <c r="F112" s="155"/>
      <c r="G112" s="155"/>
      <c r="H112" s="155"/>
      <c r="I112" s="155"/>
      <c r="J112" s="155"/>
      <c r="K112" s="155"/>
      <c r="L112" s="155"/>
      <c r="M112" s="155"/>
      <c r="N112" s="155"/>
      <c r="O112" s="155"/>
      <c r="P112" s="155"/>
      <c r="Q112" s="157"/>
    </row>
    <row r="113" spans="1:17" ht="15" thickBot="1" x14ac:dyDescent="0.4">
      <c r="A113" s="168"/>
      <c r="B113" s="171"/>
      <c r="C113" s="148" t="s">
        <v>1054</v>
      </c>
      <c r="D113" s="171"/>
      <c r="E113" s="158"/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9"/>
    </row>
    <row r="114" spans="1:17" x14ac:dyDescent="0.35">
      <c r="A114" s="166"/>
      <c r="B114" s="169">
        <v>38</v>
      </c>
      <c r="C114" s="147"/>
      <c r="D114" s="169"/>
      <c r="E114" s="154">
        <v>0</v>
      </c>
      <c r="F114" s="154">
        <v>0</v>
      </c>
      <c r="G114" s="154">
        <v>0</v>
      </c>
      <c r="H114" s="154">
        <v>22</v>
      </c>
      <c r="I114" s="154">
        <v>0</v>
      </c>
      <c r="J114" s="154">
        <v>80</v>
      </c>
      <c r="K114" s="154">
        <v>998</v>
      </c>
      <c r="L114" s="154">
        <v>6</v>
      </c>
      <c r="M114" s="154">
        <v>0</v>
      </c>
      <c r="N114" s="154">
        <v>0</v>
      </c>
      <c r="O114" s="154">
        <v>0</v>
      </c>
      <c r="P114" s="154">
        <v>0</v>
      </c>
      <c r="Q114" s="156">
        <v>176.2</v>
      </c>
    </row>
    <row r="115" spans="1:17" x14ac:dyDescent="0.35">
      <c r="A115" s="167"/>
      <c r="B115" s="170"/>
      <c r="C115" s="151" t="s">
        <v>153</v>
      </c>
      <c r="D115" s="170"/>
      <c r="E115" s="155"/>
      <c r="F115" s="155"/>
      <c r="G115" s="155"/>
      <c r="H115" s="155"/>
      <c r="I115" s="155"/>
      <c r="J115" s="155"/>
      <c r="K115" s="155"/>
      <c r="L115" s="155"/>
      <c r="M115" s="155"/>
      <c r="N115" s="155"/>
      <c r="O115" s="155"/>
      <c r="P115" s="155"/>
      <c r="Q115" s="157"/>
    </row>
    <row r="116" spans="1:17" ht="15" thickBot="1" x14ac:dyDescent="0.4">
      <c r="A116" s="168"/>
      <c r="B116" s="171"/>
      <c r="C116" s="148" t="s">
        <v>1054</v>
      </c>
      <c r="D116" s="171"/>
      <c r="E116" s="158"/>
      <c r="F116" s="158"/>
      <c r="G116" s="158"/>
      <c r="H116" s="158"/>
      <c r="I116" s="158"/>
      <c r="J116" s="158"/>
      <c r="K116" s="158"/>
      <c r="L116" s="158"/>
      <c r="M116" s="158"/>
      <c r="N116" s="158"/>
      <c r="O116" s="158"/>
      <c r="P116" s="158"/>
      <c r="Q116" s="159"/>
    </row>
    <row r="117" spans="1:17" x14ac:dyDescent="0.35">
      <c r="A117" s="166"/>
      <c r="B117" s="169">
        <v>39</v>
      </c>
      <c r="C117" s="147"/>
      <c r="D117" s="169"/>
      <c r="E117" s="154">
        <v>0</v>
      </c>
      <c r="F117" s="154">
        <v>0</v>
      </c>
      <c r="G117" s="154">
        <v>0</v>
      </c>
      <c r="H117" s="154">
        <v>1099</v>
      </c>
      <c r="I117" s="154">
        <v>8</v>
      </c>
      <c r="J117" s="154">
        <v>36</v>
      </c>
      <c r="K117" s="154">
        <v>266</v>
      </c>
      <c r="L117" s="154">
        <v>2</v>
      </c>
      <c r="M117" s="154">
        <v>0</v>
      </c>
      <c r="N117" s="154">
        <v>0</v>
      </c>
      <c r="O117" s="154">
        <v>0</v>
      </c>
      <c r="P117" s="154">
        <v>0</v>
      </c>
      <c r="Q117" s="156">
        <v>206.1</v>
      </c>
    </row>
    <row r="118" spans="1:17" x14ac:dyDescent="0.35">
      <c r="A118" s="167"/>
      <c r="B118" s="170"/>
      <c r="C118" s="151" t="s">
        <v>148</v>
      </c>
      <c r="D118" s="170"/>
      <c r="E118" s="155"/>
      <c r="F118" s="155"/>
      <c r="G118" s="155"/>
      <c r="H118" s="155"/>
      <c r="I118" s="155"/>
      <c r="J118" s="155"/>
      <c r="K118" s="155"/>
      <c r="L118" s="155"/>
      <c r="M118" s="155"/>
      <c r="N118" s="155"/>
      <c r="O118" s="155"/>
      <c r="P118" s="155"/>
      <c r="Q118" s="157"/>
    </row>
    <row r="119" spans="1:17" ht="15" thickBot="1" x14ac:dyDescent="0.4">
      <c r="A119" s="168"/>
      <c r="B119" s="171"/>
      <c r="C119" s="148" t="s">
        <v>1049</v>
      </c>
      <c r="D119" s="171"/>
      <c r="E119" s="158"/>
      <c r="F119" s="158"/>
      <c r="G119" s="158"/>
      <c r="H119" s="158"/>
      <c r="I119" s="158"/>
      <c r="J119" s="158"/>
      <c r="K119" s="158"/>
      <c r="L119" s="158"/>
      <c r="M119" s="158"/>
      <c r="N119" s="158"/>
      <c r="O119" s="158"/>
      <c r="P119" s="158"/>
      <c r="Q119" s="159"/>
    </row>
    <row r="120" spans="1:17" x14ac:dyDescent="0.35">
      <c r="A120" s="166"/>
      <c r="B120" s="169">
        <v>40</v>
      </c>
      <c r="C120" s="147"/>
      <c r="D120" s="169"/>
      <c r="E120" s="154">
        <v>0</v>
      </c>
      <c r="F120" s="154">
        <v>0</v>
      </c>
      <c r="G120" s="154">
        <v>0</v>
      </c>
      <c r="H120" s="154">
        <v>945</v>
      </c>
      <c r="I120" s="154">
        <v>6</v>
      </c>
      <c r="J120" s="154">
        <v>39</v>
      </c>
      <c r="K120" s="154">
        <v>373</v>
      </c>
      <c r="L120" s="154">
        <v>3</v>
      </c>
      <c r="M120" s="154">
        <v>0</v>
      </c>
      <c r="N120" s="154">
        <v>0</v>
      </c>
      <c r="O120" s="154">
        <v>0</v>
      </c>
      <c r="P120" s="154">
        <v>0</v>
      </c>
      <c r="Q120" s="156">
        <v>204.9</v>
      </c>
    </row>
    <row r="121" spans="1:17" x14ac:dyDescent="0.35">
      <c r="A121" s="167"/>
      <c r="B121" s="170"/>
      <c r="C121" s="151" t="s">
        <v>67</v>
      </c>
      <c r="D121" s="170"/>
      <c r="E121" s="155"/>
      <c r="F121" s="155"/>
      <c r="G121" s="155"/>
      <c r="H121" s="155"/>
      <c r="I121" s="155"/>
      <c r="J121" s="155"/>
      <c r="K121" s="155"/>
      <c r="L121" s="155"/>
      <c r="M121" s="155"/>
      <c r="N121" s="155"/>
      <c r="O121" s="155"/>
      <c r="P121" s="155"/>
      <c r="Q121" s="157"/>
    </row>
    <row r="122" spans="1:17" ht="15" thickBot="1" x14ac:dyDescent="0.4">
      <c r="A122" s="168"/>
      <c r="B122" s="171"/>
      <c r="C122" s="148" t="s">
        <v>1070</v>
      </c>
      <c r="D122" s="171"/>
      <c r="E122" s="158"/>
      <c r="F122" s="158"/>
      <c r="G122" s="158"/>
      <c r="H122" s="158"/>
      <c r="I122" s="158"/>
      <c r="J122" s="158"/>
      <c r="K122" s="158"/>
      <c r="L122" s="158"/>
      <c r="M122" s="158"/>
      <c r="N122" s="158"/>
      <c r="O122" s="158"/>
      <c r="P122" s="158"/>
      <c r="Q122" s="159"/>
    </row>
    <row r="123" spans="1:17" x14ac:dyDescent="0.35">
      <c r="A123" s="166"/>
      <c r="B123" s="169">
        <v>41</v>
      </c>
      <c r="C123" s="147"/>
      <c r="D123" s="169"/>
      <c r="E123" s="154">
        <v>0</v>
      </c>
      <c r="F123" s="154">
        <v>0</v>
      </c>
      <c r="G123" s="154">
        <v>0</v>
      </c>
      <c r="H123" s="154">
        <v>0</v>
      </c>
      <c r="I123" s="154">
        <v>0</v>
      </c>
      <c r="J123" s="154">
        <v>66</v>
      </c>
      <c r="K123" s="154">
        <v>882</v>
      </c>
      <c r="L123" s="154">
        <v>8</v>
      </c>
      <c r="M123" s="154">
        <v>0</v>
      </c>
      <c r="N123" s="154">
        <v>0</v>
      </c>
      <c r="O123" s="154">
        <v>0</v>
      </c>
      <c r="P123" s="154">
        <v>0</v>
      </c>
      <c r="Q123" s="156">
        <v>166.9</v>
      </c>
    </row>
    <row r="124" spans="1:17" x14ac:dyDescent="0.35">
      <c r="A124" s="167"/>
      <c r="B124" s="170"/>
      <c r="C124" s="151" t="s">
        <v>433</v>
      </c>
      <c r="D124" s="170"/>
      <c r="E124" s="155"/>
      <c r="F124" s="155"/>
      <c r="G124" s="155"/>
      <c r="H124" s="155"/>
      <c r="I124" s="155"/>
      <c r="J124" s="155"/>
      <c r="K124" s="155"/>
      <c r="L124" s="155"/>
      <c r="M124" s="155"/>
      <c r="N124" s="155"/>
      <c r="O124" s="155"/>
      <c r="P124" s="155"/>
      <c r="Q124" s="157"/>
    </row>
    <row r="125" spans="1:17" ht="15" thickBot="1" x14ac:dyDescent="0.4">
      <c r="A125" s="168"/>
      <c r="B125" s="171"/>
      <c r="C125" s="148" t="s">
        <v>1110</v>
      </c>
      <c r="D125" s="171"/>
      <c r="E125" s="158"/>
      <c r="F125" s="158"/>
      <c r="G125" s="158"/>
      <c r="H125" s="158"/>
      <c r="I125" s="158"/>
      <c r="J125" s="158"/>
      <c r="K125" s="158"/>
      <c r="L125" s="158"/>
      <c r="M125" s="158"/>
      <c r="N125" s="158"/>
      <c r="O125" s="158"/>
      <c r="P125" s="158"/>
      <c r="Q125" s="159"/>
    </row>
    <row r="126" spans="1:17" x14ac:dyDescent="0.35">
      <c r="A126" s="166"/>
      <c r="B126" s="169">
        <v>42</v>
      </c>
      <c r="C126" s="147"/>
      <c r="D126" s="169"/>
      <c r="E126" s="154">
        <v>0</v>
      </c>
      <c r="F126" s="154">
        <v>0</v>
      </c>
      <c r="G126" s="154">
        <v>0</v>
      </c>
      <c r="H126" s="154">
        <v>0</v>
      </c>
      <c r="I126" s="154">
        <v>0</v>
      </c>
      <c r="J126" s="154">
        <v>75</v>
      </c>
      <c r="K126" s="154">
        <v>788</v>
      </c>
      <c r="L126" s="154">
        <v>6</v>
      </c>
      <c r="M126" s="154">
        <v>0</v>
      </c>
      <c r="N126" s="154">
        <v>0</v>
      </c>
      <c r="O126" s="154">
        <v>0</v>
      </c>
      <c r="P126" s="154">
        <v>0</v>
      </c>
      <c r="Q126" s="156">
        <v>154.80000000000001</v>
      </c>
    </row>
    <row r="127" spans="1:17" x14ac:dyDescent="0.35">
      <c r="A127" s="167"/>
      <c r="B127" s="170"/>
      <c r="C127" s="151" t="s">
        <v>133</v>
      </c>
      <c r="D127" s="170"/>
      <c r="E127" s="155"/>
      <c r="F127" s="155"/>
      <c r="G127" s="155"/>
      <c r="H127" s="155"/>
      <c r="I127" s="155"/>
      <c r="J127" s="155"/>
      <c r="K127" s="155"/>
      <c r="L127" s="155"/>
      <c r="M127" s="155"/>
      <c r="N127" s="155"/>
      <c r="O127" s="155"/>
      <c r="P127" s="155"/>
      <c r="Q127" s="157"/>
    </row>
    <row r="128" spans="1:17" ht="15" thickBot="1" x14ac:dyDescent="0.4">
      <c r="A128" s="168"/>
      <c r="B128" s="171"/>
      <c r="C128" s="148" t="s">
        <v>1047</v>
      </c>
      <c r="D128" s="171"/>
      <c r="E128" s="158"/>
      <c r="F128" s="158"/>
      <c r="G128" s="158"/>
      <c r="H128" s="158"/>
      <c r="I128" s="158"/>
      <c r="J128" s="158"/>
      <c r="K128" s="158"/>
      <c r="L128" s="158"/>
      <c r="M128" s="158"/>
      <c r="N128" s="158"/>
      <c r="O128" s="158"/>
      <c r="P128" s="158"/>
      <c r="Q128" s="159"/>
    </row>
    <row r="129" spans="1:17" x14ac:dyDescent="0.35">
      <c r="A129" s="166"/>
      <c r="B129" s="169">
        <v>43</v>
      </c>
      <c r="C129" s="147"/>
      <c r="D129" s="169"/>
      <c r="E129" s="154">
        <v>0</v>
      </c>
      <c r="F129" s="154">
        <v>0</v>
      </c>
      <c r="G129" s="154">
        <v>0</v>
      </c>
      <c r="H129" s="154">
        <v>869</v>
      </c>
      <c r="I129" s="154">
        <v>7</v>
      </c>
      <c r="J129" s="154">
        <v>45</v>
      </c>
      <c r="K129" s="154">
        <v>373</v>
      </c>
      <c r="L129" s="154">
        <v>2</v>
      </c>
      <c r="M129" s="154">
        <v>0</v>
      </c>
      <c r="N129" s="154">
        <v>0</v>
      </c>
      <c r="O129" s="154">
        <v>0</v>
      </c>
      <c r="P129" s="154">
        <v>0</v>
      </c>
      <c r="Q129" s="156">
        <v>200.7</v>
      </c>
    </row>
    <row r="130" spans="1:17" x14ac:dyDescent="0.35">
      <c r="A130" s="167"/>
      <c r="B130" s="170"/>
      <c r="C130" s="151" t="s">
        <v>1213</v>
      </c>
      <c r="D130" s="170"/>
      <c r="E130" s="155"/>
      <c r="F130" s="155"/>
      <c r="G130" s="155"/>
      <c r="H130" s="155"/>
      <c r="I130" s="155"/>
      <c r="J130" s="155"/>
      <c r="K130" s="155"/>
      <c r="L130" s="155"/>
      <c r="M130" s="155"/>
      <c r="N130" s="155"/>
      <c r="O130" s="155"/>
      <c r="P130" s="155"/>
      <c r="Q130" s="157"/>
    </row>
    <row r="131" spans="1:17" ht="15" thickBot="1" x14ac:dyDescent="0.4">
      <c r="A131" s="168"/>
      <c r="B131" s="171"/>
      <c r="C131" s="148" t="s">
        <v>1042</v>
      </c>
      <c r="D131" s="171"/>
      <c r="E131" s="158"/>
      <c r="F131" s="158"/>
      <c r="G131" s="158"/>
      <c r="H131" s="158"/>
      <c r="I131" s="158"/>
      <c r="J131" s="158"/>
      <c r="K131" s="158"/>
      <c r="L131" s="158"/>
      <c r="M131" s="158"/>
      <c r="N131" s="158"/>
      <c r="O131" s="158"/>
      <c r="P131" s="158"/>
      <c r="Q131" s="159"/>
    </row>
    <row r="132" spans="1:17" x14ac:dyDescent="0.35">
      <c r="A132" s="166"/>
      <c r="B132" s="169">
        <v>44</v>
      </c>
      <c r="C132" s="147"/>
      <c r="D132" s="169"/>
      <c r="E132" s="154">
        <v>0</v>
      </c>
      <c r="F132" s="154">
        <v>0</v>
      </c>
      <c r="G132" s="154">
        <v>0</v>
      </c>
      <c r="H132" s="154">
        <v>837</v>
      </c>
      <c r="I132" s="154">
        <v>7</v>
      </c>
      <c r="J132" s="154">
        <v>38</v>
      </c>
      <c r="K132" s="154">
        <v>292</v>
      </c>
      <c r="L132" s="154">
        <v>1</v>
      </c>
      <c r="M132" s="154">
        <v>0</v>
      </c>
      <c r="N132" s="154">
        <v>0</v>
      </c>
      <c r="O132" s="154">
        <v>0</v>
      </c>
      <c r="P132" s="154">
        <v>0</v>
      </c>
      <c r="Q132" s="156">
        <v>178.3</v>
      </c>
    </row>
    <row r="133" spans="1:17" x14ac:dyDescent="0.35">
      <c r="A133" s="167"/>
      <c r="B133" s="170"/>
      <c r="C133" s="151" t="s">
        <v>73</v>
      </c>
      <c r="D133" s="170"/>
      <c r="E133" s="155"/>
      <c r="F133" s="155"/>
      <c r="G133" s="155"/>
      <c r="H133" s="155"/>
      <c r="I133" s="155"/>
      <c r="J133" s="155"/>
      <c r="K133" s="155"/>
      <c r="L133" s="155"/>
      <c r="M133" s="155"/>
      <c r="N133" s="155"/>
      <c r="O133" s="155"/>
      <c r="P133" s="155"/>
      <c r="Q133" s="157"/>
    </row>
    <row r="134" spans="1:17" ht="15" thickBot="1" x14ac:dyDescent="0.4">
      <c r="A134" s="168"/>
      <c r="B134" s="171"/>
      <c r="C134" s="148" t="s">
        <v>1035</v>
      </c>
      <c r="D134" s="171"/>
      <c r="E134" s="158"/>
      <c r="F134" s="158"/>
      <c r="G134" s="158"/>
      <c r="H134" s="158"/>
      <c r="I134" s="158"/>
      <c r="J134" s="158"/>
      <c r="K134" s="158"/>
      <c r="L134" s="158"/>
      <c r="M134" s="158"/>
      <c r="N134" s="158"/>
      <c r="O134" s="158"/>
      <c r="P134" s="158"/>
      <c r="Q134" s="159"/>
    </row>
    <row r="135" spans="1:17" x14ac:dyDescent="0.35">
      <c r="A135" s="166"/>
      <c r="B135" s="169">
        <v>45</v>
      </c>
      <c r="C135" s="147"/>
      <c r="D135" s="169"/>
      <c r="E135" s="154">
        <v>0</v>
      </c>
      <c r="F135" s="154">
        <v>0</v>
      </c>
      <c r="G135" s="154">
        <v>0</v>
      </c>
      <c r="H135" s="154">
        <v>857</v>
      </c>
      <c r="I135" s="154">
        <v>7</v>
      </c>
      <c r="J135" s="154">
        <v>28</v>
      </c>
      <c r="K135" s="154">
        <v>237</v>
      </c>
      <c r="L135" s="154">
        <v>1</v>
      </c>
      <c r="M135" s="154">
        <v>0</v>
      </c>
      <c r="N135" s="154">
        <v>0</v>
      </c>
      <c r="O135" s="154">
        <v>0</v>
      </c>
      <c r="P135" s="154">
        <v>0</v>
      </c>
      <c r="Q135" s="156">
        <v>170.1</v>
      </c>
    </row>
    <row r="136" spans="1:17" x14ac:dyDescent="0.35">
      <c r="A136" s="167"/>
      <c r="B136" s="170"/>
      <c r="C136" s="151" t="s">
        <v>1233</v>
      </c>
      <c r="D136" s="170"/>
      <c r="E136" s="155"/>
      <c r="F136" s="155"/>
      <c r="G136" s="155"/>
      <c r="H136" s="155"/>
      <c r="I136" s="155"/>
      <c r="J136" s="155"/>
      <c r="K136" s="155"/>
      <c r="L136" s="155"/>
      <c r="M136" s="155"/>
      <c r="N136" s="155"/>
      <c r="O136" s="155"/>
      <c r="P136" s="155"/>
      <c r="Q136" s="157"/>
    </row>
    <row r="137" spans="1:17" ht="15" thickBot="1" x14ac:dyDescent="0.4">
      <c r="A137" s="168"/>
      <c r="B137" s="171"/>
      <c r="C137" s="148" t="s">
        <v>1050</v>
      </c>
      <c r="D137" s="171"/>
      <c r="E137" s="158"/>
      <c r="F137" s="158"/>
      <c r="G137" s="158"/>
      <c r="H137" s="158"/>
      <c r="I137" s="158"/>
      <c r="J137" s="158"/>
      <c r="K137" s="158"/>
      <c r="L137" s="158"/>
      <c r="M137" s="158"/>
      <c r="N137" s="158"/>
      <c r="O137" s="158"/>
      <c r="P137" s="158"/>
      <c r="Q137" s="159"/>
    </row>
    <row r="138" spans="1:17" x14ac:dyDescent="0.35">
      <c r="A138" s="166"/>
      <c r="B138" s="169">
        <v>46</v>
      </c>
      <c r="C138" s="147"/>
      <c r="D138" s="169"/>
      <c r="E138" s="154">
        <v>0</v>
      </c>
      <c r="F138" s="154">
        <v>0</v>
      </c>
      <c r="G138" s="154">
        <v>0</v>
      </c>
      <c r="H138" s="154">
        <v>701</v>
      </c>
      <c r="I138" s="154">
        <v>6</v>
      </c>
      <c r="J138" s="154">
        <v>48</v>
      </c>
      <c r="K138" s="154">
        <v>371</v>
      </c>
      <c r="L138" s="154">
        <v>2</v>
      </c>
      <c r="M138" s="154">
        <v>0</v>
      </c>
      <c r="N138" s="154">
        <v>0</v>
      </c>
      <c r="O138" s="154">
        <v>0</v>
      </c>
      <c r="P138" s="154">
        <v>0</v>
      </c>
      <c r="Q138" s="156">
        <v>176.5</v>
      </c>
    </row>
    <row r="139" spans="1:17" x14ac:dyDescent="0.35">
      <c r="A139" s="167"/>
      <c r="B139" s="170"/>
      <c r="C139" s="151" t="s">
        <v>58</v>
      </c>
      <c r="D139" s="170"/>
      <c r="E139" s="155"/>
      <c r="F139" s="155"/>
      <c r="G139" s="155"/>
      <c r="H139" s="155"/>
      <c r="I139" s="155"/>
      <c r="J139" s="155"/>
      <c r="K139" s="155"/>
      <c r="L139" s="155"/>
      <c r="M139" s="155"/>
      <c r="N139" s="155"/>
      <c r="O139" s="155"/>
      <c r="P139" s="155"/>
      <c r="Q139" s="157"/>
    </row>
    <row r="140" spans="1:17" ht="15" thickBot="1" x14ac:dyDescent="0.4">
      <c r="A140" s="168"/>
      <c r="B140" s="171"/>
      <c r="C140" s="148" t="s">
        <v>1068</v>
      </c>
      <c r="D140" s="171"/>
      <c r="E140" s="158"/>
      <c r="F140" s="158"/>
      <c r="G140" s="158"/>
      <c r="H140" s="158"/>
      <c r="I140" s="158"/>
      <c r="J140" s="158"/>
      <c r="K140" s="158"/>
      <c r="L140" s="158"/>
      <c r="M140" s="158"/>
      <c r="N140" s="158"/>
      <c r="O140" s="158"/>
      <c r="P140" s="158"/>
      <c r="Q140" s="159"/>
    </row>
    <row r="141" spans="1:17" x14ac:dyDescent="0.35">
      <c r="A141" s="166"/>
      <c r="B141" s="169">
        <v>47</v>
      </c>
      <c r="C141" s="147"/>
      <c r="D141" s="169"/>
      <c r="E141" s="154">
        <v>0</v>
      </c>
      <c r="F141" s="154">
        <v>0</v>
      </c>
      <c r="G141" s="154">
        <v>0</v>
      </c>
      <c r="H141" s="154">
        <v>773</v>
      </c>
      <c r="I141" s="154">
        <v>4</v>
      </c>
      <c r="J141" s="154">
        <v>56</v>
      </c>
      <c r="K141" s="154">
        <v>413</v>
      </c>
      <c r="L141" s="154">
        <v>2</v>
      </c>
      <c r="M141" s="154">
        <v>0</v>
      </c>
      <c r="N141" s="154">
        <v>0</v>
      </c>
      <c r="O141" s="154">
        <v>0</v>
      </c>
      <c r="P141" s="154">
        <v>0</v>
      </c>
      <c r="Q141" s="156">
        <v>178.3</v>
      </c>
    </row>
    <row r="142" spans="1:17" x14ac:dyDescent="0.35">
      <c r="A142" s="167"/>
      <c r="B142" s="170"/>
      <c r="C142" s="151" t="s">
        <v>70</v>
      </c>
      <c r="D142" s="170"/>
      <c r="E142" s="155"/>
      <c r="F142" s="155"/>
      <c r="G142" s="155"/>
      <c r="H142" s="155"/>
      <c r="I142" s="155"/>
      <c r="J142" s="155"/>
      <c r="K142" s="155"/>
      <c r="L142" s="155"/>
      <c r="M142" s="155"/>
      <c r="N142" s="155"/>
      <c r="O142" s="155"/>
      <c r="P142" s="155"/>
      <c r="Q142" s="157"/>
    </row>
    <row r="143" spans="1:17" ht="15" thickBot="1" x14ac:dyDescent="0.4">
      <c r="A143" s="168"/>
      <c r="B143" s="171"/>
      <c r="C143" s="148" t="s">
        <v>1024</v>
      </c>
      <c r="D143" s="171"/>
      <c r="E143" s="158"/>
      <c r="F143" s="158"/>
      <c r="G143" s="158"/>
      <c r="H143" s="158"/>
      <c r="I143" s="158"/>
      <c r="J143" s="158"/>
      <c r="K143" s="158"/>
      <c r="L143" s="158"/>
      <c r="M143" s="158"/>
      <c r="N143" s="158"/>
      <c r="O143" s="158"/>
      <c r="P143" s="158"/>
      <c r="Q143" s="159"/>
    </row>
    <row r="144" spans="1:17" x14ac:dyDescent="0.35">
      <c r="A144" s="166"/>
      <c r="B144" s="169">
        <v>48</v>
      </c>
      <c r="C144" s="147"/>
      <c r="D144" s="169"/>
      <c r="E144" s="154">
        <v>0</v>
      </c>
      <c r="F144" s="154">
        <v>0</v>
      </c>
      <c r="G144" s="154">
        <v>0</v>
      </c>
      <c r="H144" s="154">
        <v>820</v>
      </c>
      <c r="I144" s="154">
        <v>7</v>
      </c>
      <c r="J144" s="154">
        <v>23</v>
      </c>
      <c r="K144" s="154">
        <v>185</v>
      </c>
      <c r="L144" s="154">
        <v>1</v>
      </c>
      <c r="M144" s="154">
        <v>0</v>
      </c>
      <c r="N144" s="154">
        <v>0</v>
      </c>
      <c r="O144" s="154">
        <v>0</v>
      </c>
      <c r="P144" s="154">
        <v>0</v>
      </c>
      <c r="Q144" s="156">
        <v>159.9</v>
      </c>
    </row>
    <row r="145" spans="1:17" x14ac:dyDescent="0.35">
      <c r="A145" s="167"/>
      <c r="B145" s="170"/>
      <c r="C145" s="151" t="s">
        <v>1240</v>
      </c>
      <c r="D145" s="170"/>
      <c r="E145" s="155"/>
      <c r="F145" s="155"/>
      <c r="G145" s="155"/>
      <c r="H145" s="155"/>
      <c r="I145" s="155"/>
      <c r="J145" s="155"/>
      <c r="K145" s="155"/>
      <c r="L145" s="155"/>
      <c r="M145" s="155"/>
      <c r="N145" s="155"/>
      <c r="O145" s="155"/>
      <c r="P145" s="155"/>
      <c r="Q145" s="157"/>
    </row>
    <row r="146" spans="1:17" ht="15" thickBot="1" x14ac:dyDescent="0.4">
      <c r="A146" s="168"/>
      <c r="B146" s="171"/>
      <c r="C146" s="148" t="s">
        <v>1032</v>
      </c>
      <c r="D146" s="171"/>
      <c r="E146" s="158"/>
      <c r="F146" s="158"/>
      <c r="G146" s="158"/>
      <c r="H146" s="158"/>
      <c r="I146" s="158"/>
      <c r="J146" s="158"/>
      <c r="K146" s="158"/>
      <c r="L146" s="158"/>
      <c r="M146" s="158"/>
      <c r="N146" s="158"/>
      <c r="O146" s="158"/>
      <c r="P146" s="158"/>
      <c r="Q146" s="159"/>
    </row>
    <row r="147" spans="1:17" x14ac:dyDescent="0.35">
      <c r="A147" s="166"/>
      <c r="B147" s="169">
        <v>49</v>
      </c>
      <c r="C147" s="147"/>
      <c r="D147" s="169"/>
      <c r="E147" s="154">
        <v>0</v>
      </c>
      <c r="F147" s="154">
        <v>0</v>
      </c>
      <c r="G147" s="154">
        <v>0</v>
      </c>
      <c r="H147" s="154">
        <v>757</v>
      </c>
      <c r="I147" s="154">
        <v>5</v>
      </c>
      <c r="J147" s="154">
        <v>38</v>
      </c>
      <c r="K147" s="154">
        <v>311</v>
      </c>
      <c r="L147" s="154">
        <v>1</v>
      </c>
      <c r="M147" s="154">
        <v>0</v>
      </c>
      <c r="N147" s="154">
        <v>0</v>
      </c>
      <c r="O147" s="154">
        <v>0</v>
      </c>
      <c r="P147" s="154">
        <v>0</v>
      </c>
      <c r="Q147" s="156">
        <v>161.5</v>
      </c>
    </row>
    <row r="148" spans="1:17" x14ac:dyDescent="0.35">
      <c r="A148" s="167"/>
      <c r="B148" s="170"/>
      <c r="C148" s="151" t="s">
        <v>1236</v>
      </c>
      <c r="D148" s="170"/>
      <c r="E148" s="155"/>
      <c r="F148" s="155"/>
      <c r="G148" s="155"/>
      <c r="H148" s="155"/>
      <c r="I148" s="155"/>
      <c r="J148" s="155"/>
      <c r="K148" s="155"/>
      <c r="L148" s="155"/>
      <c r="M148" s="155"/>
      <c r="N148" s="155"/>
      <c r="O148" s="155"/>
      <c r="P148" s="155"/>
      <c r="Q148" s="157"/>
    </row>
    <row r="149" spans="1:17" ht="15" thickBot="1" x14ac:dyDescent="0.4">
      <c r="A149" s="168"/>
      <c r="B149" s="171"/>
      <c r="C149" s="148" t="s">
        <v>1040</v>
      </c>
      <c r="D149" s="171"/>
      <c r="E149" s="158"/>
      <c r="F149" s="158"/>
      <c r="G149" s="158"/>
      <c r="H149" s="158"/>
      <c r="I149" s="158"/>
      <c r="J149" s="158"/>
      <c r="K149" s="158"/>
      <c r="L149" s="158"/>
      <c r="M149" s="158"/>
      <c r="N149" s="158"/>
      <c r="O149" s="158"/>
      <c r="P149" s="158"/>
      <c r="Q149" s="159"/>
    </row>
    <row r="150" spans="1:17" x14ac:dyDescent="0.35">
      <c r="A150" s="166"/>
      <c r="B150" s="169">
        <v>50</v>
      </c>
      <c r="C150" s="147"/>
      <c r="D150" s="169"/>
      <c r="E150" s="154">
        <v>0</v>
      </c>
      <c r="F150" s="154">
        <v>0</v>
      </c>
      <c r="G150" s="154">
        <v>0</v>
      </c>
      <c r="H150" s="154">
        <v>0</v>
      </c>
      <c r="I150" s="154">
        <v>0</v>
      </c>
      <c r="J150" s="154">
        <v>74</v>
      </c>
      <c r="K150" s="154">
        <v>1063</v>
      </c>
      <c r="L150" s="154">
        <v>5</v>
      </c>
      <c r="M150" s="154">
        <v>0</v>
      </c>
      <c r="N150" s="154">
        <v>0</v>
      </c>
      <c r="O150" s="154">
        <v>0</v>
      </c>
      <c r="P150" s="154">
        <v>0</v>
      </c>
      <c r="Q150" s="156">
        <v>172.9</v>
      </c>
    </row>
    <row r="151" spans="1:17" x14ac:dyDescent="0.35">
      <c r="A151" s="167"/>
      <c r="B151" s="170"/>
      <c r="C151" s="151" t="s">
        <v>684</v>
      </c>
      <c r="D151" s="170"/>
      <c r="E151" s="155"/>
      <c r="F151" s="155"/>
      <c r="G151" s="155"/>
      <c r="H151" s="155"/>
      <c r="I151" s="155"/>
      <c r="J151" s="155"/>
      <c r="K151" s="155"/>
      <c r="L151" s="155"/>
      <c r="M151" s="155"/>
      <c r="N151" s="155"/>
      <c r="O151" s="155"/>
      <c r="P151" s="155"/>
      <c r="Q151" s="157"/>
    </row>
    <row r="152" spans="1:17" ht="15" thickBot="1" x14ac:dyDescent="0.4">
      <c r="A152" s="168"/>
      <c r="B152" s="171"/>
      <c r="C152" s="148" t="s">
        <v>1153</v>
      </c>
      <c r="D152" s="171"/>
      <c r="E152" s="158"/>
      <c r="F152" s="158"/>
      <c r="G152" s="158"/>
      <c r="H152" s="158"/>
      <c r="I152" s="158"/>
      <c r="J152" s="158"/>
      <c r="K152" s="158"/>
      <c r="L152" s="158"/>
      <c r="M152" s="158"/>
      <c r="N152" s="158"/>
      <c r="O152" s="158"/>
      <c r="P152" s="158"/>
      <c r="Q152" s="159"/>
    </row>
    <row r="153" spans="1:17" x14ac:dyDescent="0.35">
      <c r="A153" s="166"/>
      <c r="B153" s="169">
        <v>51</v>
      </c>
      <c r="C153" s="147"/>
      <c r="D153" s="169"/>
      <c r="E153" s="154">
        <v>0</v>
      </c>
      <c r="F153" s="154">
        <v>0</v>
      </c>
      <c r="G153" s="154">
        <v>0</v>
      </c>
      <c r="H153" s="154">
        <v>0</v>
      </c>
      <c r="I153" s="154">
        <v>0</v>
      </c>
      <c r="J153" s="154">
        <v>72</v>
      </c>
      <c r="K153" s="154">
        <v>1024</v>
      </c>
      <c r="L153" s="154">
        <v>6</v>
      </c>
      <c r="M153" s="154">
        <v>0</v>
      </c>
      <c r="N153" s="154">
        <v>0</v>
      </c>
      <c r="O153" s="154">
        <v>0</v>
      </c>
      <c r="P153" s="154">
        <v>0</v>
      </c>
      <c r="Q153" s="156">
        <v>176.9</v>
      </c>
    </row>
    <row r="154" spans="1:17" x14ac:dyDescent="0.35">
      <c r="A154" s="167"/>
      <c r="B154" s="170"/>
      <c r="C154" s="151" t="s">
        <v>107</v>
      </c>
      <c r="D154" s="170"/>
      <c r="E154" s="155"/>
      <c r="F154" s="155"/>
      <c r="G154" s="155"/>
      <c r="H154" s="155"/>
      <c r="I154" s="155"/>
      <c r="J154" s="155"/>
      <c r="K154" s="155"/>
      <c r="L154" s="155"/>
      <c r="M154" s="155"/>
      <c r="N154" s="155"/>
      <c r="O154" s="155"/>
      <c r="P154" s="155"/>
      <c r="Q154" s="157"/>
    </row>
    <row r="155" spans="1:17" ht="15" thickBot="1" x14ac:dyDescent="0.4">
      <c r="A155" s="168"/>
      <c r="B155" s="171"/>
      <c r="C155" s="148" t="s">
        <v>1045</v>
      </c>
      <c r="D155" s="171"/>
      <c r="E155" s="158"/>
      <c r="F155" s="158"/>
      <c r="G155" s="158"/>
      <c r="H155" s="158"/>
      <c r="I155" s="158"/>
      <c r="J155" s="158"/>
      <c r="K155" s="158"/>
      <c r="L155" s="158"/>
      <c r="M155" s="158"/>
      <c r="N155" s="158"/>
      <c r="O155" s="158"/>
      <c r="P155" s="158"/>
      <c r="Q155" s="159"/>
    </row>
    <row r="156" spans="1:17" x14ac:dyDescent="0.35">
      <c r="A156" s="166"/>
      <c r="B156" s="169">
        <v>52</v>
      </c>
      <c r="C156" s="147"/>
      <c r="D156" s="169"/>
      <c r="E156" s="154">
        <v>0</v>
      </c>
      <c r="F156" s="154">
        <v>0</v>
      </c>
      <c r="G156" s="154">
        <v>0</v>
      </c>
      <c r="H156" s="154">
        <v>25</v>
      </c>
      <c r="I156" s="154">
        <v>0</v>
      </c>
      <c r="J156" s="154">
        <v>84</v>
      </c>
      <c r="K156" s="154">
        <v>984</v>
      </c>
      <c r="L156" s="154">
        <v>5</v>
      </c>
      <c r="M156" s="154">
        <v>0</v>
      </c>
      <c r="N156" s="154">
        <v>0</v>
      </c>
      <c r="O156" s="154">
        <v>0</v>
      </c>
      <c r="P156" s="154">
        <v>0</v>
      </c>
      <c r="Q156" s="156">
        <v>171.4</v>
      </c>
    </row>
    <row r="157" spans="1:17" x14ac:dyDescent="0.35">
      <c r="A157" s="167"/>
      <c r="B157" s="170"/>
      <c r="C157" s="151" t="s">
        <v>114</v>
      </c>
      <c r="D157" s="170"/>
      <c r="E157" s="155"/>
      <c r="F157" s="155"/>
      <c r="G157" s="155"/>
      <c r="H157" s="155"/>
      <c r="I157" s="155"/>
      <c r="J157" s="155"/>
      <c r="K157" s="155"/>
      <c r="L157" s="155"/>
      <c r="M157" s="155"/>
      <c r="N157" s="155"/>
      <c r="O157" s="155"/>
      <c r="P157" s="155"/>
      <c r="Q157" s="157"/>
    </row>
    <row r="158" spans="1:17" ht="15" thickBot="1" x14ac:dyDescent="0.4">
      <c r="A158" s="168"/>
      <c r="B158" s="171"/>
      <c r="C158" s="148" t="s">
        <v>1038</v>
      </c>
      <c r="D158" s="171"/>
      <c r="E158" s="158"/>
      <c r="F158" s="158"/>
      <c r="G158" s="158"/>
      <c r="H158" s="158"/>
      <c r="I158" s="158"/>
      <c r="J158" s="158"/>
      <c r="K158" s="158"/>
      <c r="L158" s="158"/>
      <c r="M158" s="158"/>
      <c r="N158" s="158"/>
      <c r="O158" s="158"/>
      <c r="P158" s="158"/>
      <c r="Q158" s="159"/>
    </row>
    <row r="159" spans="1:17" x14ac:dyDescent="0.35">
      <c r="A159" s="166"/>
      <c r="B159" s="169">
        <v>53</v>
      </c>
      <c r="C159" s="147"/>
      <c r="D159" s="169"/>
      <c r="E159" s="154">
        <v>0</v>
      </c>
      <c r="F159" s="154">
        <v>0</v>
      </c>
      <c r="G159" s="154">
        <v>0</v>
      </c>
      <c r="H159" s="154">
        <v>11</v>
      </c>
      <c r="I159" s="154">
        <v>0</v>
      </c>
      <c r="J159" s="154">
        <v>63</v>
      </c>
      <c r="K159" s="154">
        <v>911</v>
      </c>
      <c r="L159" s="154">
        <v>8</v>
      </c>
      <c r="M159" s="154">
        <v>0</v>
      </c>
      <c r="N159" s="154">
        <v>0</v>
      </c>
      <c r="O159" s="154">
        <v>0</v>
      </c>
      <c r="P159" s="154">
        <v>0</v>
      </c>
      <c r="Q159" s="156">
        <v>168.8</v>
      </c>
    </row>
    <row r="160" spans="1:17" x14ac:dyDescent="0.35">
      <c r="A160" s="167"/>
      <c r="B160" s="170"/>
      <c r="C160" s="151" t="s">
        <v>1135</v>
      </c>
      <c r="D160" s="170"/>
      <c r="E160" s="155"/>
      <c r="F160" s="155"/>
      <c r="G160" s="155"/>
      <c r="H160" s="155"/>
      <c r="I160" s="155"/>
      <c r="J160" s="155"/>
      <c r="K160" s="155"/>
      <c r="L160" s="155"/>
      <c r="M160" s="155"/>
      <c r="N160" s="155"/>
      <c r="O160" s="155"/>
      <c r="P160" s="155"/>
      <c r="Q160" s="157"/>
    </row>
    <row r="161" spans="1:17" ht="15" thickBot="1" x14ac:dyDescent="0.4">
      <c r="A161" s="168"/>
      <c r="B161" s="171"/>
      <c r="C161" s="148" t="s">
        <v>1060</v>
      </c>
      <c r="D161" s="171"/>
      <c r="E161" s="158"/>
      <c r="F161" s="158"/>
      <c r="G161" s="158"/>
      <c r="H161" s="158"/>
      <c r="I161" s="158"/>
      <c r="J161" s="158"/>
      <c r="K161" s="158"/>
      <c r="L161" s="158"/>
      <c r="M161" s="158"/>
      <c r="N161" s="158"/>
      <c r="O161" s="158"/>
      <c r="P161" s="158"/>
      <c r="Q161" s="159"/>
    </row>
    <row r="162" spans="1:17" x14ac:dyDescent="0.35">
      <c r="A162" s="166"/>
      <c r="B162" s="169">
        <v>54</v>
      </c>
      <c r="C162" s="147"/>
      <c r="D162" s="169"/>
      <c r="E162" s="154">
        <v>0</v>
      </c>
      <c r="F162" s="154">
        <v>0</v>
      </c>
      <c r="G162" s="154">
        <v>0</v>
      </c>
      <c r="H162" s="154">
        <v>0</v>
      </c>
      <c r="I162" s="154">
        <v>0</v>
      </c>
      <c r="J162" s="154">
        <v>75</v>
      </c>
      <c r="K162" s="154">
        <v>980</v>
      </c>
      <c r="L162" s="154">
        <v>6</v>
      </c>
      <c r="M162" s="154">
        <v>0</v>
      </c>
      <c r="N162" s="154">
        <v>0</v>
      </c>
      <c r="O162" s="154">
        <v>0</v>
      </c>
      <c r="P162" s="154">
        <v>0</v>
      </c>
      <c r="Q162" s="156">
        <v>172.6</v>
      </c>
    </row>
    <row r="163" spans="1:17" x14ac:dyDescent="0.35">
      <c r="A163" s="167"/>
      <c r="B163" s="170"/>
      <c r="C163" s="151" t="s">
        <v>200</v>
      </c>
      <c r="D163" s="170"/>
      <c r="E163" s="155"/>
      <c r="F163" s="155"/>
      <c r="G163" s="155"/>
      <c r="H163" s="155"/>
      <c r="I163" s="155"/>
      <c r="J163" s="155"/>
      <c r="K163" s="155"/>
      <c r="L163" s="155"/>
      <c r="M163" s="155"/>
      <c r="N163" s="155"/>
      <c r="O163" s="155"/>
      <c r="P163" s="155"/>
      <c r="Q163" s="157"/>
    </row>
    <row r="164" spans="1:17" ht="15" thickBot="1" x14ac:dyDescent="0.4">
      <c r="A164" s="168"/>
      <c r="B164" s="171"/>
      <c r="C164" s="148" t="s">
        <v>1029</v>
      </c>
      <c r="D164" s="171"/>
      <c r="E164" s="158"/>
      <c r="F164" s="158"/>
      <c r="G164" s="158"/>
      <c r="H164" s="158"/>
      <c r="I164" s="158"/>
      <c r="J164" s="158"/>
      <c r="K164" s="158"/>
      <c r="L164" s="158"/>
      <c r="M164" s="158"/>
      <c r="N164" s="158"/>
      <c r="O164" s="158"/>
      <c r="P164" s="158"/>
      <c r="Q164" s="159"/>
    </row>
    <row r="165" spans="1:17" x14ac:dyDescent="0.35">
      <c r="A165" s="166"/>
      <c r="B165" s="169">
        <v>55</v>
      </c>
      <c r="C165" s="147"/>
      <c r="D165" s="169"/>
      <c r="E165" s="154">
        <v>0</v>
      </c>
      <c r="F165" s="154">
        <v>0</v>
      </c>
      <c r="G165" s="154">
        <v>0</v>
      </c>
      <c r="H165" s="154">
        <v>8</v>
      </c>
      <c r="I165" s="154">
        <v>0</v>
      </c>
      <c r="J165" s="154">
        <v>75</v>
      </c>
      <c r="K165" s="154">
        <v>999</v>
      </c>
      <c r="L165" s="154">
        <v>5</v>
      </c>
      <c r="M165" s="154">
        <v>0</v>
      </c>
      <c r="N165" s="154">
        <v>0</v>
      </c>
      <c r="O165" s="154">
        <v>0</v>
      </c>
      <c r="P165" s="154">
        <v>0</v>
      </c>
      <c r="Q165" s="156">
        <v>169.5</v>
      </c>
    </row>
    <row r="166" spans="1:17" x14ac:dyDescent="0.35">
      <c r="A166" s="167"/>
      <c r="B166" s="170"/>
      <c r="C166" s="151" t="s">
        <v>1384</v>
      </c>
      <c r="D166" s="170"/>
      <c r="E166" s="155"/>
      <c r="F166" s="155"/>
      <c r="G166" s="155"/>
      <c r="H166" s="155"/>
      <c r="I166" s="155"/>
      <c r="J166" s="155"/>
      <c r="K166" s="155"/>
      <c r="L166" s="155"/>
      <c r="M166" s="155"/>
      <c r="N166" s="155"/>
      <c r="O166" s="155"/>
      <c r="P166" s="155"/>
      <c r="Q166" s="157"/>
    </row>
    <row r="167" spans="1:17" ht="15" thickBot="1" x14ac:dyDescent="0.4">
      <c r="A167" s="168"/>
      <c r="B167" s="171"/>
      <c r="C167" s="148" t="s">
        <v>1080</v>
      </c>
      <c r="D167" s="171"/>
      <c r="E167" s="158"/>
      <c r="F167" s="158"/>
      <c r="G167" s="158"/>
      <c r="H167" s="158"/>
      <c r="I167" s="158"/>
      <c r="J167" s="158"/>
      <c r="K167" s="158"/>
      <c r="L167" s="158"/>
      <c r="M167" s="158"/>
      <c r="N167" s="158"/>
      <c r="O167" s="158"/>
      <c r="P167" s="158"/>
      <c r="Q167" s="159"/>
    </row>
    <row r="168" spans="1:17" x14ac:dyDescent="0.35">
      <c r="A168" s="166"/>
      <c r="B168" s="169">
        <v>56</v>
      </c>
      <c r="C168" s="147"/>
      <c r="D168" s="169"/>
      <c r="E168" s="154">
        <v>0</v>
      </c>
      <c r="F168" s="154">
        <v>0</v>
      </c>
      <c r="G168" s="154">
        <v>0</v>
      </c>
      <c r="H168" s="154">
        <v>808</v>
      </c>
      <c r="I168" s="154">
        <v>7</v>
      </c>
      <c r="J168" s="154">
        <v>18</v>
      </c>
      <c r="K168" s="154">
        <v>159</v>
      </c>
      <c r="L168" s="154">
        <v>1</v>
      </c>
      <c r="M168" s="154">
        <v>0</v>
      </c>
      <c r="N168" s="154">
        <v>0</v>
      </c>
      <c r="O168" s="154">
        <v>0</v>
      </c>
      <c r="P168" s="154">
        <v>0</v>
      </c>
      <c r="Q168" s="156">
        <v>151.69999999999999</v>
      </c>
    </row>
    <row r="169" spans="1:17" x14ac:dyDescent="0.35">
      <c r="A169" s="167"/>
      <c r="B169" s="170"/>
      <c r="C169" s="151" t="s">
        <v>931</v>
      </c>
      <c r="D169" s="170"/>
      <c r="E169" s="155"/>
      <c r="F169" s="155"/>
      <c r="G169" s="155"/>
      <c r="H169" s="155"/>
      <c r="I169" s="155"/>
      <c r="J169" s="155"/>
      <c r="K169" s="155"/>
      <c r="L169" s="155"/>
      <c r="M169" s="155"/>
      <c r="N169" s="155"/>
      <c r="O169" s="155"/>
      <c r="P169" s="155"/>
      <c r="Q169" s="157"/>
    </row>
    <row r="170" spans="1:17" ht="15" thickBot="1" x14ac:dyDescent="0.4">
      <c r="A170" s="168"/>
      <c r="B170" s="171"/>
      <c r="C170" s="148" t="s">
        <v>1084</v>
      </c>
      <c r="D170" s="171"/>
      <c r="E170" s="158"/>
      <c r="F170" s="158"/>
      <c r="G170" s="158"/>
      <c r="H170" s="158"/>
      <c r="I170" s="158"/>
      <c r="J170" s="158"/>
      <c r="K170" s="158"/>
      <c r="L170" s="158"/>
      <c r="M170" s="158"/>
      <c r="N170" s="158"/>
      <c r="O170" s="158"/>
      <c r="P170" s="158"/>
      <c r="Q170" s="159"/>
    </row>
    <row r="171" spans="1:17" x14ac:dyDescent="0.35">
      <c r="A171" s="166"/>
      <c r="B171" s="169">
        <v>57</v>
      </c>
      <c r="C171" s="147"/>
      <c r="D171" s="169"/>
      <c r="E171" s="154">
        <v>0</v>
      </c>
      <c r="F171" s="154">
        <v>0</v>
      </c>
      <c r="G171" s="154">
        <v>0</v>
      </c>
      <c r="H171" s="154">
        <v>852</v>
      </c>
      <c r="I171" s="154">
        <v>5</v>
      </c>
      <c r="J171" s="154">
        <v>26</v>
      </c>
      <c r="K171" s="154">
        <v>216</v>
      </c>
      <c r="L171" s="154">
        <v>1</v>
      </c>
      <c r="M171" s="154">
        <v>0</v>
      </c>
      <c r="N171" s="154">
        <v>0</v>
      </c>
      <c r="O171" s="154">
        <v>0</v>
      </c>
      <c r="P171" s="154">
        <v>0</v>
      </c>
      <c r="Q171" s="156">
        <v>156.4</v>
      </c>
    </row>
    <row r="172" spans="1:17" x14ac:dyDescent="0.35">
      <c r="A172" s="167"/>
      <c r="B172" s="170"/>
      <c r="C172" s="151" t="s">
        <v>255</v>
      </c>
      <c r="D172" s="170"/>
      <c r="E172" s="155"/>
      <c r="F172" s="155"/>
      <c r="G172" s="155"/>
      <c r="H172" s="155"/>
      <c r="I172" s="155"/>
      <c r="J172" s="155"/>
      <c r="K172" s="155"/>
      <c r="L172" s="155"/>
      <c r="M172" s="155"/>
      <c r="N172" s="155"/>
      <c r="O172" s="155"/>
      <c r="P172" s="155"/>
      <c r="Q172" s="157"/>
    </row>
    <row r="173" spans="1:17" ht="15" thickBot="1" x14ac:dyDescent="0.4">
      <c r="A173" s="168"/>
      <c r="B173" s="171"/>
      <c r="C173" s="148" t="s">
        <v>1067</v>
      </c>
      <c r="D173" s="171"/>
      <c r="E173" s="158"/>
      <c r="F173" s="158"/>
      <c r="G173" s="158"/>
      <c r="H173" s="158"/>
      <c r="I173" s="158"/>
      <c r="J173" s="158"/>
      <c r="K173" s="158"/>
      <c r="L173" s="158"/>
      <c r="M173" s="158"/>
      <c r="N173" s="158"/>
      <c r="O173" s="158"/>
      <c r="P173" s="158"/>
      <c r="Q173" s="159"/>
    </row>
    <row r="174" spans="1:17" x14ac:dyDescent="0.35">
      <c r="A174" s="166"/>
      <c r="B174" s="169">
        <v>58</v>
      </c>
      <c r="C174" s="147"/>
      <c r="D174" s="169"/>
      <c r="E174" s="154">
        <v>0</v>
      </c>
      <c r="F174" s="154">
        <v>0</v>
      </c>
      <c r="G174" s="154">
        <v>0</v>
      </c>
      <c r="H174" s="154">
        <v>815</v>
      </c>
      <c r="I174" s="154">
        <v>3</v>
      </c>
      <c r="J174" s="154">
        <v>37</v>
      </c>
      <c r="K174" s="154">
        <v>291</v>
      </c>
      <c r="L174" s="154">
        <v>1</v>
      </c>
      <c r="M174" s="154">
        <v>0</v>
      </c>
      <c r="N174" s="154">
        <v>0</v>
      </c>
      <c r="O174" s="154">
        <v>0</v>
      </c>
      <c r="P174" s="154">
        <v>0</v>
      </c>
      <c r="Q174" s="156">
        <v>153.9</v>
      </c>
    </row>
    <row r="175" spans="1:17" x14ac:dyDescent="0.35">
      <c r="A175" s="167"/>
      <c r="B175" s="170"/>
      <c r="C175" s="151" t="s">
        <v>458</v>
      </c>
      <c r="D175" s="170"/>
      <c r="E175" s="155"/>
      <c r="F175" s="155"/>
      <c r="G175" s="155"/>
      <c r="H175" s="155"/>
      <c r="I175" s="155"/>
      <c r="J175" s="155"/>
      <c r="K175" s="155"/>
      <c r="L175" s="155"/>
      <c r="M175" s="155"/>
      <c r="N175" s="155"/>
      <c r="O175" s="155"/>
      <c r="P175" s="155"/>
      <c r="Q175" s="157"/>
    </row>
    <row r="176" spans="1:17" ht="15" thickBot="1" x14ac:dyDescent="0.4">
      <c r="A176" s="168"/>
      <c r="B176" s="171"/>
      <c r="C176" s="148" t="s">
        <v>1092</v>
      </c>
      <c r="D176" s="171"/>
      <c r="E176" s="158"/>
      <c r="F176" s="158"/>
      <c r="G176" s="158"/>
      <c r="H176" s="158"/>
      <c r="I176" s="158"/>
      <c r="J176" s="158"/>
      <c r="K176" s="158"/>
      <c r="L176" s="158"/>
      <c r="M176" s="158"/>
      <c r="N176" s="158"/>
      <c r="O176" s="158"/>
      <c r="P176" s="158"/>
      <c r="Q176" s="159"/>
    </row>
    <row r="177" spans="1:17" x14ac:dyDescent="0.35">
      <c r="A177" s="166"/>
      <c r="B177" s="169">
        <v>59</v>
      </c>
      <c r="C177" s="147"/>
      <c r="D177" s="169"/>
      <c r="E177" s="154">
        <v>0</v>
      </c>
      <c r="F177" s="154">
        <v>0</v>
      </c>
      <c r="G177" s="154">
        <v>0</v>
      </c>
      <c r="H177" s="154">
        <v>407</v>
      </c>
      <c r="I177" s="154">
        <v>3</v>
      </c>
      <c r="J177" s="154">
        <v>52</v>
      </c>
      <c r="K177" s="154">
        <v>457</v>
      </c>
      <c r="L177" s="154">
        <v>3</v>
      </c>
      <c r="M177" s="154">
        <v>0</v>
      </c>
      <c r="N177" s="154">
        <v>0</v>
      </c>
      <c r="O177" s="154">
        <v>0</v>
      </c>
      <c r="P177" s="154">
        <v>0</v>
      </c>
      <c r="Q177" s="156">
        <v>147.69999999999999</v>
      </c>
    </row>
    <row r="178" spans="1:17" x14ac:dyDescent="0.35">
      <c r="A178" s="167"/>
      <c r="B178" s="170"/>
      <c r="C178" s="151" t="s">
        <v>327</v>
      </c>
      <c r="D178" s="170"/>
      <c r="E178" s="155"/>
      <c r="F178" s="155"/>
      <c r="G178" s="155"/>
      <c r="H178" s="155"/>
      <c r="I178" s="155"/>
      <c r="J178" s="155"/>
      <c r="K178" s="155"/>
      <c r="L178" s="155"/>
      <c r="M178" s="155"/>
      <c r="N178" s="155"/>
      <c r="O178" s="155"/>
      <c r="P178" s="155"/>
      <c r="Q178" s="157"/>
    </row>
    <row r="179" spans="1:17" ht="15" thickBot="1" x14ac:dyDescent="0.4">
      <c r="A179" s="168"/>
      <c r="B179" s="171"/>
      <c r="C179" s="148" t="s">
        <v>1039</v>
      </c>
      <c r="D179" s="171"/>
      <c r="E179" s="158"/>
      <c r="F179" s="158"/>
      <c r="G179" s="158"/>
      <c r="H179" s="158"/>
      <c r="I179" s="158"/>
      <c r="J179" s="158"/>
      <c r="K179" s="158"/>
      <c r="L179" s="158"/>
      <c r="M179" s="158"/>
      <c r="N179" s="158"/>
      <c r="O179" s="158"/>
      <c r="P179" s="158"/>
      <c r="Q179" s="159"/>
    </row>
    <row r="180" spans="1:17" x14ac:dyDescent="0.35">
      <c r="A180" s="166"/>
      <c r="B180" s="169">
        <v>60</v>
      </c>
      <c r="C180" s="147"/>
      <c r="D180" s="169"/>
      <c r="E180" s="154">
        <v>0</v>
      </c>
      <c r="F180" s="154">
        <v>0</v>
      </c>
      <c r="G180" s="154">
        <v>0</v>
      </c>
      <c r="H180" s="154">
        <v>634</v>
      </c>
      <c r="I180" s="154">
        <v>3</v>
      </c>
      <c r="J180" s="154">
        <v>44</v>
      </c>
      <c r="K180" s="154">
        <v>426</v>
      </c>
      <c r="L180" s="154">
        <v>1</v>
      </c>
      <c r="M180" s="154">
        <v>0</v>
      </c>
      <c r="N180" s="154">
        <v>0</v>
      </c>
      <c r="O180" s="154">
        <v>0</v>
      </c>
      <c r="P180" s="154">
        <v>0</v>
      </c>
      <c r="Q180" s="156">
        <v>155.6</v>
      </c>
    </row>
    <row r="181" spans="1:17" x14ac:dyDescent="0.35">
      <c r="A181" s="167"/>
      <c r="B181" s="170"/>
      <c r="C181" s="151" t="s">
        <v>1268</v>
      </c>
      <c r="D181" s="170"/>
      <c r="E181" s="155"/>
      <c r="F181" s="155"/>
      <c r="G181" s="155"/>
      <c r="H181" s="155"/>
      <c r="I181" s="155"/>
      <c r="J181" s="155"/>
      <c r="K181" s="155"/>
      <c r="L181" s="155"/>
      <c r="M181" s="155"/>
      <c r="N181" s="155"/>
      <c r="O181" s="155"/>
      <c r="P181" s="155"/>
      <c r="Q181" s="157"/>
    </row>
    <row r="182" spans="1:17" ht="15" thickBot="1" x14ac:dyDescent="0.4">
      <c r="A182" s="168"/>
      <c r="B182" s="171"/>
      <c r="C182" s="148" t="s">
        <v>1069</v>
      </c>
      <c r="D182" s="171"/>
      <c r="E182" s="158"/>
      <c r="F182" s="158"/>
      <c r="G182" s="158"/>
      <c r="H182" s="158"/>
      <c r="I182" s="158"/>
      <c r="J182" s="158"/>
      <c r="K182" s="158"/>
      <c r="L182" s="158"/>
      <c r="M182" s="158"/>
      <c r="N182" s="158"/>
      <c r="O182" s="158"/>
      <c r="P182" s="158"/>
      <c r="Q182" s="159"/>
    </row>
    <row r="183" spans="1:17" x14ac:dyDescent="0.35">
      <c r="A183" s="166"/>
      <c r="B183" s="169">
        <v>61</v>
      </c>
      <c r="C183" s="147"/>
      <c r="D183" s="169"/>
      <c r="E183" s="154">
        <v>0</v>
      </c>
      <c r="F183" s="154">
        <v>0</v>
      </c>
      <c r="G183" s="154">
        <v>0</v>
      </c>
      <c r="H183" s="154">
        <v>0</v>
      </c>
      <c r="I183" s="154">
        <v>0</v>
      </c>
      <c r="J183" s="154">
        <v>70</v>
      </c>
      <c r="K183" s="154">
        <v>1020</v>
      </c>
      <c r="L183" s="154">
        <v>5</v>
      </c>
      <c r="M183" s="154">
        <v>0</v>
      </c>
      <c r="N183" s="154">
        <v>0</v>
      </c>
      <c r="O183" s="154">
        <v>0</v>
      </c>
      <c r="P183" s="154">
        <v>0</v>
      </c>
      <c r="Q183" s="156">
        <v>169.9</v>
      </c>
    </row>
    <row r="184" spans="1:17" x14ac:dyDescent="0.35">
      <c r="A184" s="167"/>
      <c r="B184" s="170"/>
      <c r="C184" s="151" t="s">
        <v>1167</v>
      </c>
      <c r="D184" s="170"/>
      <c r="E184" s="155"/>
      <c r="F184" s="155"/>
      <c r="G184" s="155"/>
      <c r="H184" s="155"/>
      <c r="I184" s="155"/>
      <c r="J184" s="155"/>
      <c r="K184" s="155"/>
      <c r="L184" s="155"/>
      <c r="M184" s="155"/>
      <c r="N184" s="155"/>
      <c r="O184" s="155"/>
      <c r="P184" s="155"/>
      <c r="Q184" s="157"/>
    </row>
    <row r="185" spans="1:17" ht="15" thickBot="1" x14ac:dyDescent="0.4">
      <c r="A185" s="168"/>
      <c r="B185" s="171"/>
      <c r="C185" s="148" t="s">
        <v>1106</v>
      </c>
      <c r="D185" s="171"/>
      <c r="E185" s="158"/>
      <c r="F185" s="158"/>
      <c r="G185" s="158"/>
      <c r="H185" s="158"/>
      <c r="I185" s="158"/>
      <c r="J185" s="158"/>
      <c r="K185" s="158"/>
      <c r="L185" s="158"/>
      <c r="M185" s="158"/>
      <c r="N185" s="158"/>
      <c r="O185" s="158"/>
      <c r="P185" s="158"/>
      <c r="Q185" s="159"/>
    </row>
    <row r="186" spans="1:17" x14ac:dyDescent="0.35">
      <c r="A186" s="166"/>
      <c r="B186" s="169">
        <v>62</v>
      </c>
      <c r="C186" s="147"/>
      <c r="D186" s="169"/>
      <c r="E186" s="154">
        <v>0</v>
      </c>
      <c r="F186" s="154">
        <v>0</v>
      </c>
      <c r="G186" s="154">
        <v>0</v>
      </c>
      <c r="H186" s="154">
        <v>0</v>
      </c>
      <c r="I186" s="154">
        <v>0</v>
      </c>
      <c r="J186" s="154">
        <v>65</v>
      </c>
      <c r="K186" s="154">
        <v>1009</v>
      </c>
      <c r="L186" s="154">
        <v>6</v>
      </c>
      <c r="M186" s="154">
        <v>0</v>
      </c>
      <c r="N186" s="154">
        <v>0</v>
      </c>
      <c r="O186" s="154">
        <v>0</v>
      </c>
      <c r="P186" s="154">
        <v>0</v>
      </c>
      <c r="Q186" s="156">
        <v>168.2</v>
      </c>
    </row>
    <row r="187" spans="1:17" x14ac:dyDescent="0.35">
      <c r="A187" s="167"/>
      <c r="B187" s="170"/>
      <c r="C187" s="151" t="s">
        <v>286</v>
      </c>
      <c r="D187" s="170"/>
      <c r="E187" s="155"/>
      <c r="F187" s="155"/>
      <c r="G187" s="155"/>
      <c r="H187" s="155"/>
      <c r="I187" s="155"/>
      <c r="J187" s="155"/>
      <c r="K187" s="155"/>
      <c r="L187" s="155"/>
      <c r="M187" s="155"/>
      <c r="N187" s="155"/>
      <c r="O187" s="155"/>
      <c r="P187" s="155"/>
      <c r="Q187" s="157"/>
    </row>
    <row r="188" spans="1:17" ht="15" thickBot="1" x14ac:dyDescent="0.4">
      <c r="A188" s="168"/>
      <c r="B188" s="171"/>
      <c r="C188" s="148" t="s">
        <v>1044</v>
      </c>
      <c r="D188" s="171"/>
      <c r="E188" s="158"/>
      <c r="F188" s="158"/>
      <c r="G188" s="158"/>
      <c r="H188" s="158"/>
      <c r="I188" s="158"/>
      <c r="J188" s="158"/>
      <c r="K188" s="158"/>
      <c r="L188" s="158"/>
      <c r="M188" s="158"/>
      <c r="N188" s="158"/>
      <c r="O188" s="158"/>
      <c r="P188" s="158"/>
      <c r="Q188" s="159"/>
    </row>
    <row r="189" spans="1:17" x14ac:dyDescent="0.35">
      <c r="A189" s="166"/>
      <c r="B189" s="169">
        <v>63</v>
      </c>
      <c r="C189" s="147"/>
      <c r="D189" s="169"/>
      <c r="E189" s="154">
        <v>0</v>
      </c>
      <c r="F189" s="154">
        <v>0</v>
      </c>
      <c r="G189" s="154">
        <v>0</v>
      </c>
      <c r="H189" s="154">
        <v>0</v>
      </c>
      <c r="I189" s="154">
        <v>0</v>
      </c>
      <c r="J189" s="154">
        <v>69</v>
      </c>
      <c r="K189" s="154">
        <v>948</v>
      </c>
      <c r="L189" s="154">
        <v>5</v>
      </c>
      <c r="M189" s="154">
        <v>0</v>
      </c>
      <c r="N189" s="154">
        <v>0</v>
      </c>
      <c r="O189" s="154">
        <v>0</v>
      </c>
      <c r="P189" s="154">
        <v>0</v>
      </c>
      <c r="Q189" s="156">
        <v>158.69999999999999</v>
      </c>
    </row>
    <row r="190" spans="1:17" x14ac:dyDescent="0.35">
      <c r="A190" s="167"/>
      <c r="B190" s="170"/>
      <c r="C190" s="151" t="s">
        <v>110</v>
      </c>
      <c r="D190" s="170"/>
      <c r="E190" s="155"/>
      <c r="F190" s="155"/>
      <c r="G190" s="155"/>
      <c r="H190" s="155"/>
      <c r="I190" s="155"/>
      <c r="J190" s="155"/>
      <c r="K190" s="155"/>
      <c r="L190" s="155"/>
      <c r="M190" s="155"/>
      <c r="N190" s="155"/>
      <c r="O190" s="155"/>
      <c r="P190" s="155"/>
      <c r="Q190" s="157"/>
    </row>
    <row r="191" spans="1:17" ht="15" thickBot="1" x14ac:dyDescent="0.4">
      <c r="A191" s="168"/>
      <c r="B191" s="171"/>
      <c r="C191" s="148" t="s">
        <v>1063</v>
      </c>
      <c r="D191" s="171"/>
      <c r="E191" s="158"/>
      <c r="F191" s="158"/>
      <c r="G191" s="158"/>
      <c r="H191" s="158"/>
      <c r="I191" s="158"/>
      <c r="J191" s="158"/>
      <c r="K191" s="158"/>
      <c r="L191" s="158"/>
      <c r="M191" s="158"/>
      <c r="N191" s="158"/>
      <c r="O191" s="158"/>
      <c r="P191" s="158"/>
      <c r="Q191" s="159"/>
    </row>
    <row r="192" spans="1:17" x14ac:dyDescent="0.35">
      <c r="A192" s="166"/>
      <c r="B192" s="169">
        <v>64</v>
      </c>
      <c r="C192" s="147"/>
      <c r="D192" s="169"/>
      <c r="E192" s="154">
        <v>0</v>
      </c>
      <c r="F192" s="154">
        <v>0</v>
      </c>
      <c r="G192" s="154">
        <v>0</v>
      </c>
      <c r="H192" s="154">
        <v>26</v>
      </c>
      <c r="I192" s="154">
        <v>0</v>
      </c>
      <c r="J192" s="154">
        <v>63</v>
      </c>
      <c r="K192" s="154">
        <v>949</v>
      </c>
      <c r="L192" s="154">
        <v>5</v>
      </c>
      <c r="M192" s="154">
        <v>0</v>
      </c>
      <c r="N192" s="154">
        <v>0</v>
      </c>
      <c r="O192" s="154">
        <v>0</v>
      </c>
      <c r="P192" s="154">
        <v>0</v>
      </c>
      <c r="Q192" s="156">
        <v>157.80000000000001</v>
      </c>
    </row>
    <row r="193" spans="1:17" x14ac:dyDescent="0.35">
      <c r="A193" s="167"/>
      <c r="B193" s="170"/>
      <c r="C193" s="151" t="s">
        <v>129</v>
      </c>
      <c r="D193" s="170"/>
      <c r="E193" s="155"/>
      <c r="F193" s="155"/>
      <c r="G193" s="155"/>
      <c r="H193" s="155"/>
      <c r="I193" s="155"/>
      <c r="J193" s="155"/>
      <c r="K193" s="155"/>
      <c r="L193" s="155"/>
      <c r="M193" s="155"/>
      <c r="N193" s="155"/>
      <c r="O193" s="155"/>
      <c r="P193" s="155"/>
      <c r="Q193" s="157"/>
    </row>
    <row r="194" spans="1:17" ht="15" thickBot="1" x14ac:dyDescent="0.4">
      <c r="A194" s="168"/>
      <c r="B194" s="171"/>
      <c r="C194" s="148" t="s">
        <v>1111</v>
      </c>
      <c r="D194" s="171"/>
      <c r="E194" s="158"/>
      <c r="F194" s="158"/>
      <c r="G194" s="158"/>
      <c r="H194" s="158"/>
      <c r="I194" s="158"/>
      <c r="J194" s="158"/>
      <c r="K194" s="158"/>
      <c r="L194" s="158"/>
      <c r="M194" s="158"/>
      <c r="N194" s="158"/>
      <c r="O194" s="158"/>
      <c r="P194" s="158"/>
      <c r="Q194" s="159"/>
    </row>
    <row r="195" spans="1:17" x14ac:dyDescent="0.35">
      <c r="A195" s="166"/>
      <c r="B195" s="169">
        <v>65</v>
      </c>
      <c r="C195" s="147"/>
      <c r="D195" s="169"/>
      <c r="E195" s="154">
        <v>0</v>
      </c>
      <c r="F195" s="154">
        <v>0</v>
      </c>
      <c r="G195" s="154">
        <v>0</v>
      </c>
      <c r="H195" s="154">
        <v>25</v>
      </c>
      <c r="I195" s="154">
        <v>0</v>
      </c>
      <c r="J195" s="154">
        <v>78</v>
      </c>
      <c r="K195" s="154">
        <v>912</v>
      </c>
      <c r="L195" s="154">
        <v>4</v>
      </c>
      <c r="M195" s="154">
        <v>0</v>
      </c>
      <c r="N195" s="154">
        <v>0</v>
      </c>
      <c r="O195" s="154">
        <v>0</v>
      </c>
      <c r="P195" s="154">
        <v>0</v>
      </c>
      <c r="Q195" s="156">
        <v>156.4</v>
      </c>
    </row>
    <row r="196" spans="1:17" x14ac:dyDescent="0.35">
      <c r="A196" s="167"/>
      <c r="B196" s="170"/>
      <c r="C196" s="151" t="s">
        <v>208</v>
      </c>
      <c r="D196" s="170"/>
      <c r="E196" s="155"/>
      <c r="F196" s="155"/>
      <c r="G196" s="155"/>
      <c r="H196" s="155"/>
      <c r="I196" s="155"/>
      <c r="J196" s="155"/>
      <c r="K196" s="155"/>
      <c r="L196" s="155"/>
      <c r="M196" s="155"/>
      <c r="N196" s="155"/>
      <c r="O196" s="155"/>
      <c r="P196" s="155"/>
      <c r="Q196" s="157"/>
    </row>
    <row r="197" spans="1:17" ht="15" thickBot="1" x14ac:dyDescent="0.4">
      <c r="A197" s="168"/>
      <c r="B197" s="171"/>
      <c r="C197" s="148" t="s">
        <v>1063</v>
      </c>
      <c r="D197" s="171"/>
      <c r="E197" s="158"/>
      <c r="F197" s="158"/>
      <c r="G197" s="158"/>
      <c r="H197" s="158"/>
      <c r="I197" s="158"/>
      <c r="J197" s="158"/>
      <c r="K197" s="158"/>
      <c r="L197" s="158"/>
      <c r="M197" s="158"/>
      <c r="N197" s="158"/>
      <c r="O197" s="158"/>
      <c r="P197" s="158"/>
      <c r="Q197" s="159"/>
    </row>
    <row r="198" spans="1:17" x14ac:dyDescent="0.35">
      <c r="A198" s="166"/>
      <c r="B198" s="169">
        <v>66</v>
      </c>
      <c r="C198" s="147"/>
      <c r="D198" s="169"/>
      <c r="E198" s="154">
        <v>0</v>
      </c>
      <c r="F198" s="154">
        <v>0</v>
      </c>
      <c r="G198" s="154">
        <v>0</v>
      </c>
      <c r="H198" s="154">
        <v>0</v>
      </c>
      <c r="I198" s="154">
        <v>0</v>
      </c>
      <c r="J198" s="154">
        <v>56</v>
      </c>
      <c r="K198" s="154">
        <v>786</v>
      </c>
      <c r="L198" s="154">
        <v>5</v>
      </c>
      <c r="M198" s="154">
        <v>0</v>
      </c>
      <c r="N198" s="154">
        <v>0</v>
      </c>
      <c r="O198" s="154">
        <v>0</v>
      </c>
      <c r="P198" s="154">
        <v>0</v>
      </c>
      <c r="Q198" s="156">
        <v>138.30000000000001</v>
      </c>
    </row>
    <row r="199" spans="1:17" x14ac:dyDescent="0.35">
      <c r="A199" s="167"/>
      <c r="B199" s="170"/>
      <c r="C199" s="151" t="s">
        <v>1081</v>
      </c>
      <c r="D199" s="170"/>
      <c r="E199" s="155"/>
      <c r="F199" s="155"/>
      <c r="G199" s="155"/>
      <c r="H199" s="155"/>
      <c r="I199" s="155"/>
      <c r="J199" s="155"/>
      <c r="K199" s="155"/>
      <c r="L199" s="155"/>
      <c r="M199" s="155"/>
      <c r="N199" s="155"/>
      <c r="O199" s="155"/>
      <c r="P199" s="155"/>
      <c r="Q199" s="157"/>
    </row>
    <row r="200" spans="1:17" ht="15" thickBot="1" x14ac:dyDescent="0.4">
      <c r="A200" s="168"/>
      <c r="B200" s="171"/>
      <c r="C200" s="148" t="s">
        <v>1025</v>
      </c>
      <c r="D200" s="171"/>
      <c r="E200" s="158"/>
      <c r="F200" s="158"/>
      <c r="G200" s="158"/>
      <c r="H200" s="158"/>
      <c r="I200" s="158"/>
      <c r="J200" s="158"/>
      <c r="K200" s="158"/>
      <c r="L200" s="158"/>
      <c r="M200" s="158"/>
      <c r="N200" s="158"/>
      <c r="O200" s="158"/>
      <c r="P200" s="158"/>
      <c r="Q200" s="159"/>
    </row>
    <row r="201" spans="1:17" x14ac:dyDescent="0.35">
      <c r="A201" s="166"/>
      <c r="B201" s="169">
        <v>67</v>
      </c>
      <c r="C201" s="147"/>
      <c r="D201" s="169"/>
      <c r="E201" s="154">
        <v>0</v>
      </c>
      <c r="F201" s="154">
        <v>0</v>
      </c>
      <c r="G201" s="154">
        <v>0</v>
      </c>
      <c r="H201" s="154">
        <v>0</v>
      </c>
      <c r="I201" s="154">
        <v>0</v>
      </c>
      <c r="J201" s="154">
        <v>64</v>
      </c>
      <c r="K201" s="154">
        <v>859</v>
      </c>
      <c r="L201" s="154">
        <v>7</v>
      </c>
      <c r="M201" s="154">
        <v>0</v>
      </c>
      <c r="N201" s="154">
        <v>0</v>
      </c>
      <c r="O201" s="154">
        <v>0</v>
      </c>
      <c r="P201" s="154">
        <v>0</v>
      </c>
      <c r="Q201" s="156">
        <v>157.4</v>
      </c>
    </row>
    <row r="202" spans="1:17" x14ac:dyDescent="0.35">
      <c r="A202" s="167"/>
      <c r="B202" s="170"/>
      <c r="C202" s="151" t="s">
        <v>407</v>
      </c>
      <c r="D202" s="170"/>
      <c r="E202" s="155"/>
      <c r="F202" s="155"/>
      <c r="G202" s="155"/>
      <c r="H202" s="155"/>
      <c r="I202" s="155"/>
      <c r="J202" s="155"/>
      <c r="K202" s="155"/>
      <c r="L202" s="155"/>
      <c r="M202" s="155"/>
      <c r="N202" s="155"/>
      <c r="O202" s="155"/>
      <c r="P202" s="155"/>
      <c r="Q202" s="157"/>
    </row>
    <row r="203" spans="1:17" ht="15" thickBot="1" x14ac:dyDescent="0.4">
      <c r="A203" s="168"/>
      <c r="B203" s="171"/>
      <c r="C203" s="148" t="s">
        <v>1152</v>
      </c>
      <c r="D203" s="171"/>
      <c r="E203" s="158"/>
      <c r="F203" s="158"/>
      <c r="G203" s="158"/>
      <c r="H203" s="158"/>
      <c r="I203" s="158"/>
      <c r="J203" s="158"/>
      <c r="K203" s="158"/>
      <c r="L203" s="158"/>
      <c r="M203" s="158"/>
      <c r="N203" s="158"/>
      <c r="O203" s="158"/>
      <c r="P203" s="158"/>
      <c r="Q203" s="159"/>
    </row>
    <row r="204" spans="1:17" x14ac:dyDescent="0.35">
      <c r="A204" s="166"/>
      <c r="B204" s="169">
        <v>68</v>
      </c>
      <c r="C204" s="147"/>
      <c r="D204" s="169"/>
      <c r="E204" s="154">
        <v>0</v>
      </c>
      <c r="F204" s="154">
        <v>0</v>
      </c>
      <c r="G204" s="154">
        <v>0</v>
      </c>
      <c r="H204" s="154">
        <v>140</v>
      </c>
      <c r="I204" s="154">
        <v>1</v>
      </c>
      <c r="J204" s="154">
        <v>58</v>
      </c>
      <c r="K204" s="154">
        <v>774</v>
      </c>
      <c r="L204" s="154">
        <v>5</v>
      </c>
      <c r="M204" s="154">
        <v>0</v>
      </c>
      <c r="N204" s="154">
        <v>0</v>
      </c>
      <c r="O204" s="154">
        <v>0</v>
      </c>
      <c r="P204" s="154">
        <v>0</v>
      </c>
      <c r="Q204" s="156">
        <v>152.4</v>
      </c>
    </row>
    <row r="205" spans="1:17" x14ac:dyDescent="0.35">
      <c r="A205" s="167"/>
      <c r="B205" s="170"/>
      <c r="C205" s="151" t="s">
        <v>419</v>
      </c>
      <c r="D205" s="170"/>
      <c r="E205" s="155"/>
      <c r="F205" s="155"/>
      <c r="G205" s="155"/>
      <c r="H205" s="155"/>
      <c r="I205" s="155"/>
      <c r="J205" s="155"/>
      <c r="K205" s="155"/>
      <c r="L205" s="155"/>
      <c r="M205" s="155"/>
      <c r="N205" s="155"/>
      <c r="O205" s="155"/>
      <c r="P205" s="155"/>
      <c r="Q205" s="157"/>
    </row>
    <row r="206" spans="1:17" ht="15" thickBot="1" x14ac:dyDescent="0.4">
      <c r="A206" s="168"/>
      <c r="B206" s="171"/>
      <c r="C206" s="148" t="s">
        <v>1093</v>
      </c>
      <c r="D206" s="171"/>
      <c r="E206" s="158"/>
      <c r="F206" s="158"/>
      <c r="G206" s="158"/>
      <c r="H206" s="158"/>
      <c r="I206" s="158"/>
      <c r="J206" s="158"/>
      <c r="K206" s="158"/>
      <c r="L206" s="158"/>
      <c r="M206" s="158"/>
      <c r="N206" s="158"/>
      <c r="O206" s="158"/>
      <c r="P206" s="158"/>
      <c r="Q206" s="159"/>
    </row>
    <row r="207" spans="1:17" x14ac:dyDescent="0.35">
      <c r="A207" s="166"/>
      <c r="B207" s="169">
        <v>69</v>
      </c>
      <c r="C207" s="147"/>
      <c r="D207" s="169"/>
      <c r="E207" s="154">
        <v>0</v>
      </c>
      <c r="F207" s="154">
        <v>0</v>
      </c>
      <c r="G207" s="154">
        <v>0</v>
      </c>
      <c r="H207" s="154">
        <v>0</v>
      </c>
      <c r="I207" s="154">
        <v>0</v>
      </c>
      <c r="J207" s="154">
        <v>72</v>
      </c>
      <c r="K207" s="154">
        <v>851</v>
      </c>
      <c r="L207" s="154">
        <v>5</v>
      </c>
      <c r="M207" s="154">
        <v>0</v>
      </c>
      <c r="N207" s="154">
        <v>0</v>
      </c>
      <c r="O207" s="154">
        <v>0</v>
      </c>
      <c r="P207" s="154">
        <v>0</v>
      </c>
      <c r="Q207" s="156">
        <v>151.4</v>
      </c>
    </row>
    <row r="208" spans="1:17" x14ac:dyDescent="0.35">
      <c r="A208" s="167"/>
      <c r="B208" s="170"/>
      <c r="C208" s="151" t="s">
        <v>901</v>
      </c>
      <c r="D208" s="170"/>
      <c r="E208" s="155"/>
      <c r="F208" s="155"/>
      <c r="G208" s="155"/>
      <c r="H208" s="155"/>
      <c r="I208" s="155"/>
      <c r="J208" s="155"/>
      <c r="K208" s="155"/>
      <c r="L208" s="155"/>
      <c r="M208" s="155"/>
      <c r="N208" s="155"/>
      <c r="O208" s="155"/>
      <c r="P208" s="155"/>
      <c r="Q208" s="157"/>
    </row>
    <row r="209" spans="1:17" ht="15" thickBot="1" x14ac:dyDescent="0.4">
      <c r="A209" s="168"/>
      <c r="B209" s="171"/>
      <c r="C209" s="148" t="s">
        <v>1385</v>
      </c>
      <c r="D209" s="171"/>
      <c r="E209" s="158"/>
      <c r="F209" s="158"/>
      <c r="G209" s="158"/>
      <c r="H209" s="158"/>
      <c r="I209" s="158"/>
      <c r="J209" s="158"/>
      <c r="K209" s="158"/>
      <c r="L209" s="158"/>
      <c r="M209" s="158"/>
      <c r="N209" s="158"/>
      <c r="O209" s="158"/>
      <c r="P209" s="158"/>
      <c r="Q209" s="159"/>
    </row>
    <row r="210" spans="1:17" x14ac:dyDescent="0.35">
      <c r="A210" s="166"/>
      <c r="B210" s="169">
        <v>70</v>
      </c>
      <c r="C210" s="147"/>
      <c r="D210" s="169"/>
      <c r="E210" s="154">
        <v>0</v>
      </c>
      <c r="F210" s="154">
        <v>0</v>
      </c>
      <c r="G210" s="154">
        <v>0</v>
      </c>
      <c r="H210" s="154">
        <v>736</v>
      </c>
      <c r="I210" s="154">
        <v>7</v>
      </c>
      <c r="J210" s="154">
        <v>23</v>
      </c>
      <c r="K210" s="154">
        <v>184</v>
      </c>
      <c r="L210" s="154">
        <v>1</v>
      </c>
      <c r="M210" s="154">
        <v>0</v>
      </c>
      <c r="N210" s="154">
        <v>0</v>
      </c>
      <c r="O210" s="154">
        <v>0</v>
      </c>
      <c r="P210" s="154">
        <v>0</v>
      </c>
      <c r="Q210" s="156">
        <v>147.9</v>
      </c>
    </row>
    <row r="211" spans="1:17" x14ac:dyDescent="0.35">
      <c r="A211" s="167"/>
      <c r="B211" s="170"/>
      <c r="C211" s="151" t="s">
        <v>1214</v>
      </c>
      <c r="D211" s="170"/>
      <c r="E211" s="155"/>
      <c r="F211" s="155"/>
      <c r="G211" s="155"/>
      <c r="H211" s="155"/>
      <c r="I211" s="155"/>
      <c r="J211" s="155"/>
      <c r="K211" s="155"/>
      <c r="L211" s="155"/>
      <c r="M211" s="155"/>
      <c r="N211" s="155"/>
      <c r="O211" s="155"/>
      <c r="P211" s="155"/>
      <c r="Q211" s="157"/>
    </row>
    <row r="212" spans="1:17" ht="15" thickBot="1" x14ac:dyDescent="0.4">
      <c r="A212" s="168"/>
      <c r="B212" s="171"/>
      <c r="C212" s="148" t="s">
        <v>1058</v>
      </c>
      <c r="D212" s="171"/>
      <c r="E212" s="158"/>
      <c r="F212" s="158"/>
      <c r="G212" s="158"/>
      <c r="H212" s="158"/>
      <c r="I212" s="158"/>
      <c r="J212" s="158"/>
      <c r="K212" s="158"/>
      <c r="L212" s="158"/>
      <c r="M212" s="158"/>
      <c r="N212" s="158"/>
      <c r="O212" s="158"/>
      <c r="P212" s="158"/>
      <c r="Q212" s="159"/>
    </row>
    <row r="213" spans="1:17" x14ac:dyDescent="0.35">
      <c r="A213" s="166"/>
      <c r="B213" s="169">
        <v>71</v>
      </c>
      <c r="C213" s="147"/>
      <c r="D213" s="169"/>
      <c r="E213" s="154">
        <v>0</v>
      </c>
      <c r="F213" s="154">
        <v>0</v>
      </c>
      <c r="G213" s="154">
        <v>0</v>
      </c>
      <c r="H213" s="154">
        <v>646</v>
      </c>
      <c r="I213" s="154">
        <v>5</v>
      </c>
      <c r="J213" s="154">
        <v>27</v>
      </c>
      <c r="K213" s="154">
        <v>219</v>
      </c>
      <c r="L213" s="154">
        <v>1</v>
      </c>
      <c r="M213" s="154">
        <v>0</v>
      </c>
      <c r="N213" s="154">
        <v>0</v>
      </c>
      <c r="O213" s="154">
        <v>0</v>
      </c>
      <c r="P213" s="154">
        <v>0</v>
      </c>
      <c r="Q213" s="156">
        <v>138.19999999999999</v>
      </c>
    </row>
    <row r="214" spans="1:17" x14ac:dyDescent="0.35">
      <c r="A214" s="167"/>
      <c r="B214" s="170"/>
      <c r="C214" s="151" t="s">
        <v>155</v>
      </c>
      <c r="D214" s="170"/>
      <c r="E214" s="155"/>
      <c r="F214" s="155"/>
      <c r="G214" s="155"/>
      <c r="H214" s="155"/>
      <c r="I214" s="155"/>
      <c r="J214" s="155"/>
      <c r="K214" s="155"/>
      <c r="L214" s="155"/>
      <c r="M214" s="155"/>
      <c r="N214" s="155"/>
      <c r="O214" s="155"/>
      <c r="P214" s="155"/>
      <c r="Q214" s="157"/>
    </row>
    <row r="215" spans="1:17" ht="15" thickBot="1" x14ac:dyDescent="0.4">
      <c r="A215" s="168"/>
      <c r="B215" s="171"/>
      <c r="C215" s="148" t="s">
        <v>1040</v>
      </c>
      <c r="D215" s="171"/>
      <c r="E215" s="158"/>
      <c r="F215" s="158"/>
      <c r="G215" s="158"/>
      <c r="H215" s="158"/>
      <c r="I215" s="158"/>
      <c r="J215" s="158"/>
      <c r="K215" s="158"/>
      <c r="L215" s="158"/>
      <c r="M215" s="158"/>
      <c r="N215" s="158"/>
      <c r="O215" s="158"/>
      <c r="P215" s="158"/>
      <c r="Q215" s="159"/>
    </row>
    <row r="216" spans="1:17" x14ac:dyDescent="0.35">
      <c r="A216" s="166"/>
      <c r="B216" s="169">
        <v>72</v>
      </c>
      <c r="C216" s="147"/>
      <c r="D216" s="169"/>
      <c r="E216" s="154">
        <v>0</v>
      </c>
      <c r="F216" s="154">
        <v>0</v>
      </c>
      <c r="G216" s="154">
        <v>0</v>
      </c>
      <c r="H216" s="154">
        <v>667</v>
      </c>
      <c r="I216" s="154">
        <v>5</v>
      </c>
      <c r="J216" s="154">
        <v>32</v>
      </c>
      <c r="K216" s="154">
        <v>254</v>
      </c>
      <c r="L216" s="154">
        <v>1</v>
      </c>
      <c r="M216" s="154">
        <v>0</v>
      </c>
      <c r="N216" s="154">
        <v>0</v>
      </c>
      <c r="O216" s="154">
        <v>0</v>
      </c>
      <c r="P216" s="154">
        <v>0</v>
      </c>
      <c r="Q216" s="156">
        <v>143.30000000000001</v>
      </c>
    </row>
    <row r="217" spans="1:17" x14ac:dyDescent="0.35">
      <c r="A217" s="167"/>
      <c r="B217" s="170"/>
      <c r="C217" s="151" t="s">
        <v>1223</v>
      </c>
      <c r="D217" s="170"/>
      <c r="E217" s="155"/>
      <c r="F217" s="155"/>
      <c r="G217" s="155"/>
      <c r="H217" s="155"/>
      <c r="I217" s="155"/>
      <c r="J217" s="155"/>
      <c r="K217" s="155"/>
      <c r="L217" s="155"/>
      <c r="M217" s="155"/>
      <c r="N217" s="155"/>
      <c r="O217" s="155"/>
      <c r="P217" s="155"/>
      <c r="Q217" s="157"/>
    </row>
    <row r="218" spans="1:17" ht="15" thickBot="1" x14ac:dyDescent="0.4">
      <c r="A218" s="168"/>
      <c r="B218" s="171"/>
      <c r="C218" s="148" t="s">
        <v>1091</v>
      </c>
      <c r="D218" s="171"/>
      <c r="E218" s="158"/>
      <c r="F218" s="158"/>
      <c r="G218" s="158"/>
      <c r="H218" s="158"/>
      <c r="I218" s="158"/>
      <c r="J218" s="158"/>
      <c r="K218" s="158"/>
      <c r="L218" s="158"/>
      <c r="M218" s="158"/>
      <c r="N218" s="158"/>
      <c r="O218" s="158"/>
      <c r="P218" s="158"/>
      <c r="Q218" s="159"/>
    </row>
    <row r="219" spans="1:17" x14ac:dyDescent="0.35">
      <c r="A219" s="166"/>
      <c r="B219" s="169">
        <v>73</v>
      </c>
      <c r="C219" s="147"/>
      <c r="D219" s="169"/>
      <c r="E219" s="154">
        <v>4018</v>
      </c>
      <c r="F219" s="154">
        <v>28</v>
      </c>
      <c r="G219" s="154">
        <v>12</v>
      </c>
      <c r="H219" s="154">
        <v>519</v>
      </c>
      <c r="I219" s="154">
        <v>4</v>
      </c>
      <c r="J219" s="154">
        <v>0</v>
      </c>
      <c r="K219" s="154">
        <v>0</v>
      </c>
      <c r="L219" s="154">
        <v>0</v>
      </c>
      <c r="M219" s="154">
        <v>0</v>
      </c>
      <c r="N219" s="154">
        <v>0</v>
      </c>
      <c r="O219" s="154">
        <v>0</v>
      </c>
      <c r="P219" s="154">
        <v>0</v>
      </c>
      <c r="Q219" s="156">
        <v>319.10000000000002</v>
      </c>
    </row>
    <row r="220" spans="1:17" x14ac:dyDescent="0.35">
      <c r="A220" s="167"/>
      <c r="B220" s="170"/>
      <c r="C220" s="151" t="s">
        <v>181</v>
      </c>
      <c r="D220" s="170"/>
      <c r="E220" s="155"/>
      <c r="F220" s="155"/>
      <c r="G220" s="155"/>
      <c r="H220" s="155"/>
      <c r="I220" s="155"/>
      <c r="J220" s="155"/>
      <c r="K220" s="155"/>
      <c r="L220" s="155"/>
      <c r="M220" s="155"/>
      <c r="N220" s="155"/>
      <c r="O220" s="155"/>
      <c r="P220" s="155"/>
      <c r="Q220" s="157"/>
    </row>
    <row r="221" spans="1:17" ht="15" thickBot="1" x14ac:dyDescent="0.4">
      <c r="A221" s="168"/>
      <c r="B221" s="171"/>
      <c r="C221" s="148" t="s">
        <v>1075</v>
      </c>
      <c r="D221" s="171"/>
      <c r="E221" s="158"/>
      <c r="F221" s="158"/>
      <c r="G221" s="158"/>
      <c r="H221" s="158"/>
      <c r="I221" s="158"/>
      <c r="J221" s="158"/>
      <c r="K221" s="158"/>
      <c r="L221" s="158"/>
      <c r="M221" s="158"/>
      <c r="N221" s="158"/>
      <c r="O221" s="158"/>
      <c r="P221" s="158"/>
      <c r="Q221" s="159"/>
    </row>
    <row r="222" spans="1:17" x14ac:dyDescent="0.35">
      <c r="A222" s="166"/>
      <c r="B222" s="169">
        <v>74</v>
      </c>
      <c r="C222" s="147"/>
      <c r="D222" s="169"/>
      <c r="E222" s="154">
        <v>3832</v>
      </c>
      <c r="F222" s="154">
        <v>26</v>
      </c>
      <c r="G222" s="154">
        <v>12</v>
      </c>
      <c r="H222" s="154">
        <v>471</v>
      </c>
      <c r="I222" s="154">
        <v>4</v>
      </c>
      <c r="J222" s="154">
        <v>0</v>
      </c>
      <c r="K222" s="154">
        <v>0</v>
      </c>
      <c r="L222" s="154">
        <v>0</v>
      </c>
      <c r="M222" s="154">
        <v>0</v>
      </c>
      <c r="N222" s="154">
        <v>0</v>
      </c>
      <c r="O222" s="154">
        <v>0</v>
      </c>
      <c r="P222" s="154">
        <v>0</v>
      </c>
      <c r="Q222" s="156">
        <v>300.10000000000002</v>
      </c>
    </row>
    <row r="223" spans="1:17" x14ac:dyDescent="0.35">
      <c r="A223" s="167"/>
      <c r="B223" s="170"/>
      <c r="C223" s="151" t="s">
        <v>310</v>
      </c>
      <c r="D223" s="170"/>
      <c r="E223" s="155"/>
      <c r="F223" s="155"/>
      <c r="G223" s="155"/>
      <c r="H223" s="155"/>
      <c r="I223" s="155"/>
      <c r="J223" s="155"/>
      <c r="K223" s="155"/>
      <c r="L223" s="155"/>
      <c r="M223" s="155"/>
      <c r="N223" s="155"/>
      <c r="O223" s="155"/>
      <c r="P223" s="155"/>
      <c r="Q223" s="157"/>
    </row>
    <row r="224" spans="1:17" ht="15" thickBot="1" x14ac:dyDescent="0.4">
      <c r="A224" s="168"/>
      <c r="B224" s="171"/>
      <c r="C224" s="148" t="s">
        <v>1102</v>
      </c>
      <c r="D224" s="171"/>
      <c r="E224" s="158"/>
      <c r="F224" s="158"/>
      <c r="G224" s="158"/>
      <c r="H224" s="158"/>
      <c r="I224" s="158"/>
      <c r="J224" s="158"/>
      <c r="K224" s="158"/>
      <c r="L224" s="158"/>
      <c r="M224" s="158"/>
      <c r="N224" s="158"/>
      <c r="O224" s="158"/>
      <c r="P224" s="158"/>
      <c r="Q224" s="159"/>
    </row>
    <row r="225" spans="1:17" x14ac:dyDescent="0.35">
      <c r="A225" s="166"/>
      <c r="B225" s="169">
        <v>75</v>
      </c>
      <c r="C225" s="147"/>
      <c r="D225" s="169"/>
      <c r="E225" s="154">
        <v>4330</v>
      </c>
      <c r="F225" s="154">
        <v>27</v>
      </c>
      <c r="G225" s="154">
        <v>11</v>
      </c>
      <c r="H225" s="154">
        <v>247</v>
      </c>
      <c r="I225" s="154">
        <v>4</v>
      </c>
      <c r="J225" s="154">
        <v>0</v>
      </c>
      <c r="K225" s="154">
        <v>0</v>
      </c>
      <c r="L225" s="154">
        <v>0</v>
      </c>
      <c r="M225" s="154">
        <v>0</v>
      </c>
      <c r="N225" s="154">
        <v>0</v>
      </c>
      <c r="O225" s="154">
        <v>0</v>
      </c>
      <c r="P225" s="154">
        <v>0</v>
      </c>
      <c r="Q225" s="156">
        <v>302</v>
      </c>
    </row>
    <row r="226" spans="1:17" x14ac:dyDescent="0.35">
      <c r="A226" s="167"/>
      <c r="B226" s="170"/>
      <c r="C226" s="151" t="s">
        <v>276</v>
      </c>
      <c r="D226" s="170"/>
      <c r="E226" s="155"/>
      <c r="F226" s="155"/>
      <c r="G226" s="155"/>
      <c r="H226" s="155"/>
      <c r="I226" s="155"/>
      <c r="J226" s="155"/>
      <c r="K226" s="155"/>
      <c r="L226" s="155"/>
      <c r="M226" s="155"/>
      <c r="N226" s="155"/>
      <c r="O226" s="155"/>
      <c r="P226" s="155"/>
      <c r="Q226" s="157"/>
    </row>
    <row r="227" spans="1:17" ht="15" thickBot="1" x14ac:dyDescent="0.4">
      <c r="A227" s="168"/>
      <c r="B227" s="171"/>
      <c r="C227" s="148" t="s">
        <v>1098</v>
      </c>
      <c r="D227" s="171"/>
      <c r="E227" s="158"/>
      <c r="F227" s="158"/>
      <c r="G227" s="158"/>
      <c r="H227" s="158"/>
      <c r="I227" s="158"/>
      <c r="J227" s="158"/>
      <c r="K227" s="158"/>
      <c r="L227" s="158"/>
      <c r="M227" s="158"/>
      <c r="N227" s="158"/>
      <c r="O227" s="158"/>
      <c r="P227" s="158"/>
      <c r="Q227" s="159"/>
    </row>
    <row r="228" spans="1:17" x14ac:dyDescent="0.35">
      <c r="A228" s="166"/>
      <c r="B228" s="169">
        <v>76</v>
      </c>
      <c r="C228" s="147"/>
      <c r="D228" s="169"/>
      <c r="E228" s="154">
        <v>3688</v>
      </c>
      <c r="F228" s="154">
        <v>29</v>
      </c>
      <c r="G228" s="154">
        <v>9</v>
      </c>
      <c r="H228" s="154">
        <v>398</v>
      </c>
      <c r="I228" s="154">
        <v>2</v>
      </c>
      <c r="J228" s="154">
        <v>0</v>
      </c>
      <c r="K228" s="154">
        <v>0</v>
      </c>
      <c r="L228" s="154">
        <v>0</v>
      </c>
      <c r="M228" s="154">
        <v>0</v>
      </c>
      <c r="N228" s="154">
        <v>0</v>
      </c>
      <c r="O228" s="154">
        <v>0</v>
      </c>
      <c r="P228" s="154">
        <v>0</v>
      </c>
      <c r="Q228" s="156">
        <v>294.7</v>
      </c>
    </row>
    <row r="229" spans="1:17" x14ac:dyDescent="0.35">
      <c r="A229" s="167"/>
      <c r="B229" s="170"/>
      <c r="C229" s="151" t="s">
        <v>210</v>
      </c>
      <c r="D229" s="170"/>
      <c r="E229" s="155"/>
      <c r="F229" s="155"/>
      <c r="G229" s="155"/>
      <c r="H229" s="155"/>
      <c r="I229" s="155"/>
      <c r="J229" s="155"/>
      <c r="K229" s="155"/>
      <c r="L229" s="155"/>
      <c r="M229" s="155"/>
      <c r="N229" s="155"/>
      <c r="O229" s="155"/>
      <c r="P229" s="155"/>
      <c r="Q229" s="157"/>
    </row>
    <row r="230" spans="1:17" ht="15" thickBot="1" x14ac:dyDescent="0.4">
      <c r="A230" s="168"/>
      <c r="B230" s="171"/>
      <c r="C230" s="148" t="s">
        <v>1101</v>
      </c>
      <c r="D230" s="171"/>
      <c r="E230" s="158"/>
      <c r="F230" s="158"/>
      <c r="G230" s="158"/>
      <c r="H230" s="158"/>
      <c r="I230" s="158"/>
      <c r="J230" s="158"/>
      <c r="K230" s="158"/>
      <c r="L230" s="158"/>
      <c r="M230" s="158"/>
      <c r="N230" s="158"/>
      <c r="O230" s="158"/>
      <c r="P230" s="158"/>
      <c r="Q230" s="159"/>
    </row>
    <row r="231" spans="1:17" x14ac:dyDescent="0.35">
      <c r="A231" s="166"/>
      <c r="B231" s="169">
        <v>77</v>
      </c>
      <c r="C231" s="147"/>
      <c r="D231" s="169"/>
      <c r="E231" s="154">
        <v>0</v>
      </c>
      <c r="F231" s="154">
        <v>0</v>
      </c>
      <c r="G231" s="154">
        <v>0</v>
      </c>
      <c r="H231" s="154">
        <v>11</v>
      </c>
      <c r="I231" s="154">
        <v>0</v>
      </c>
      <c r="J231" s="154">
        <v>62</v>
      </c>
      <c r="K231" s="154">
        <v>888</v>
      </c>
      <c r="L231" s="154">
        <v>7</v>
      </c>
      <c r="M231" s="154">
        <v>0</v>
      </c>
      <c r="N231" s="154">
        <v>0</v>
      </c>
      <c r="O231" s="154">
        <v>0</v>
      </c>
      <c r="P231" s="154">
        <v>0</v>
      </c>
      <c r="Q231" s="156">
        <v>164.2</v>
      </c>
    </row>
    <row r="232" spans="1:17" x14ac:dyDescent="0.35">
      <c r="A232" s="167"/>
      <c r="B232" s="170"/>
      <c r="C232" s="151" t="s">
        <v>1134</v>
      </c>
      <c r="D232" s="170"/>
      <c r="E232" s="155"/>
      <c r="F232" s="155"/>
      <c r="G232" s="155"/>
      <c r="H232" s="155"/>
      <c r="I232" s="155"/>
      <c r="J232" s="155"/>
      <c r="K232" s="155"/>
      <c r="L232" s="155"/>
      <c r="M232" s="155"/>
      <c r="N232" s="155"/>
      <c r="O232" s="155"/>
      <c r="P232" s="155"/>
      <c r="Q232" s="157"/>
    </row>
    <row r="233" spans="1:17" ht="15" thickBot="1" x14ac:dyDescent="0.4">
      <c r="A233" s="168"/>
      <c r="B233" s="171"/>
      <c r="C233" s="148" t="s">
        <v>1055</v>
      </c>
      <c r="D233" s="171"/>
      <c r="E233" s="158"/>
      <c r="F233" s="158"/>
      <c r="G233" s="158"/>
      <c r="H233" s="158"/>
      <c r="I233" s="158"/>
      <c r="J233" s="158"/>
      <c r="K233" s="158"/>
      <c r="L233" s="158"/>
      <c r="M233" s="158"/>
      <c r="N233" s="158"/>
      <c r="O233" s="158"/>
      <c r="P233" s="158"/>
      <c r="Q233" s="159"/>
    </row>
    <row r="234" spans="1:17" x14ac:dyDescent="0.35">
      <c r="A234" s="166"/>
      <c r="B234" s="169">
        <v>78</v>
      </c>
      <c r="C234" s="147"/>
      <c r="D234" s="169"/>
      <c r="E234" s="154">
        <v>0</v>
      </c>
      <c r="F234" s="154">
        <v>0</v>
      </c>
      <c r="G234" s="154">
        <v>0</v>
      </c>
      <c r="H234" s="154">
        <v>53</v>
      </c>
      <c r="I234" s="154">
        <v>0</v>
      </c>
      <c r="J234" s="154">
        <v>73</v>
      </c>
      <c r="K234" s="154">
        <v>869</v>
      </c>
      <c r="L234" s="154">
        <v>5</v>
      </c>
      <c r="M234" s="154">
        <v>0</v>
      </c>
      <c r="N234" s="154">
        <v>0</v>
      </c>
      <c r="O234" s="154">
        <v>0</v>
      </c>
      <c r="P234" s="154">
        <v>0</v>
      </c>
      <c r="Q234" s="156">
        <v>158.4</v>
      </c>
    </row>
    <row r="235" spans="1:17" x14ac:dyDescent="0.35">
      <c r="A235" s="167"/>
      <c r="B235" s="170"/>
      <c r="C235" s="151" t="s">
        <v>151</v>
      </c>
      <c r="D235" s="170"/>
      <c r="E235" s="155"/>
      <c r="F235" s="155"/>
      <c r="G235" s="155"/>
      <c r="H235" s="155"/>
      <c r="I235" s="155"/>
      <c r="J235" s="155"/>
      <c r="K235" s="155"/>
      <c r="L235" s="155"/>
      <c r="M235" s="155"/>
      <c r="N235" s="155"/>
      <c r="O235" s="155"/>
      <c r="P235" s="155"/>
      <c r="Q235" s="157"/>
    </row>
    <row r="236" spans="1:17" ht="15" thickBot="1" x14ac:dyDescent="0.4">
      <c r="A236" s="168"/>
      <c r="B236" s="171"/>
      <c r="C236" s="148" t="s">
        <v>1052</v>
      </c>
      <c r="D236" s="171"/>
      <c r="E236" s="158"/>
      <c r="F236" s="158"/>
      <c r="G236" s="158"/>
      <c r="H236" s="158"/>
      <c r="I236" s="158"/>
      <c r="J236" s="158"/>
      <c r="K236" s="158"/>
      <c r="L236" s="158"/>
      <c r="M236" s="158"/>
      <c r="N236" s="158"/>
      <c r="O236" s="158"/>
      <c r="P236" s="158"/>
      <c r="Q236" s="159"/>
    </row>
    <row r="237" spans="1:17" x14ac:dyDescent="0.35">
      <c r="A237" s="166"/>
      <c r="B237" s="169">
        <v>79</v>
      </c>
      <c r="C237" s="147"/>
      <c r="D237" s="169"/>
      <c r="E237" s="154">
        <v>0</v>
      </c>
      <c r="F237" s="154">
        <v>0</v>
      </c>
      <c r="G237" s="154">
        <v>0</v>
      </c>
      <c r="H237" s="154">
        <v>52</v>
      </c>
      <c r="I237" s="154">
        <v>0</v>
      </c>
      <c r="J237" s="154">
        <v>74</v>
      </c>
      <c r="K237" s="154">
        <v>826</v>
      </c>
      <c r="L237" s="154">
        <v>6</v>
      </c>
      <c r="M237" s="154">
        <v>0</v>
      </c>
      <c r="N237" s="154">
        <v>0</v>
      </c>
      <c r="O237" s="154">
        <v>0</v>
      </c>
      <c r="P237" s="154">
        <v>0</v>
      </c>
      <c r="Q237" s="156">
        <v>160.9</v>
      </c>
    </row>
    <row r="238" spans="1:17" x14ac:dyDescent="0.35">
      <c r="A238" s="167"/>
      <c r="B238" s="170"/>
      <c r="C238" s="151" t="s">
        <v>238</v>
      </c>
      <c r="D238" s="170"/>
      <c r="E238" s="155"/>
      <c r="F238" s="155"/>
      <c r="G238" s="155"/>
      <c r="H238" s="155"/>
      <c r="I238" s="155"/>
      <c r="J238" s="155"/>
      <c r="K238" s="155"/>
      <c r="L238" s="155"/>
      <c r="M238" s="155"/>
      <c r="N238" s="155"/>
      <c r="O238" s="155"/>
      <c r="P238" s="155"/>
      <c r="Q238" s="157"/>
    </row>
    <row r="239" spans="1:17" ht="15" thickBot="1" x14ac:dyDescent="0.4">
      <c r="A239" s="168"/>
      <c r="B239" s="171"/>
      <c r="C239" s="148" t="s">
        <v>1078</v>
      </c>
      <c r="D239" s="171"/>
      <c r="E239" s="158"/>
      <c r="F239" s="158"/>
      <c r="G239" s="158"/>
      <c r="H239" s="158"/>
      <c r="I239" s="158"/>
      <c r="J239" s="158"/>
      <c r="K239" s="158"/>
      <c r="L239" s="158"/>
      <c r="M239" s="158"/>
      <c r="N239" s="158"/>
      <c r="O239" s="158"/>
      <c r="P239" s="158"/>
      <c r="Q239" s="159"/>
    </row>
    <row r="240" spans="1:17" x14ac:dyDescent="0.35">
      <c r="A240" s="166"/>
      <c r="B240" s="169">
        <v>80</v>
      </c>
      <c r="C240" s="147"/>
      <c r="D240" s="169"/>
      <c r="E240" s="154">
        <v>0</v>
      </c>
      <c r="F240" s="154">
        <v>0</v>
      </c>
      <c r="G240" s="154">
        <v>0</v>
      </c>
      <c r="H240" s="154">
        <v>24</v>
      </c>
      <c r="I240" s="154">
        <v>0</v>
      </c>
      <c r="J240" s="154">
        <v>61</v>
      </c>
      <c r="K240" s="154">
        <v>870</v>
      </c>
      <c r="L240" s="154">
        <v>5</v>
      </c>
      <c r="M240" s="154">
        <v>0</v>
      </c>
      <c r="N240" s="154">
        <v>0</v>
      </c>
      <c r="O240" s="154">
        <v>0</v>
      </c>
      <c r="P240" s="154">
        <v>0</v>
      </c>
      <c r="Q240" s="156">
        <v>150</v>
      </c>
    </row>
    <row r="241" spans="1:17" x14ac:dyDescent="0.35">
      <c r="A241" s="167"/>
      <c r="B241" s="170"/>
      <c r="C241" s="151" t="s">
        <v>136</v>
      </c>
      <c r="D241" s="170"/>
      <c r="E241" s="155"/>
      <c r="F241" s="155"/>
      <c r="G241" s="155"/>
      <c r="H241" s="155"/>
      <c r="I241" s="155"/>
      <c r="J241" s="155"/>
      <c r="K241" s="155"/>
      <c r="L241" s="155"/>
      <c r="M241" s="155"/>
      <c r="N241" s="155"/>
      <c r="O241" s="155"/>
      <c r="P241" s="155"/>
      <c r="Q241" s="157"/>
    </row>
    <row r="242" spans="1:17" ht="15" thickBot="1" x14ac:dyDescent="0.4">
      <c r="A242" s="168"/>
      <c r="B242" s="171"/>
      <c r="C242" s="148" t="s">
        <v>1025</v>
      </c>
      <c r="D242" s="171"/>
      <c r="E242" s="158"/>
      <c r="F242" s="158"/>
      <c r="G242" s="158"/>
      <c r="H242" s="158"/>
      <c r="I242" s="158"/>
      <c r="J242" s="158"/>
      <c r="K242" s="158"/>
      <c r="L242" s="158"/>
      <c r="M242" s="158"/>
      <c r="N242" s="158"/>
      <c r="O242" s="158"/>
      <c r="P242" s="158"/>
      <c r="Q242" s="159"/>
    </row>
    <row r="243" spans="1:17" x14ac:dyDescent="0.35">
      <c r="A243" s="166"/>
      <c r="B243" s="169">
        <v>81</v>
      </c>
      <c r="C243" s="147"/>
      <c r="D243" s="169"/>
      <c r="E243" s="154">
        <v>0</v>
      </c>
      <c r="F243" s="154">
        <v>0</v>
      </c>
      <c r="G243" s="154">
        <v>0</v>
      </c>
      <c r="H243" s="154">
        <v>23</v>
      </c>
      <c r="I243" s="154">
        <v>0</v>
      </c>
      <c r="J243" s="154">
        <v>66</v>
      </c>
      <c r="K243" s="154">
        <v>786</v>
      </c>
      <c r="L243" s="154">
        <v>5</v>
      </c>
      <c r="M243" s="154">
        <v>0</v>
      </c>
      <c r="N243" s="154">
        <v>0</v>
      </c>
      <c r="O243" s="154">
        <v>0</v>
      </c>
      <c r="P243" s="154">
        <v>0</v>
      </c>
      <c r="Q243" s="156">
        <v>145.80000000000001</v>
      </c>
    </row>
    <row r="244" spans="1:17" x14ac:dyDescent="0.35">
      <c r="A244" s="167"/>
      <c r="B244" s="170"/>
      <c r="C244" s="151" t="s">
        <v>627</v>
      </c>
      <c r="D244" s="170"/>
      <c r="E244" s="155"/>
      <c r="F244" s="155"/>
      <c r="G244" s="155"/>
      <c r="H244" s="155"/>
      <c r="I244" s="155"/>
      <c r="J244" s="155"/>
      <c r="K244" s="155"/>
      <c r="L244" s="155"/>
      <c r="M244" s="155"/>
      <c r="N244" s="155"/>
      <c r="O244" s="155"/>
      <c r="P244" s="155"/>
      <c r="Q244" s="157"/>
    </row>
    <row r="245" spans="1:17" ht="15" thickBot="1" x14ac:dyDescent="0.4">
      <c r="A245" s="168"/>
      <c r="B245" s="171"/>
      <c r="C245" s="148" t="s">
        <v>1031</v>
      </c>
      <c r="D245" s="171"/>
      <c r="E245" s="158"/>
      <c r="F245" s="158"/>
      <c r="G245" s="158"/>
      <c r="H245" s="158"/>
      <c r="I245" s="158"/>
      <c r="J245" s="158"/>
      <c r="K245" s="158"/>
      <c r="L245" s="158"/>
      <c r="M245" s="158"/>
      <c r="N245" s="158"/>
      <c r="O245" s="158"/>
      <c r="P245" s="158"/>
      <c r="Q245" s="159"/>
    </row>
    <row r="246" spans="1:17" x14ac:dyDescent="0.35">
      <c r="A246" s="166"/>
      <c r="B246" s="169">
        <v>82</v>
      </c>
      <c r="C246" s="147"/>
      <c r="D246" s="169"/>
      <c r="E246" s="154">
        <v>0</v>
      </c>
      <c r="F246" s="154">
        <v>0</v>
      </c>
      <c r="G246" s="154">
        <v>0</v>
      </c>
      <c r="H246" s="154">
        <v>13</v>
      </c>
      <c r="I246" s="154">
        <v>0</v>
      </c>
      <c r="J246" s="154">
        <v>64</v>
      </c>
      <c r="K246" s="154">
        <v>693</v>
      </c>
      <c r="L246" s="154">
        <v>5</v>
      </c>
      <c r="M246" s="154">
        <v>0</v>
      </c>
      <c r="N246" s="154">
        <v>0</v>
      </c>
      <c r="O246" s="154">
        <v>0</v>
      </c>
      <c r="P246" s="154">
        <v>0</v>
      </c>
      <c r="Q246" s="156">
        <v>135.19999999999999</v>
      </c>
    </row>
    <row r="247" spans="1:17" x14ac:dyDescent="0.35">
      <c r="A247" s="167"/>
      <c r="B247" s="170"/>
      <c r="C247" s="151" t="s">
        <v>212</v>
      </c>
      <c r="D247" s="170"/>
      <c r="E247" s="155"/>
      <c r="F247" s="155"/>
      <c r="G247" s="155"/>
      <c r="H247" s="155"/>
      <c r="I247" s="155"/>
      <c r="J247" s="155"/>
      <c r="K247" s="155"/>
      <c r="L247" s="155"/>
      <c r="M247" s="155"/>
      <c r="N247" s="155"/>
      <c r="O247" s="155"/>
      <c r="P247" s="155"/>
      <c r="Q247" s="157"/>
    </row>
    <row r="248" spans="1:17" ht="15" thickBot="1" x14ac:dyDescent="0.4">
      <c r="A248" s="168"/>
      <c r="B248" s="171"/>
      <c r="C248" s="148" t="s">
        <v>1071</v>
      </c>
      <c r="D248" s="171"/>
      <c r="E248" s="158"/>
      <c r="F248" s="158"/>
      <c r="G248" s="158"/>
      <c r="H248" s="158"/>
      <c r="I248" s="158"/>
      <c r="J248" s="158"/>
      <c r="K248" s="158"/>
      <c r="L248" s="158"/>
      <c r="M248" s="158"/>
      <c r="N248" s="158"/>
      <c r="O248" s="158"/>
      <c r="P248" s="158"/>
      <c r="Q248" s="159"/>
    </row>
    <row r="249" spans="1:17" x14ac:dyDescent="0.35">
      <c r="A249" s="166"/>
      <c r="B249" s="169">
        <v>83</v>
      </c>
      <c r="C249" s="147"/>
      <c r="D249" s="169"/>
      <c r="E249" s="154">
        <v>0</v>
      </c>
      <c r="F249" s="154">
        <v>0</v>
      </c>
      <c r="G249" s="154">
        <v>0</v>
      </c>
      <c r="H249" s="154">
        <v>0</v>
      </c>
      <c r="I249" s="154">
        <v>0</v>
      </c>
      <c r="J249" s="154">
        <v>64</v>
      </c>
      <c r="K249" s="154">
        <v>705</v>
      </c>
      <c r="L249" s="154">
        <v>5</v>
      </c>
      <c r="M249" s="154">
        <v>0</v>
      </c>
      <c r="N249" s="154">
        <v>0</v>
      </c>
      <c r="O249" s="154">
        <v>0</v>
      </c>
      <c r="P249" s="154">
        <v>0</v>
      </c>
      <c r="Q249" s="156">
        <v>130.80000000000001</v>
      </c>
    </row>
    <row r="250" spans="1:17" x14ac:dyDescent="0.35">
      <c r="A250" s="167"/>
      <c r="B250" s="170"/>
      <c r="C250" s="151" t="s">
        <v>734</v>
      </c>
      <c r="D250" s="170"/>
      <c r="E250" s="155"/>
      <c r="F250" s="155"/>
      <c r="G250" s="155"/>
      <c r="H250" s="155"/>
      <c r="I250" s="155"/>
      <c r="J250" s="155"/>
      <c r="K250" s="155"/>
      <c r="L250" s="155"/>
      <c r="M250" s="155"/>
      <c r="N250" s="155"/>
      <c r="O250" s="155"/>
      <c r="P250" s="155"/>
      <c r="Q250" s="157"/>
    </row>
    <row r="251" spans="1:17" ht="15" thickBot="1" x14ac:dyDescent="0.4">
      <c r="A251" s="168"/>
      <c r="B251" s="171"/>
      <c r="C251" s="148" t="s">
        <v>1387</v>
      </c>
      <c r="D251" s="171"/>
      <c r="E251" s="158"/>
      <c r="F251" s="158"/>
      <c r="G251" s="158"/>
      <c r="H251" s="158"/>
      <c r="I251" s="158"/>
      <c r="J251" s="158"/>
      <c r="K251" s="158"/>
      <c r="L251" s="158"/>
      <c r="M251" s="158"/>
      <c r="N251" s="158"/>
      <c r="O251" s="158"/>
      <c r="P251" s="158"/>
      <c r="Q251" s="159"/>
    </row>
    <row r="252" spans="1:17" x14ac:dyDescent="0.35">
      <c r="A252" s="166"/>
      <c r="B252" s="169">
        <v>84</v>
      </c>
      <c r="C252" s="147"/>
      <c r="D252" s="169"/>
      <c r="E252" s="154">
        <v>0</v>
      </c>
      <c r="F252" s="154">
        <v>0</v>
      </c>
      <c r="G252" s="154">
        <v>0</v>
      </c>
      <c r="H252" s="154">
        <v>105</v>
      </c>
      <c r="I252" s="154">
        <v>0</v>
      </c>
      <c r="J252" s="154">
        <v>63</v>
      </c>
      <c r="K252" s="154">
        <v>725</v>
      </c>
      <c r="L252" s="154">
        <v>5</v>
      </c>
      <c r="M252" s="154">
        <v>0</v>
      </c>
      <c r="N252" s="154">
        <v>0</v>
      </c>
      <c r="O252" s="154">
        <v>0</v>
      </c>
      <c r="P252" s="154">
        <v>0</v>
      </c>
      <c r="Q252" s="156">
        <v>145.6</v>
      </c>
    </row>
    <row r="253" spans="1:17" x14ac:dyDescent="0.35">
      <c r="A253" s="167"/>
      <c r="B253" s="170"/>
      <c r="C253" s="151" t="s">
        <v>243</v>
      </c>
      <c r="D253" s="170"/>
      <c r="E253" s="155"/>
      <c r="F253" s="155"/>
      <c r="G253" s="155"/>
      <c r="H253" s="155"/>
      <c r="I253" s="155"/>
      <c r="J253" s="155"/>
      <c r="K253" s="155"/>
      <c r="L253" s="155"/>
      <c r="M253" s="155"/>
      <c r="N253" s="155"/>
      <c r="O253" s="155"/>
      <c r="P253" s="155"/>
      <c r="Q253" s="157"/>
    </row>
    <row r="254" spans="1:17" ht="15" thickBot="1" x14ac:dyDescent="0.4">
      <c r="A254" s="168"/>
      <c r="B254" s="171"/>
      <c r="C254" s="148" t="s">
        <v>1082</v>
      </c>
      <c r="D254" s="171"/>
      <c r="E254" s="158"/>
      <c r="F254" s="158"/>
      <c r="G254" s="158"/>
      <c r="H254" s="158"/>
      <c r="I254" s="158"/>
      <c r="J254" s="158"/>
      <c r="K254" s="158"/>
      <c r="L254" s="158"/>
      <c r="M254" s="158"/>
      <c r="N254" s="158"/>
      <c r="O254" s="158"/>
      <c r="P254" s="158"/>
      <c r="Q254" s="159"/>
    </row>
    <row r="255" spans="1:17" x14ac:dyDescent="0.35">
      <c r="A255" s="166"/>
      <c r="B255" s="169">
        <v>85</v>
      </c>
      <c r="C255" s="147"/>
      <c r="D255" s="169"/>
      <c r="E255" s="154">
        <v>0</v>
      </c>
      <c r="F255" s="154">
        <v>0</v>
      </c>
      <c r="G255" s="154">
        <v>0</v>
      </c>
      <c r="H255" s="154">
        <v>624</v>
      </c>
      <c r="I255" s="154">
        <v>5</v>
      </c>
      <c r="J255" s="154">
        <v>28</v>
      </c>
      <c r="K255" s="154">
        <v>193</v>
      </c>
      <c r="L255" s="154">
        <v>1</v>
      </c>
      <c r="M255" s="154">
        <v>0</v>
      </c>
      <c r="N255" s="154">
        <v>0</v>
      </c>
      <c r="O255" s="154">
        <v>0</v>
      </c>
      <c r="P255" s="154">
        <v>0</v>
      </c>
      <c r="Q255" s="156">
        <v>128.5</v>
      </c>
    </row>
    <row r="256" spans="1:17" x14ac:dyDescent="0.35">
      <c r="A256" s="167"/>
      <c r="B256" s="170"/>
      <c r="C256" s="151" t="s">
        <v>124</v>
      </c>
      <c r="D256" s="170"/>
      <c r="E256" s="155"/>
      <c r="F256" s="155"/>
      <c r="G256" s="155"/>
      <c r="H256" s="155"/>
      <c r="I256" s="155"/>
      <c r="J256" s="155"/>
      <c r="K256" s="155"/>
      <c r="L256" s="155"/>
      <c r="M256" s="155"/>
      <c r="N256" s="155"/>
      <c r="O256" s="155"/>
      <c r="P256" s="155"/>
      <c r="Q256" s="157"/>
    </row>
    <row r="257" spans="1:17" ht="15" thickBot="1" x14ac:dyDescent="0.4">
      <c r="A257" s="168"/>
      <c r="B257" s="171"/>
      <c r="C257" s="148" t="s">
        <v>1091</v>
      </c>
      <c r="D257" s="171"/>
      <c r="E257" s="158"/>
      <c r="F257" s="158"/>
      <c r="G257" s="158"/>
      <c r="H257" s="158"/>
      <c r="I257" s="158"/>
      <c r="J257" s="158"/>
      <c r="K257" s="158"/>
      <c r="L257" s="158"/>
      <c r="M257" s="158"/>
      <c r="N257" s="158"/>
      <c r="O257" s="158"/>
      <c r="P257" s="158"/>
      <c r="Q257" s="159"/>
    </row>
    <row r="258" spans="1:17" x14ac:dyDescent="0.35">
      <c r="A258" s="166"/>
      <c r="B258" s="169">
        <v>86</v>
      </c>
      <c r="C258" s="147"/>
      <c r="D258" s="169"/>
      <c r="E258" s="154">
        <v>0</v>
      </c>
      <c r="F258" s="154">
        <v>0</v>
      </c>
      <c r="G258" s="154">
        <v>0</v>
      </c>
      <c r="H258" s="154">
        <v>709</v>
      </c>
      <c r="I258" s="154">
        <v>4</v>
      </c>
      <c r="J258" s="154">
        <v>32</v>
      </c>
      <c r="K258" s="154">
        <v>212</v>
      </c>
      <c r="L258" s="154">
        <v>1</v>
      </c>
      <c r="M258" s="154">
        <v>0</v>
      </c>
      <c r="N258" s="154">
        <v>0</v>
      </c>
      <c r="O258" s="154">
        <v>0</v>
      </c>
      <c r="P258" s="154">
        <v>0</v>
      </c>
      <c r="Q258" s="156">
        <v>138.80000000000001</v>
      </c>
    </row>
    <row r="259" spans="1:17" x14ac:dyDescent="0.35">
      <c r="A259" s="167"/>
      <c r="B259" s="170"/>
      <c r="C259" s="151" t="s">
        <v>160</v>
      </c>
      <c r="D259" s="170"/>
      <c r="E259" s="155"/>
      <c r="F259" s="155"/>
      <c r="G259" s="155"/>
      <c r="H259" s="155"/>
      <c r="I259" s="155"/>
      <c r="J259" s="155"/>
      <c r="K259" s="155"/>
      <c r="L259" s="155"/>
      <c r="M259" s="155"/>
      <c r="N259" s="155"/>
      <c r="O259" s="155"/>
      <c r="P259" s="155"/>
      <c r="Q259" s="157"/>
    </row>
    <row r="260" spans="1:17" ht="15" thickBot="1" x14ac:dyDescent="0.4">
      <c r="A260" s="168"/>
      <c r="B260" s="171"/>
      <c r="C260" s="148" t="s">
        <v>1068</v>
      </c>
      <c r="D260" s="171"/>
      <c r="E260" s="158"/>
      <c r="F260" s="158"/>
      <c r="G260" s="158"/>
      <c r="H260" s="158"/>
      <c r="I260" s="158"/>
      <c r="J260" s="158"/>
      <c r="K260" s="158"/>
      <c r="L260" s="158"/>
      <c r="M260" s="158"/>
      <c r="N260" s="158"/>
      <c r="O260" s="158"/>
      <c r="P260" s="158"/>
      <c r="Q260" s="159"/>
    </row>
    <row r="261" spans="1:17" x14ac:dyDescent="0.35">
      <c r="A261" s="166"/>
      <c r="B261" s="169">
        <v>87</v>
      </c>
      <c r="C261" s="147"/>
      <c r="D261" s="169"/>
      <c r="E261" s="154">
        <v>0</v>
      </c>
      <c r="F261" s="154">
        <v>0</v>
      </c>
      <c r="G261" s="154">
        <v>0</v>
      </c>
      <c r="H261" s="154">
        <v>716</v>
      </c>
      <c r="I261" s="154">
        <v>5</v>
      </c>
      <c r="J261" s="154">
        <v>25</v>
      </c>
      <c r="K261" s="154">
        <v>188</v>
      </c>
      <c r="L261" s="154">
        <v>1</v>
      </c>
      <c r="M261" s="154">
        <v>0</v>
      </c>
      <c r="N261" s="154">
        <v>0</v>
      </c>
      <c r="O261" s="154">
        <v>0</v>
      </c>
      <c r="P261" s="154">
        <v>0</v>
      </c>
      <c r="Q261" s="156">
        <v>138.6</v>
      </c>
    </row>
    <row r="262" spans="1:17" x14ac:dyDescent="0.35">
      <c r="A262" s="167"/>
      <c r="B262" s="170"/>
      <c r="C262" s="151" t="s">
        <v>226</v>
      </c>
      <c r="D262" s="170"/>
      <c r="E262" s="155"/>
      <c r="F262" s="155"/>
      <c r="G262" s="155"/>
      <c r="H262" s="155"/>
      <c r="I262" s="155"/>
      <c r="J262" s="155"/>
      <c r="K262" s="155"/>
      <c r="L262" s="155"/>
      <c r="M262" s="155"/>
      <c r="N262" s="155"/>
      <c r="O262" s="155"/>
      <c r="P262" s="155"/>
      <c r="Q262" s="157"/>
    </row>
    <row r="263" spans="1:17" ht="15" thickBot="1" x14ac:dyDescent="0.4">
      <c r="A263" s="168"/>
      <c r="B263" s="171"/>
      <c r="C263" s="148" t="s">
        <v>1066</v>
      </c>
      <c r="D263" s="171"/>
      <c r="E263" s="158"/>
      <c r="F263" s="158"/>
      <c r="G263" s="158"/>
      <c r="H263" s="158"/>
      <c r="I263" s="158"/>
      <c r="J263" s="158"/>
      <c r="K263" s="158"/>
      <c r="L263" s="158"/>
      <c r="M263" s="158"/>
      <c r="N263" s="158"/>
      <c r="O263" s="158"/>
      <c r="P263" s="158"/>
      <c r="Q263" s="159"/>
    </row>
    <row r="264" spans="1:17" x14ac:dyDescent="0.35">
      <c r="A264" s="166"/>
      <c r="B264" s="169">
        <v>88</v>
      </c>
      <c r="C264" s="147"/>
      <c r="D264" s="169"/>
      <c r="E264" s="154">
        <v>0</v>
      </c>
      <c r="F264" s="154">
        <v>0</v>
      </c>
      <c r="G264" s="154">
        <v>0</v>
      </c>
      <c r="H264" s="154">
        <v>605</v>
      </c>
      <c r="I264" s="154">
        <v>4</v>
      </c>
      <c r="J264" s="154">
        <v>25</v>
      </c>
      <c r="K264" s="154">
        <v>206</v>
      </c>
      <c r="L264" s="154">
        <v>1</v>
      </c>
      <c r="M264" s="154">
        <v>0</v>
      </c>
      <c r="N264" s="154">
        <v>0</v>
      </c>
      <c r="O264" s="154">
        <v>0</v>
      </c>
      <c r="P264" s="154">
        <v>0</v>
      </c>
      <c r="Q264" s="156">
        <v>121.1</v>
      </c>
    </row>
    <row r="265" spans="1:17" x14ac:dyDescent="0.35">
      <c r="A265" s="167"/>
      <c r="B265" s="170"/>
      <c r="C265" s="151" t="s">
        <v>1238</v>
      </c>
      <c r="D265" s="170"/>
      <c r="E265" s="155"/>
      <c r="F265" s="155"/>
      <c r="G265" s="155"/>
      <c r="H265" s="155"/>
      <c r="I265" s="155"/>
      <c r="J265" s="155"/>
      <c r="K265" s="155"/>
      <c r="L265" s="155"/>
      <c r="M265" s="155"/>
      <c r="N265" s="155"/>
      <c r="O265" s="155"/>
      <c r="P265" s="155"/>
      <c r="Q265" s="157"/>
    </row>
    <row r="266" spans="1:17" ht="15" thickBot="1" x14ac:dyDescent="0.4">
      <c r="A266" s="168"/>
      <c r="B266" s="171"/>
      <c r="C266" s="148" t="s">
        <v>1058</v>
      </c>
      <c r="D266" s="171"/>
      <c r="E266" s="158"/>
      <c r="F266" s="158"/>
      <c r="G266" s="158"/>
      <c r="H266" s="158"/>
      <c r="I266" s="158"/>
      <c r="J266" s="158"/>
      <c r="K266" s="158"/>
      <c r="L266" s="158"/>
      <c r="M266" s="158"/>
      <c r="N266" s="158"/>
      <c r="O266" s="158"/>
      <c r="P266" s="158"/>
      <c r="Q266" s="159"/>
    </row>
    <row r="267" spans="1:17" x14ac:dyDescent="0.35">
      <c r="A267" s="166"/>
      <c r="B267" s="169">
        <v>89</v>
      </c>
      <c r="C267" s="147"/>
      <c r="D267" s="169"/>
      <c r="E267" s="154">
        <v>0</v>
      </c>
      <c r="F267" s="154">
        <v>0</v>
      </c>
      <c r="G267" s="154">
        <v>0</v>
      </c>
      <c r="H267" s="154">
        <v>644</v>
      </c>
      <c r="I267" s="154">
        <v>5</v>
      </c>
      <c r="J267" s="154">
        <v>23</v>
      </c>
      <c r="K267" s="154">
        <v>177</v>
      </c>
      <c r="L267" s="154">
        <v>1</v>
      </c>
      <c r="M267" s="154">
        <v>0</v>
      </c>
      <c r="N267" s="154">
        <v>0</v>
      </c>
      <c r="O267" s="154">
        <v>0</v>
      </c>
      <c r="P267" s="154">
        <v>0</v>
      </c>
      <c r="Q267" s="156">
        <v>125.5</v>
      </c>
    </row>
    <row r="268" spans="1:17" x14ac:dyDescent="0.35">
      <c r="A268" s="167"/>
      <c r="B268" s="170"/>
      <c r="C268" s="151" t="s">
        <v>1248</v>
      </c>
      <c r="D268" s="170"/>
      <c r="E268" s="155"/>
      <c r="F268" s="155"/>
      <c r="G268" s="155"/>
      <c r="H268" s="155"/>
      <c r="I268" s="155"/>
      <c r="J268" s="155"/>
      <c r="K268" s="155"/>
      <c r="L268" s="155"/>
      <c r="M268" s="155"/>
      <c r="N268" s="155"/>
      <c r="O268" s="155"/>
      <c r="P268" s="155"/>
      <c r="Q268" s="157"/>
    </row>
    <row r="269" spans="1:17" ht="15" thickBot="1" x14ac:dyDescent="0.4">
      <c r="A269" s="168"/>
      <c r="B269" s="171"/>
      <c r="C269" s="148" t="s">
        <v>1092</v>
      </c>
      <c r="D269" s="171"/>
      <c r="E269" s="158"/>
      <c r="F269" s="158"/>
      <c r="G269" s="158"/>
      <c r="H269" s="158"/>
      <c r="I269" s="158"/>
      <c r="J269" s="158"/>
      <c r="K269" s="158"/>
      <c r="L269" s="158"/>
      <c r="M269" s="158"/>
      <c r="N269" s="158"/>
      <c r="O269" s="158"/>
      <c r="P269" s="158"/>
      <c r="Q269" s="159"/>
    </row>
    <row r="270" spans="1:17" x14ac:dyDescent="0.35">
      <c r="A270" s="166"/>
      <c r="B270" s="169">
        <v>90</v>
      </c>
      <c r="C270" s="147"/>
      <c r="D270" s="169"/>
      <c r="E270" s="154">
        <v>0</v>
      </c>
      <c r="F270" s="154">
        <v>0</v>
      </c>
      <c r="G270" s="154">
        <v>0</v>
      </c>
      <c r="H270" s="154">
        <v>264</v>
      </c>
      <c r="I270" s="154">
        <v>1</v>
      </c>
      <c r="J270" s="154">
        <v>72</v>
      </c>
      <c r="K270" s="154">
        <v>510</v>
      </c>
      <c r="L270" s="154">
        <v>2</v>
      </c>
      <c r="M270" s="154">
        <v>0</v>
      </c>
      <c r="N270" s="154">
        <v>0</v>
      </c>
      <c r="O270" s="154">
        <v>0</v>
      </c>
      <c r="P270" s="154">
        <v>0</v>
      </c>
      <c r="Q270" s="156">
        <v>134.19999999999999</v>
      </c>
    </row>
    <row r="271" spans="1:17" x14ac:dyDescent="0.35">
      <c r="A271" s="167"/>
      <c r="B271" s="170"/>
      <c r="C271" s="151" t="s">
        <v>206</v>
      </c>
      <c r="D271" s="170"/>
      <c r="E271" s="155"/>
      <c r="F271" s="155"/>
      <c r="G271" s="155"/>
      <c r="H271" s="155"/>
      <c r="I271" s="155"/>
      <c r="J271" s="155"/>
      <c r="K271" s="155"/>
      <c r="L271" s="155"/>
      <c r="M271" s="155"/>
      <c r="N271" s="155"/>
      <c r="O271" s="155"/>
      <c r="P271" s="155"/>
      <c r="Q271" s="157"/>
    </row>
    <row r="272" spans="1:17" ht="15" thickBot="1" x14ac:dyDescent="0.4">
      <c r="A272" s="168"/>
      <c r="B272" s="171"/>
      <c r="C272" s="148" t="s">
        <v>1067</v>
      </c>
      <c r="D272" s="171"/>
      <c r="E272" s="158"/>
      <c r="F272" s="158"/>
      <c r="G272" s="158"/>
      <c r="H272" s="158"/>
      <c r="I272" s="158"/>
      <c r="J272" s="158"/>
      <c r="K272" s="158"/>
      <c r="L272" s="158"/>
      <c r="M272" s="158"/>
      <c r="N272" s="158"/>
      <c r="O272" s="158"/>
      <c r="P272" s="158"/>
      <c r="Q272" s="159"/>
    </row>
    <row r="273" spans="1:17" x14ac:dyDescent="0.35">
      <c r="A273" s="166"/>
      <c r="B273" s="169">
        <v>91</v>
      </c>
      <c r="C273" s="147"/>
      <c r="D273" s="169"/>
      <c r="E273" s="154">
        <v>0</v>
      </c>
      <c r="F273" s="154">
        <v>0</v>
      </c>
      <c r="G273" s="154">
        <v>0</v>
      </c>
      <c r="H273" s="154">
        <v>572</v>
      </c>
      <c r="I273" s="154">
        <v>2</v>
      </c>
      <c r="J273" s="154">
        <v>35</v>
      </c>
      <c r="K273" s="154">
        <v>277</v>
      </c>
      <c r="L273" s="154">
        <v>1</v>
      </c>
      <c r="M273" s="154">
        <v>0</v>
      </c>
      <c r="N273" s="154">
        <v>0</v>
      </c>
      <c r="O273" s="154">
        <v>0</v>
      </c>
      <c r="P273" s="154">
        <v>0</v>
      </c>
      <c r="Q273" s="156">
        <v>119.5</v>
      </c>
    </row>
    <row r="274" spans="1:17" x14ac:dyDescent="0.35">
      <c r="A274" s="167"/>
      <c r="B274" s="170"/>
      <c r="C274" s="151" t="s">
        <v>284</v>
      </c>
      <c r="D274" s="170"/>
      <c r="E274" s="155"/>
      <c r="F274" s="155"/>
      <c r="G274" s="155"/>
      <c r="H274" s="155"/>
      <c r="I274" s="155"/>
      <c r="J274" s="155"/>
      <c r="K274" s="155"/>
      <c r="L274" s="155"/>
      <c r="M274" s="155"/>
      <c r="N274" s="155"/>
      <c r="O274" s="155"/>
      <c r="P274" s="155"/>
      <c r="Q274" s="157"/>
    </row>
    <row r="275" spans="1:17" ht="15" thickBot="1" x14ac:dyDescent="0.4">
      <c r="A275" s="168"/>
      <c r="B275" s="171"/>
      <c r="C275" s="148" t="s">
        <v>1066</v>
      </c>
      <c r="D275" s="171"/>
      <c r="E275" s="158"/>
      <c r="F275" s="158"/>
      <c r="G275" s="158"/>
      <c r="H275" s="158"/>
      <c r="I275" s="158"/>
      <c r="J275" s="158"/>
      <c r="K275" s="158"/>
      <c r="L275" s="158"/>
      <c r="M275" s="158"/>
      <c r="N275" s="158"/>
      <c r="O275" s="158"/>
      <c r="P275" s="158"/>
      <c r="Q275" s="159"/>
    </row>
    <row r="276" spans="1:17" x14ac:dyDescent="0.35">
      <c r="A276" s="166"/>
      <c r="B276" s="169">
        <v>92</v>
      </c>
      <c r="C276" s="147"/>
      <c r="D276" s="169"/>
      <c r="E276" s="154">
        <v>0</v>
      </c>
      <c r="F276" s="154">
        <v>0</v>
      </c>
      <c r="G276" s="154">
        <v>0</v>
      </c>
      <c r="H276" s="154">
        <v>523</v>
      </c>
      <c r="I276" s="154">
        <v>5</v>
      </c>
      <c r="J276" s="154">
        <v>18</v>
      </c>
      <c r="K276" s="154">
        <v>178</v>
      </c>
      <c r="L276" s="154">
        <v>1</v>
      </c>
      <c r="M276" s="154">
        <v>0</v>
      </c>
      <c r="N276" s="154">
        <v>0</v>
      </c>
      <c r="O276" s="154">
        <v>0</v>
      </c>
      <c r="P276" s="154">
        <v>0</v>
      </c>
      <c r="Q276" s="156">
        <v>116.3</v>
      </c>
    </row>
    <row r="277" spans="1:17" x14ac:dyDescent="0.35">
      <c r="A277" s="167"/>
      <c r="B277" s="170"/>
      <c r="C277" s="151" t="s">
        <v>192</v>
      </c>
      <c r="D277" s="170"/>
      <c r="E277" s="155"/>
      <c r="F277" s="155"/>
      <c r="G277" s="155"/>
      <c r="H277" s="155"/>
      <c r="I277" s="155"/>
      <c r="J277" s="155"/>
      <c r="K277" s="155"/>
      <c r="L277" s="155"/>
      <c r="M277" s="155"/>
      <c r="N277" s="155"/>
      <c r="O277" s="155"/>
      <c r="P277" s="155"/>
      <c r="Q277" s="157"/>
    </row>
    <row r="278" spans="1:17" ht="15" thickBot="1" x14ac:dyDescent="0.4">
      <c r="A278" s="168"/>
      <c r="B278" s="171"/>
      <c r="C278" s="148" t="s">
        <v>1084</v>
      </c>
      <c r="D278" s="171"/>
      <c r="E278" s="158"/>
      <c r="F278" s="158"/>
      <c r="G278" s="158"/>
      <c r="H278" s="158"/>
      <c r="I278" s="158"/>
      <c r="J278" s="158"/>
      <c r="K278" s="158"/>
      <c r="L278" s="158"/>
      <c r="M278" s="158"/>
      <c r="N278" s="158"/>
      <c r="O278" s="158"/>
      <c r="P278" s="158"/>
      <c r="Q278" s="159"/>
    </row>
    <row r="279" spans="1:17" x14ac:dyDescent="0.35">
      <c r="A279" s="166"/>
      <c r="B279" s="169">
        <v>93</v>
      </c>
      <c r="C279" s="147"/>
      <c r="D279" s="169"/>
      <c r="E279" s="154">
        <v>0</v>
      </c>
      <c r="F279" s="154">
        <v>0</v>
      </c>
      <c r="G279" s="154">
        <v>0</v>
      </c>
      <c r="H279" s="154">
        <v>250</v>
      </c>
      <c r="I279" s="154">
        <v>2</v>
      </c>
      <c r="J279" s="154">
        <v>55</v>
      </c>
      <c r="K279" s="154">
        <v>494</v>
      </c>
      <c r="L279" s="154">
        <v>3</v>
      </c>
      <c r="M279" s="154">
        <v>0</v>
      </c>
      <c r="N279" s="154">
        <v>0</v>
      </c>
      <c r="O279" s="154">
        <v>0</v>
      </c>
      <c r="P279" s="154">
        <v>0</v>
      </c>
      <c r="Q279" s="156">
        <v>129</v>
      </c>
    </row>
    <row r="280" spans="1:17" x14ac:dyDescent="0.35">
      <c r="A280" s="167"/>
      <c r="B280" s="170"/>
      <c r="C280" s="151" t="s">
        <v>224</v>
      </c>
      <c r="D280" s="170"/>
      <c r="E280" s="155"/>
      <c r="F280" s="155"/>
      <c r="G280" s="155"/>
      <c r="H280" s="155"/>
      <c r="I280" s="155"/>
      <c r="J280" s="155"/>
      <c r="K280" s="155"/>
      <c r="L280" s="155"/>
      <c r="M280" s="155"/>
      <c r="N280" s="155"/>
      <c r="O280" s="155"/>
      <c r="P280" s="155"/>
      <c r="Q280" s="157"/>
    </row>
    <row r="281" spans="1:17" ht="15" thickBot="1" x14ac:dyDescent="0.4">
      <c r="A281" s="168"/>
      <c r="B281" s="171"/>
      <c r="C281" s="148" t="s">
        <v>1065</v>
      </c>
      <c r="D281" s="171"/>
      <c r="E281" s="158"/>
      <c r="F281" s="158"/>
      <c r="G281" s="158"/>
      <c r="H281" s="158"/>
      <c r="I281" s="158"/>
      <c r="J281" s="158"/>
      <c r="K281" s="158"/>
      <c r="L281" s="158"/>
      <c r="M281" s="158"/>
      <c r="N281" s="158"/>
      <c r="O281" s="158"/>
      <c r="P281" s="158"/>
      <c r="Q281" s="159"/>
    </row>
    <row r="282" spans="1:17" x14ac:dyDescent="0.35">
      <c r="A282" s="166"/>
      <c r="B282" s="169">
        <v>94</v>
      </c>
      <c r="C282" s="147"/>
      <c r="D282" s="169"/>
      <c r="E282" s="154">
        <v>0</v>
      </c>
      <c r="F282" s="154">
        <v>0</v>
      </c>
      <c r="G282" s="154">
        <v>0</v>
      </c>
      <c r="H282" s="154">
        <v>0</v>
      </c>
      <c r="I282" s="154">
        <v>0</v>
      </c>
      <c r="J282" s="154">
        <v>63</v>
      </c>
      <c r="K282" s="154">
        <v>838</v>
      </c>
      <c r="L282" s="154">
        <v>5</v>
      </c>
      <c r="M282" s="154">
        <v>0</v>
      </c>
      <c r="N282" s="154">
        <v>0</v>
      </c>
      <c r="O282" s="154">
        <v>0</v>
      </c>
      <c r="P282" s="154">
        <v>0</v>
      </c>
      <c r="Q282" s="156">
        <v>144.5</v>
      </c>
    </row>
    <row r="283" spans="1:17" x14ac:dyDescent="0.35">
      <c r="A283" s="167"/>
      <c r="B283" s="170"/>
      <c r="C283" s="151" t="s">
        <v>915</v>
      </c>
      <c r="D283" s="170"/>
      <c r="E283" s="155"/>
      <c r="F283" s="155"/>
      <c r="G283" s="155"/>
      <c r="H283" s="155"/>
      <c r="I283" s="155"/>
      <c r="J283" s="155"/>
      <c r="K283" s="155"/>
      <c r="L283" s="155"/>
      <c r="M283" s="155"/>
      <c r="N283" s="155"/>
      <c r="O283" s="155"/>
      <c r="P283" s="155"/>
      <c r="Q283" s="157"/>
    </row>
    <row r="284" spans="1:17" ht="15" thickBot="1" x14ac:dyDescent="0.4">
      <c r="A284" s="168"/>
      <c r="B284" s="171"/>
      <c r="C284" s="148" t="s">
        <v>1106</v>
      </c>
      <c r="D284" s="171"/>
      <c r="E284" s="158"/>
      <c r="F284" s="158"/>
      <c r="G284" s="158"/>
      <c r="H284" s="158"/>
      <c r="I284" s="158"/>
      <c r="J284" s="158"/>
      <c r="K284" s="158"/>
      <c r="L284" s="158"/>
      <c r="M284" s="158"/>
      <c r="N284" s="158"/>
      <c r="O284" s="158"/>
      <c r="P284" s="158"/>
      <c r="Q284" s="159"/>
    </row>
    <row r="285" spans="1:17" x14ac:dyDescent="0.35">
      <c r="A285" s="166"/>
      <c r="B285" s="169">
        <v>95</v>
      </c>
      <c r="C285" s="147"/>
      <c r="D285" s="169"/>
      <c r="E285" s="154">
        <v>0</v>
      </c>
      <c r="F285" s="154">
        <v>0</v>
      </c>
      <c r="G285" s="154">
        <v>0</v>
      </c>
      <c r="H285" s="154">
        <v>0</v>
      </c>
      <c r="I285" s="154">
        <v>0</v>
      </c>
      <c r="J285" s="154">
        <v>77</v>
      </c>
      <c r="K285" s="154">
        <v>844</v>
      </c>
      <c r="L285" s="154">
        <v>5</v>
      </c>
      <c r="M285" s="154">
        <v>0</v>
      </c>
      <c r="N285" s="154">
        <v>0</v>
      </c>
      <c r="O285" s="154">
        <v>0</v>
      </c>
      <c r="P285" s="154">
        <v>0</v>
      </c>
      <c r="Q285" s="156">
        <v>152.5</v>
      </c>
    </row>
    <row r="286" spans="1:17" x14ac:dyDescent="0.35">
      <c r="A286" s="167"/>
      <c r="B286" s="170"/>
      <c r="C286" s="151" t="s">
        <v>347</v>
      </c>
      <c r="D286" s="170"/>
      <c r="E286" s="155"/>
      <c r="F286" s="155"/>
      <c r="G286" s="155"/>
      <c r="H286" s="155"/>
      <c r="I286" s="155"/>
      <c r="J286" s="155"/>
      <c r="K286" s="155"/>
      <c r="L286" s="155"/>
      <c r="M286" s="155"/>
      <c r="N286" s="155"/>
      <c r="O286" s="155"/>
      <c r="P286" s="155"/>
      <c r="Q286" s="157"/>
    </row>
    <row r="287" spans="1:17" ht="15" thickBot="1" x14ac:dyDescent="0.4">
      <c r="A287" s="168"/>
      <c r="B287" s="171"/>
      <c r="C287" s="148" t="s">
        <v>1079</v>
      </c>
      <c r="D287" s="171"/>
      <c r="E287" s="158"/>
      <c r="F287" s="158"/>
      <c r="G287" s="158"/>
      <c r="H287" s="158"/>
      <c r="I287" s="158"/>
      <c r="J287" s="158"/>
      <c r="K287" s="158"/>
      <c r="L287" s="158"/>
      <c r="M287" s="158"/>
      <c r="N287" s="158"/>
      <c r="O287" s="158"/>
      <c r="P287" s="158"/>
      <c r="Q287" s="159"/>
    </row>
    <row r="288" spans="1:17" x14ac:dyDescent="0.35">
      <c r="A288" s="166"/>
      <c r="B288" s="169">
        <v>96</v>
      </c>
      <c r="C288" s="147"/>
      <c r="D288" s="169"/>
      <c r="E288" s="154">
        <v>0</v>
      </c>
      <c r="F288" s="154">
        <v>0</v>
      </c>
      <c r="G288" s="154">
        <v>0</v>
      </c>
      <c r="H288" s="154">
        <v>0</v>
      </c>
      <c r="I288" s="154">
        <v>0</v>
      </c>
      <c r="J288" s="154">
        <v>54</v>
      </c>
      <c r="K288" s="154">
        <v>771</v>
      </c>
      <c r="L288" s="154">
        <v>5</v>
      </c>
      <c r="M288" s="154">
        <v>0</v>
      </c>
      <c r="N288" s="154">
        <v>0</v>
      </c>
      <c r="O288" s="154">
        <v>0</v>
      </c>
      <c r="P288" s="154">
        <v>0</v>
      </c>
      <c r="Q288" s="156">
        <v>134.9</v>
      </c>
    </row>
    <row r="289" spans="1:17" x14ac:dyDescent="0.35">
      <c r="A289" s="167"/>
      <c r="B289" s="170"/>
      <c r="C289" s="151" t="s">
        <v>949</v>
      </c>
      <c r="D289" s="170"/>
      <c r="E289" s="155"/>
      <c r="F289" s="155"/>
      <c r="G289" s="155"/>
      <c r="H289" s="155"/>
      <c r="I289" s="155"/>
      <c r="J289" s="155"/>
      <c r="K289" s="155"/>
      <c r="L289" s="155"/>
      <c r="M289" s="155"/>
      <c r="N289" s="155"/>
      <c r="O289" s="155"/>
      <c r="P289" s="155"/>
      <c r="Q289" s="157"/>
    </row>
    <row r="290" spans="1:17" ht="15" thickBot="1" x14ac:dyDescent="0.4">
      <c r="A290" s="168"/>
      <c r="B290" s="171"/>
      <c r="C290" s="148" t="s">
        <v>1078</v>
      </c>
      <c r="D290" s="171"/>
      <c r="E290" s="158"/>
      <c r="F290" s="158"/>
      <c r="G290" s="158"/>
      <c r="H290" s="158"/>
      <c r="I290" s="158"/>
      <c r="J290" s="158"/>
      <c r="K290" s="158"/>
      <c r="L290" s="158"/>
      <c r="M290" s="158"/>
      <c r="N290" s="158"/>
      <c r="O290" s="158"/>
      <c r="P290" s="158"/>
      <c r="Q290" s="159"/>
    </row>
    <row r="291" spans="1:17" x14ac:dyDescent="0.35">
      <c r="A291" s="166"/>
      <c r="B291" s="169">
        <v>97</v>
      </c>
      <c r="C291" s="147"/>
      <c r="D291" s="169"/>
      <c r="E291" s="154">
        <v>0</v>
      </c>
      <c r="F291" s="154">
        <v>0</v>
      </c>
      <c r="G291" s="154">
        <v>0</v>
      </c>
      <c r="H291" s="154">
        <v>21</v>
      </c>
      <c r="I291" s="154">
        <v>0</v>
      </c>
      <c r="J291" s="154">
        <v>65</v>
      </c>
      <c r="K291" s="154">
        <v>801</v>
      </c>
      <c r="L291" s="154">
        <v>4</v>
      </c>
      <c r="M291" s="154">
        <v>0</v>
      </c>
      <c r="N291" s="154">
        <v>0</v>
      </c>
      <c r="O291" s="154">
        <v>0</v>
      </c>
      <c r="P291" s="154">
        <v>0</v>
      </c>
      <c r="Q291" s="156">
        <v>142</v>
      </c>
    </row>
    <row r="292" spans="1:17" x14ac:dyDescent="0.35">
      <c r="A292" s="167"/>
      <c r="B292" s="170"/>
      <c r="C292" s="151" t="s">
        <v>249</v>
      </c>
      <c r="D292" s="170"/>
      <c r="E292" s="155"/>
      <c r="F292" s="155"/>
      <c r="G292" s="155"/>
      <c r="H292" s="155"/>
      <c r="I292" s="155"/>
      <c r="J292" s="155"/>
      <c r="K292" s="155"/>
      <c r="L292" s="155"/>
      <c r="M292" s="155"/>
      <c r="N292" s="155"/>
      <c r="O292" s="155"/>
      <c r="P292" s="155"/>
      <c r="Q292" s="157"/>
    </row>
    <row r="293" spans="1:17" ht="15" thickBot="1" x14ac:dyDescent="0.4">
      <c r="A293" s="168"/>
      <c r="B293" s="171"/>
      <c r="C293" s="148" t="s">
        <v>1078</v>
      </c>
      <c r="D293" s="171"/>
      <c r="E293" s="158"/>
      <c r="F293" s="158"/>
      <c r="G293" s="158"/>
      <c r="H293" s="158"/>
      <c r="I293" s="158"/>
      <c r="J293" s="158"/>
      <c r="K293" s="158"/>
      <c r="L293" s="158"/>
      <c r="M293" s="158"/>
      <c r="N293" s="158"/>
      <c r="O293" s="158"/>
      <c r="P293" s="158"/>
      <c r="Q293" s="159"/>
    </row>
    <row r="294" spans="1:17" x14ac:dyDescent="0.35">
      <c r="A294" s="166"/>
      <c r="B294" s="169">
        <v>98</v>
      </c>
      <c r="C294" s="147"/>
      <c r="D294" s="169"/>
      <c r="E294" s="154">
        <v>0</v>
      </c>
      <c r="F294" s="154">
        <v>0</v>
      </c>
      <c r="G294" s="154">
        <v>0</v>
      </c>
      <c r="H294" s="154">
        <v>10</v>
      </c>
      <c r="I294" s="154">
        <v>0</v>
      </c>
      <c r="J294" s="154">
        <v>57</v>
      </c>
      <c r="K294" s="154">
        <v>835</v>
      </c>
      <c r="L294" s="154">
        <v>4</v>
      </c>
      <c r="M294" s="154">
        <v>0</v>
      </c>
      <c r="N294" s="154">
        <v>0</v>
      </c>
      <c r="O294" s="154">
        <v>0</v>
      </c>
      <c r="P294" s="154">
        <v>0</v>
      </c>
      <c r="Q294" s="156">
        <v>140</v>
      </c>
    </row>
    <row r="295" spans="1:17" x14ac:dyDescent="0.35">
      <c r="A295" s="167"/>
      <c r="B295" s="170"/>
      <c r="C295" s="151" t="s">
        <v>194</v>
      </c>
      <c r="D295" s="170"/>
      <c r="E295" s="155"/>
      <c r="F295" s="155"/>
      <c r="G295" s="155"/>
      <c r="H295" s="155"/>
      <c r="I295" s="155"/>
      <c r="J295" s="155"/>
      <c r="K295" s="155"/>
      <c r="L295" s="155"/>
      <c r="M295" s="155"/>
      <c r="N295" s="155"/>
      <c r="O295" s="155"/>
      <c r="P295" s="155"/>
      <c r="Q295" s="157"/>
    </row>
    <row r="296" spans="1:17" ht="15" thickBot="1" x14ac:dyDescent="0.4">
      <c r="A296" s="168"/>
      <c r="B296" s="171"/>
      <c r="C296" s="148" t="s">
        <v>1062</v>
      </c>
      <c r="D296" s="171"/>
      <c r="E296" s="158"/>
      <c r="F296" s="158"/>
      <c r="G296" s="158"/>
      <c r="H296" s="158"/>
      <c r="I296" s="158"/>
      <c r="J296" s="158"/>
      <c r="K296" s="158"/>
      <c r="L296" s="158"/>
      <c r="M296" s="158"/>
      <c r="N296" s="158"/>
      <c r="O296" s="158"/>
      <c r="P296" s="158"/>
      <c r="Q296" s="159"/>
    </row>
    <row r="297" spans="1:17" x14ac:dyDescent="0.35">
      <c r="A297" s="166"/>
      <c r="B297" s="169">
        <v>99</v>
      </c>
      <c r="C297" s="147"/>
      <c r="D297" s="169"/>
      <c r="E297" s="154">
        <v>0</v>
      </c>
      <c r="F297" s="154">
        <v>0</v>
      </c>
      <c r="G297" s="154">
        <v>0</v>
      </c>
      <c r="H297" s="154">
        <v>12</v>
      </c>
      <c r="I297" s="154">
        <v>0</v>
      </c>
      <c r="J297" s="154">
        <v>55</v>
      </c>
      <c r="K297" s="154">
        <v>790</v>
      </c>
      <c r="L297" s="154">
        <v>5</v>
      </c>
      <c r="M297" s="154">
        <v>0</v>
      </c>
      <c r="N297" s="154">
        <v>0</v>
      </c>
      <c r="O297" s="154">
        <v>0</v>
      </c>
      <c r="P297" s="154">
        <v>0</v>
      </c>
      <c r="Q297" s="156">
        <v>136.80000000000001</v>
      </c>
    </row>
    <row r="298" spans="1:17" x14ac:dyDescent="0.35">
      <c r="A298" s="167"/>
      <c r="B298" s="170"/>
      <c r="C298" s="151" t="s">
        <v>302</v>
      </c>
      <c r="D298" s="170"/>
      <c r="E298" s="155"/>
      <c r="F298" s="155"/>
      <c r="G298" s="155"/>
      <c r="H298" s="155"/>
      <c r="I298" s="155"/>
      <c r="J298" s="155"/>
      <c r="K298" s="155"/>
      <c r="L298" s="155"/>
      <c r="M298" s="155"/>
      <c r="N298" s="155"/>
      <c r="O298" s="155"/>
      <c r="P298" s="155"/>
      <c r="Q298" s="157"/>
    </row>
    <row r="299" spans="1:17" ht="15" thickBot="1" x14ac:dyDescent="0.4">
      <c r="A299" s="168"/>
      <c r="B299" s="171"/>
      <c r="C299" s="148" t="s">
        <v>1111</v>
      </c>
      <c r="D299" s="171"/>
      <c r="E299" s="158"/>
      <c r="F299" s="158"/>
      <c r="G299" s="158"/>
      <c r="H299" s="158"/>
      <c r="I299" s="158"/>
      <c r="J299" s="158"/>
      <c r="K299" s="158"/>
      <c r="L299" s="158"/>
      <c r="M299" s="158"/>
      <c r="N299" s="158"/>
      <c r="O299" s="158"/>
      <c r="P299" s="158"/>
      <c r="Q299" s="159"/>
    </row>
    <row r="300" spans="1:17" x14ac:dyDescent="0.35">
      <c r="A300" s="166"/>
      <c r="B300" s="169">
        <v>100</v>
      </c>
      <c r="C300" s="147"/>
      <c r="D300" s="169"/>
      <c r="E300" s="154">
        <v>0</v>
      </c>
      <c r="F300" s="154">
        <v>0</v>
      </c>
      <c r="G300" s="154">
        <v>0</v>
      </c>
      <c r="H300" s="154">
        <v>13</v>
      </c>
      <c r="I300" s="154">
        <v>0</v>
      </c>
      <c r="J300" s="154">
        <v>56</v>
      </c>
      <c r="K300" s="154">
        <v>747</v>
      </c>
      <c r="L300" s="154">
        <v>6</v>
      </c>
      <c r="M300" s="154">
        <v>0</v>
      </c>
      <c r="N300" s="154">
        <v>0</v>
      </c>
      <c r="O300" s="154">
        <v>0</v>
      </c>
      <c r="P300" s="154">
        <v>0</v>
      </c>
      <c r="Q300" s="156">
        <v>139.30000000000001</v>
      </c>
    </row>
    <row r="301" spans="1:17" x14ac:dyDescent="0.35">
      <c r="A301" s="167"/>
      <c r="B301" s="170"/>
      <c r="C301" s="151" t="s">
        <v>316</v>
      </c>
      <c r="D301" s="170"/>
      <c r="E301" s="155"/>
      <c r="F301" s="155"/>
      <c r="G301" s="155"/>
      <c r="H301" s="155"/>
      <c r="I301" s="155"/>
      <c r="J301" s="155"/>
      <c r="K301" s="155"/>
      <c r="L301" s="155"/>
      <c r="M301" s="155"/>
      <c r="N301" s="155"/>
      <c r="O301" s="155"/>
      <c r="P301" s="155"/>
      <c r="Q301" s="157"/>
    </row>
    <row r="302" spans="1:17" ht="15" thickBot="1" x14ac:dyDescent="0.4">
      <c r="A302" s="168"/>
      <c r="B302" s="171"/>
      <c r="C302" s="148" t="s">
        <v>1026</v>
      </c>
      <c r="D302" s="171"/>
      <c r="E302" s="158"/>
      <c r="F302" s="158"/>
      <c r="G302" s="158"/>
      <c r="H302" s="158"/>
      <c r="I302" s="158"/>
      <c r="J302" s="158"/>
      <c r="K302" s="158"/>
      <c r="L302" s="158"/>
      <c r="M302" s="158"/>
      <c r="N302" s="158"/>
      <c r="O302" s="158"/>
      <c r="P302" s="158"/>
      <c r="Q302" s="159"/>
    </row>
    <row r="303" spans="1:17" x14ac:dyDescent="0.35">
      <c r="A303" s="166"/>
      <c r="B303" s="169">
        <v>101</v>
      </c>
      <c r="C303" s="147"/>
      <c r="D303" s="169"/>
      <c r="E303" s="154">
        <v>0</v>
      </c>
      <c r="F303" s="154">
        <v>0</v>
      </c>
      <c r="G303" s="154">
        <v>0</v>
      </c>
      <c r="H303" s="154">
        <v>24</v>
      </c>
      <c r="I303" s="154">
        <v>0</v>
      </c>
      <c r="J303" s="154">
        <v>53</v>
      </c>
      <c r="K303" s="154">
        <v>719</v>
      </c>
      <c r="L303" s="154">
        <v>4</v>
      </c>
      <c r="M303" s="154">
        <v>0</v>
      </c>
      <c r="N303" s="154">
        <v>0</v>
      </c>
      <c r="O303" s="154">
        <v>0</v>
      </c>
      <c r="P303" s="154">
        <v>0</v>
      </c>
      <c r="Q303" s="156">
        <v>128.19999999999999</v>
      </c>
    </row>
    <row r="304" spans="1:17" x14ac:dyDescent="0.35">
      <c r="A304" s="167"/>
      <c r="B304" s="170"/>
      <c r="C304" s="151" t="s">
        <v>1245</v>
      </c>
      <c r="D304" s="170"/>
      <c r="E304" s="155"/>
      <c r="F304" s="155"/>
      <c r="G304" s="155"/>
      <c r="H304" s="155"/>
      <c r="I304" s="155"/>
      <c r="J304" s="155"/>
      <c r="K304" s="155"/>
      <c r="L304" s="155"/>
      <c r="M304" s="155"/>
      <c r="N304" s="155"/>
      <c r="O304" s="155"/>
      <c r="P304" s="155"/>
      <c r="Q304" s="157"/>
    </row>
    <row r="305" spans="1:17" ht="15" thickBot="1" x14ac:dyDescent="0.4">
      <c r="A305" s="168"/>
      <c r="B305" s="171"/>
      <c r="C305" s="148" t="s">
        <v>1388</v>
      </c>
      <c r="D305" s="171"/>
      <c r="E305" s="158"/>
      <c r="F305" s="158"/>
      <c r="G305" s="158"/>
      <c r="H305" s="158"/>
      <c r="I305" s="158"/>
      <c r="J305" s="158"/>
      <c r="K305" s="158"/>
      <c r="L305" s="158"/>
      <c r="M305" s="158"/>
      <c r="N305" s="158"/>
      <c r="O305" s="158"/>
      <c r="P305" s="158"/>
      <c r="Q305" s="159"/>
    </row>
    <row r="306" spans="1:17" x14ac:dyDescent="0.35">
      <c r="A306" s="166"/>
      <c r="B306" s="169">
        <v>102</v>
      </c>
      <c r="C306" s="147"/>
      <c r="D306" s="169"/>
      <c r="E306" s="154">
        <v>0</v>
      </c>
      <c r="F306" s="154">
        <v>0</v>
      </c>
      <c r="G306" s="154">
        <v>0</v>
      </c>
      <c r="H306" s="154">
        <v>0</v>
      </c>
      <c r="I306" s="154">
        <v>0</v>
      </c>
      <c r="J306" s="154">
        <v>47</v>
      </c>
      <c r="K306" s="154">
        <v>738</v>
      </c>
      <c r="L306" s="154">
        <v>4</v>
      </c>
      <c r="M306" s="154">
        <v>0</v>
      </c>
      <c r="N306" s="154">
        <v>0</v>
      </c>
      <c r="O306" s="154">
        <v>0</v>
      </c>
      <c r="P306" s="154">
        <v>0</v>
      </c>
      <c r="Q306" s="156">
        <v>121</v>
      </c>
    </row>
    <row r="307" spans="1:17" x14ac:dyDescent="0.35">
      <c r="A307" s="167"/>
      <c r="B307" s="170"/>
      <c r="C307" s="151" t="s">
        <v>293</v>
      </c>
      <c r="D307" s="170"/>
      <c r="E307" s="155"/>
      <c r="F307" s="155"/>
      <c r="G307" s="155"/>
      <c r="H307" s="155"/>
      <c r="I307" s="155"/>
      <c r="J307" s="155"/>
      <c r="K307" s="155"/>
      <c r="L307" s="155"/>
      <c r="M307" s="155"/>
      <c r="N307" s="155"/>
      <c r="O307" s="155"/>
      <c r="P307" s="155"/>
      <c r="Q307" s="157"/>
    </row>
    <row r="308" spans="1:17" ht="15" thickBot="1" x14ac:dyDescent="0.4">
      <c r="A308" s="168"/>
      <c r="B308" s="171"/>
      <c r="C308" s="148" t="s">
        <v>1059</v>
      </c>
      <c r="D308" s="171"/>
      <c r="E308" s="158"/>
      <c r="F308" s="158"/>
      <c r="G308" s="158"/>
      <c r="H308" s="158"/>
      <c r="I308" s="158"/>
      <c r="J308" s="158"/>
      <c r="K308" s="158"/>
      <c r="L308" s="158"/>
      <c r="M308" s="158"/>
      <c r="N308" s="158"/>
      <c r="O308" s="158"/>
      <c r="P308" s="158"/>
      <c r="Q308" s="159"/>
    </row>
    <row r="309" spans="1:17" x14ac:dyDescent="0.35">
      <c r="A309" s="166"/>
      <c r="B309" s="169">
        <v>103</v>
      </c>
      <c r="C309" s="147"/>
      <c r="D309" s="169"/>
      <c r="E309" s="154">
        <v>0</v>
      </c>
      <c r="F309" s="154">
        <v>0</v>
      </c>
      <c r="G309" s="154">
        <v>0</v>
      </c>
      <c r="H309" s="154">
        <v>487</v>
      </c>
      <c r="I309" s="154">
        <v>3</v>
      </c>
      <c r="J309" s="154">
        <v>15</v>
      </c>
      <c r="K309" s="154">
        <v>130</v>
      </c>
      <c r="L309" s="154">
        <v>1</v>
      </c>
      <c r="M309" s="154">
        <v>0</v>
      </c>
      <c r="N309" s="154">
        <v>0</v>
      </c>
      <c r="O309" s="154">
        <v>0</v>
      </c>
      <c r="P309" s="154">
        <v>0</v>
      </c>
      <c r="Q309" s="156">
        <v>91.3</v>
      </c>
    </row>
    <row r="310" spans="1:17" x14ac:dyDescent="0.35">
      <c r="A310" s="167"/>
      <c r="B310" s="170"/>
      <c r="C310" s="151" t="s">
        <v>580</v>
      </c>
      <c r="D310" s="170"/>
      <c r="E310" s="155"/>
      <c r="F310" s="155"/>
      <c r="G310" s="155"/>
      <c r="H310" s="155"/>
      <c r="I310" s="155"/>
      <c r="J310" s="155"/>
      <c r="K310" s="155"/>
      <c r="L310" s="155"/>
      <c r="M310" s="155"/>
      <c r="N310" s="155"/>
      <c r="O310" s="155"/>
      <c r="P310" s="155"/>
      <c r="Q310" s="157"/>
    </row>
    <row r="311" spans="1:17" ht="15" thickBot="1" x14ac:dyDescent="0.4">
      <c r="A311" s="168"/>
      <c r="B311" s="171"/>
      <c r="C311" s="148" t="s">
        <v>1036</v>
      </c>
      <c r="D311" s="171"/>
      <c r="E311" s="158"/>
      <c r="F311" s="158"/>
      <c r="G311" s="158"/>
      <c r="H311" s="158"/>
      <c r="I311" s="158"/>
      <c r="J311" s="158"/>
      <c r="K311" s="158"/>
      <c r="L311" s="158"/>
      <c r="M311" s="158"/>
      <c r="N311" s="158"/>
      <c r="O311" s="158"/>
      <c r="P311" s="158"/>
      <c r="Q311" s="159"/>
    </row>
    <row r="312" spans="1:17" x14ac:dyDescent="0.35">
      <c r="A312" s="166"/>
      <c r="B312" s="169">
        <v>104</v>
      </c>
      <c r="C312" s="147"/>
      <c r="D312" s="169"/>
      <c r="E312" s="154">
        <v>0</v>
      </c>
      <c r="F312" s="154">
        <v>0</v>
      </c>
      <c r="G312" s="154">
        <v>0</v>
      </c>
      <c r="H312" s="154">
        <v>370</v>
      </c>
      <c r="I312" s="154">
        <v>3</v>
      </c>
      <c r="J312" s="154">
        <v>34</v>
      </c>
      <c r="K312" s="154">
        <v>282</v>
      </c>
      <c r="L312" s="154">
        <v>1</v>
      </c>
      <c r="M312" s="154">
        <v>0</v>
      </c>
      <c r="N312" s="154">
        <v>0</v>
      </c>
      <c r="O312" s="154">
        <v>0</v>
      </c>
      <c r="P312" s="154">
        <v>0</v>
      </c>
      <c r="Q312" s="156">
        <v>106.9</v>
      </c>
    </row>
    <row r="313" spans="1:17" x14ac:dyDescent="0.35">
      <c r="A313" s="167"/>
      <c r="B313" s="170"/>
      <c r="C313" s="151" t="s">
        <v>1386</v>
      </c>
      <c r="D313" s="170"/>
      <c r="E313" s="155"/>
      <c r="F313" s="155"/>
      <c r="G313" s="155"/>
      <c r="H313" s="155"/>
      <c r="I313" s="155"/>
      <c r="J313" s="155"/>
      <c r="K313" s="155"/>
      <c r="L313" s="155"/>
      <c r="M313" s="155"/>
      <c r="N313" s="155"/>
      <c r="O313" s="155"/>
      <c r="P313" s="155"/>
      <c r="Q313" s="157"/>
    </row>
    <row r="314" spans="1:17" ht="15" thickBot="1" x14ac:dyDescent="0.4">
      <c r="A314" s="168"/>
      <c r="B314" s="171"/>
      <c r="C314" s="148" t="s">
        <v>1032</v>
      </c>
      <c r="D314" s="171"/>
      <c r="E314" s="158"/>
      <c r="F314" s="158"/>
      <c r="G314" s="158"/>
      <c r="H314" s="158"/>
      <c r="I314" s="158"/>
      <c r="J314" s="158"/>
      <c r="K314" s="158"/>
      <c r="L314" s="158"/>
      <c r="M314" s="158"/>
      <c r="N314" s="158"/>
      <c r="O314" s="158"/>
      <c r="P314" s="158"/>
      <c r="Q314" s="159"/>
    </row>
    <row r="315" spans="1:17" x14ac:dyDescent="0.35">
      <c r="A315" s="166"/>
      <c r="B315" s="169">
        <v>105</v>
      </c>
      <c r="C315" s="147"/>
      <c r="D315" s="169"/>
      <c r="E315" s="154">
        <v>0</v>
      </c>
      <c r="F315" s="154">
        <v>0</v>
      </c>
      <c r="G315" s="154">
        <v>0</v>
      </c>
      <c r="H315" s="154">
        <v>545</v>
      </c>
      <c r="I315" s="154">
        <v>5</v>
      </c>
      <c r="J315" s="154">
        <v>25</v>
      </c>
      <c r="K315" s="154">
        <v>188</v>
      </c>
      <c r="L315" s="154">
        <v>1</v>
      </c>
      <c r="M315" s="154">
        <v>0</v>
      </c>
      <c r="N315" s="154">
        <v>0</v>
      </c>
      <c r="O315" s="154">
        <v>0</v>
      </c>
      <c r="P315" s="154">
        <v>0</v>
      </c>
      <c r="Q315" s="156">
        <v>119.3</v>
      </c>
    </row>
    <row r="316" spans="1:17" x14ac:dyDescent="0.35">
      <c r="A316" s="167"/>
      <c r="B316" s="170"/>
      <c r="C316" s="151" t="s">
        <v>218</v>
      </c>
      <c r="D316" s="170"/>
      <c r="E316" s="155"/>
      <c r="F316" s="155"/>
      <c r="G316" s="155"/>
      <c r="H316" s="155"/>
      <c r="I316" s="155"/>
      <c r="J316" s="155"/>
      <c r="K316" s="155"/>
      <c r="L316" s="155"/>
      <c r="M316" s="155"/>
      <c r="N316" s="155"/>
      <c r="O316" s="155"/>
      <c r="P316" s="155"/>
      <c r="Q316" s="157"/>
    </row>
    <row r="317" spans="1:17" ht="15" thickBot="1" x14ac:dyDescent="0.4">
      <c r="A317" s="168"/>
      <c r="B317" s="171"/>
      <c r="C317" s="148" t="s">
        <v>1021</v>
      </c>
      <c r="D317" s="171"/>
      <c r="E317" s="158"/>
      <c r="F317" s="158"/>
      <c r="G317" s="158"/>
      <c r="H317" s="158"/>
      <c r="I317" s="158"/>
      <c r="J317" s="158"/>
      <c r="K317" s="158"/>
      <c r="L317" s="158"/>
      <c r="M317" s="158"/>
      <c r="N317" s="158"/>
      <c r="O317" s="158"/>
      <c r="P317" s="158"/>
      <c r="Q317" s="159"/>
    </row>
    <row r="318" spans="1:17" x14ac:dyDescent="0.35">
      <c r="A318" s="166"/>
      <c r="B318" s="169">
        <v>106</v>
      </c>
      <c r="C318" s="147"/>
      <c r="D318" s="169"/>
      <c r="E318" s="154">
        <v>0</v>
      </c>
      <c r="F318" s="154">
        <v>0</v>
      </c>
      <c r="G318" s="154">
        <v>0</v>
      </c>
      <c r="H318" s="154">
        <v>11</v>
      </c>
      <c r="I318" s="154">
        <v>0</v>
      </c>
      <c r="J318" s="154">
        <v>49</v>
      </c>
      <c r="K318" s="154">
        <v>787</v>
      </c>
      <c r="L318" s="154">
        <v>5</v>
      </c>
      <c r="M318" s="154">
        <v>0</v>
      </c>
      <c r="N318" s="154">
        <v>0</v>
      </c>
      <c r="O318" s="154">
        <v>0</v>
      </c>
      <c r="P318" s="154">
        <v>0</v>
      </c>
      <c r="Q318" s="156">
        <v>133.19999999999999</v>
      </c>
    </row>
    <row r="319" spans="1:17" x14ac:dyDescent="0.35">
      <c r="A319" s="167"/>
      <c r="B319" s="170"/>
      <c r="C319" s="151" t="s">
        <v>612</v>
      </c>
      <c r="D319" s="170"/>
      <c r="E319" s="155"/>
      <c r="F319" s="155"/>
      <c r="G319" s="155"/>
      <c r="H319" s="155"/>
      <c r="I319" s="155"/>
      <c r="J319" s="155"/>
      <c r="K319" s="155"/>
      <c r="L319" s="155"/>
      <c r="M319" s="155"/>
      <c r="N319" s="155"/>
      <c r="O319" s="155"/>
      <c r="P319" s="155"/>
      <c r="Q319" s="157"/>
    </row>
    <row r="320" spans="1:17" ht="15" thickBot="1" x14ac:dyDescent="0.4">
      <c r="A320" s="168"/>
      <c r="B320" s="171"/>
      <c r="C320" s="148" t="s">
        <v>1079</v>
      </c>
      <c r="D320" s="171"/>
      <c r="E320" s="158"/>
      <c r="F320" s="158"/>
      <c r="G320" s="158"/>
      <c r="H320" s="158"/>
      <c r="I320" s="158"/>
      <c r="J320" s="158"/>
      <c r="K320" s="158"/>
      <c r="L320" s="158"/>
      <c r="M320" s="158"/>
      <c r="N320" s="158"/>
      <c r="O320" s="158"/>
      <c r="P320" s="158"/>
      <c r="Q320" s="159"/>
    </row>
    <row r="321" spans="1:17" x14ac:dyDescent="0.35">
      <c r="A321" s="166"/>
      <c r="B321" s="169">
        <v>107</v>
      </c>
      <c r="C321" s="147"/>
      <c r="D321" s="169"/>
      <c r="E321" s="154">
        <v>0</v>
      </c>
      <c r="F321" s="154">
        <v>0</v>
      </c>
      <c r="G321" s="154">
        <v>0</v>
      </c>
      <c r="H321" s="154">
        <v>0</v>
      </c>
      <c r="I321" s="154">
        <v>0</v>
      </c>
      <c r="J321" s="154">
        <v>57</v>
      </c>
      <c r="K321" s="154">
        <v>729</v>
      </c>
      <c r="L321" s="154">
        <v>4</v>
      </c>
      <c r="M321" s="154">
        <v>0</v>
      </c>
      <c r="N321" s="154">
        <v>0</v>
      </c>
      <c r="O321" s="154">
        <v>0</v>
      </c>
      <c r="P321" s="154">
        <v>0</v>
      </c>
      <c r="Q321" s="156">
        <v>127.5</v>
      </c>
    </row>
    <row r="322" spans="1:17" x14ac:dyDescent="0.35">
      <c r="A322" s="167"/>
      <c r="B322" s="170"/>
      <c r="C322" s="151" t="s">
        <v>1242</v>
      </c>
      <c r="D322" s="170"/>
      <c r="E322" s="155"/>
      <c r="F322" s="155"/>
      <c r="G322" s="155"/>
      <c r="H322" s="155"/>
      <c r="I322" s="155"/>
      <c r="J322" s="155"/>
      <c r="K322" s="155"/>
      <c r="L322" s="155"/>
      <c r="M322" s="155"/>
      <c r="N322" s="155"/>
      <c r="O322" s="155"/>
      <c r="P322" s="155"/>
      <c r="Q322" s="157"/>
    </row>
    <row r="323" spans="1:17" ht="15" thickBot="1" x14ac:dyDescent="0.4">
      <c r="A323" s="168"/>
      <c r="B323" s="171"/>
      <c r="C323" s="148" t="s">
        <v>1083</v>
      </c>
      <c r="D323" s="171"/>
      <c r="E323" s="158"/>
      <c r="F323" s="158"/>
      <c r="G323" s="158"/>
      <c r="H323" s="158"/>
      <c r="I323" s="158"/>
      <c r="J323" s="158"/>
      <c r="K323" s="158"/>
      <c r="L323" s="158"/>
      <c r="M323" s="158"/>
      <c r="N323" s="158"/>
      <c r="O323" s="158"/>
      <c r="P323" s="158"/>
      <c r="Q323" s="159"/>
    </row>
    <row r="324" spans="1:17" x14ac:dyDescent="0.35">
      <c r="A324" s="166"/>
      <c r="B324" s="169">
        <v>108</v>
      </c>
      <c r="C324" s="147"/>
      <c r="D324" s="169"/>
      <c r="E324" s="154">
        <v>0</v>
      </c>
      <c r="F324" s="154">
        <v>0</v>
      </c>
      <c r="G324" s="154">
        <v>0</v>
      </c>
      <c r="H324" s="154">
        <v>0</v>
      </c>
      <c r="I324" s="154">
        <v>0</v>
      </c>
      <c r="J324" s="154">
        <v>48</v>
      </c>
      <c r="K324" s="154">
        <v>824</v>
      </c>
      <c r="L324" s="154">
        <v>4</v>
      </c>
      <c r="M324" s="154">
        <v>0</v>
      </c>
      <c r="N324" s="154">
        <v>0</v>
      </c>
      <c r="O324" s="154">
        <v>0</v>
      </c>
      <c r="P324" s="154">
        <v>0</v>
      </c>
      <c r="Q324" s="156">
        <v>132.9</v>
      </c>
    </row>
    <row r="325" spans="1:17" x14ac:dyDescent="0.35">
      <c r="A325" s="167"/>
      <c r="B325" s="170"/>
      <c r="C325" s="151" t="s">
        <v>190</v>
      </c>
      <c r="D325" s="170"/>
      <c r="E325" s="155"/>
      <c r="F325" s="155"/>
      <c r="G325" s="155"/>
      <c r="H325" s="155"/>
      <c r="I325" s="155"/>
      <c r="J325" s="155"/>
      <c r="K325" s="155"/>
      <c r="L325" s="155"/>
      <c r="M325" s="155"/>
      <c r="N325" s="155"/>
      <c r="O325" s="155"/>
      <c r="P325" s="155"/>
      <c r="Q325" s="157"/>
    </row>
    <row r="326" spans="1:17" ht="15" thickBot="1" x14ac:dyDescent="0.4">
      <c r="A326" s="168"/>
      <c r="B326" s="171"/>
      <c r="C326" s="148" t="s">
        <v>1038</v>
      </c>
      <c r="D326" s="171"/>
      <c r="E326" s="158"/>
      <c r="F326" s="158"/>
      <c r="G326" s="158"/>
      <c r="H326" s="158"/>
      <c r="I326" s="158"/>
      <c r="J326" s="158"/>
      <c r="K326" s="158"/>
      <c r="L326" s="158"/>
      <c r="M326" s="158"/>
      <c r="N326" s="158"/>
      <c r="O326" s="158"/>
      <c r="P326" s="158"/>
      <c r="Q326" s="159"/>
    </row>
    <row r="327" spans="1:17" x14ac:dyDescent="0.35">
      <c r="A327" s="166"/>
      <c r="B327" s="169">
        <v>109</v>
      </c>
      <c r="C327" s="147"/>
      <c r="D327" s="169"/>
      <c r="E327" s="154">
        <v>0</v>
      </c>
      <c r="F327" s="154">
        <v>0</v>
      </c>
      <c r="G327" s="154">
        <v>0</v>
      </c>
      <c r="H327" s="154">
        <v>12</v>
      </c>
      <c r="I327" s="154">
        <v>0</v>
      </c>
      <c r="J327" s="154">
        <v>52</v>
      </c>
      <c r="K327" s="154">
        <v>685</v>
      </c>
      <c r="L327" s="154">
        <v>5</v>
      </c>
      <c r="M327" s="154">
        <v>0</v>
      </c>
      <c r="N327" s="154">
        <v>0</v>
      </c>
      <c r="O327" s="154">
        <v>0</v>
      </c>
      <c r="P327" s="154">
        <v>0</v>
      </c>
      <c r="Q327" s="156">
        <v>124.2</v>
      </c>
    </row>
    <row r="328" spans="1:17" x14ac:dyDescent="0.35">
      <c r="A328" s="167"/>
      <c r="B328" s="170"/>
      <c r="C328" s="151" t="s">
        <v>1241</v>
      </c>
      <c r="D328" s="170"/>
      <c r="E328" s="155"/>
      <c r="F328" s="155"/>
      <c r="G328" s="155"/>
      <c r="H328" s="155"/>
      <c r="I328" s="155"/>
      <c r="J328" s="155"/>
      <c r="K328" s="155"/>
      <c r="L328" s="155"/>
      <c r="M328" s="155"/>
      <c r="N328" s="155"/>
      <c r="O328" s="155"/>
      <c r="P328" s="155"/>
      <c r="Q328" s="157"/>
    </row>
    <row r="329" spans="1:17" ht="15" thickBot="1" x14ac:dyDescent="0.4">
      <c r="A329" s="168"/>
      <c r="B329" s="171"/>
      <c r="C329" s="148" t="s">
        <v>1044</v>
      </c>
      <c r="D329" s="171"/>
      <c r="E329" s="158"/>
      <c r="F329" s="158"/>
      <c r="G329" s="158"/>
      <c r="H329" s="158"/>
      <c r="I329" s="158"/>
      <c r="J329" s="158"/>
      <c r="K329" s="158"/>
      <c r="L329" s="158"/>
      <c r="M329" s="158"/>
      <c r="N329" s="158"/>
      <c r="O329" s="158"/>
      <c r="P329" s="158"/>
      <c r="Q329" s="159"/>
    </row>
    <row r="330" spans="1:17" x14ac:dyDescent="0.35">
      <c r="A330" s="166"/>
      <c r="B330" s="169">
        <v>110</v>
      </c>
      <c r="C330" s="147"/>
      <c r="D330" s="169"/>
      <c r="E330" s="154">
        <v>0</v>
      </c>
      <c r="F330" s="154">
        <v>0</v>
      </c>
      <c r="G330" s="154">
        <v>0</v>
      </c>
      <c r="H330" s="154">
        <v>0</v>
      </c>
      <c r="I330" s="154">
        <v>0</v>
      </c>
      <c r="J330" s="154">
        <v>54</v>
      </c>
      <c r="K330" s="154">
        <v>656</v>
      </c>
      <c r="L330" s="154">
        <v>5</v>
      </c>
      <c r="M330" s="154">
        <v>0</v>
      </c>
      <c r="N330" s="154">
        <v>0</v>
      </c>
      <c r="O330" s="154">
        <v>0</v>
      </c>
      <c r="P330" s="154">
        <v>0</v>
      </c>
      <c r="Q330" s="156">
        <v>120</v>
      </c>
    </row>
    <row r="331" spans="1:17" x14ac:dyDescent="0.35">
      <c r="A331" s="167"/>
      <c r="B331" s="170"/>
      <c r="C331" s="151" t="s">
        <v>196</v>
      </c>
      <c r="D331" s="170"/>
      <c r="E331" s="155"/>
      <c r="F331" s="155"/>
      <c r="G331" s="155"/>
      <c r="H331" s="155"/>
      <c r="I331" s="155"/>
      <c r="J331" s="155"/>
      <c r="K331" s="155"/>
      <c r="L331" s="155"/>
      <c r="M331" s="155"/>
      <c r="N331" s="155"/>
      <c r="O331" s="155"/>
      <c r="P331" s="155"/>
      <c r="Q331" s="157"/>
    </row>
    <row r="332" spans="1:17" ht="15" thickBot="1" x14ac:dyDescent="0.4">
      <c r="A332" s="168"/>
      <c r="B332" s="171"/>
      <c r="C332" s="148" t="s">
        <v>1073</v>
      </c>
      <c r="D332" s="171"/>
      <c r="E332" s="158"/>
      <c r="F332" s="158"/>
      <c r="G332" s="158"/>
      <c r="H332" s="158"/>
      <c r="I332" s="158"/>
      <c r="J332" s="158"/>
      <c r="K332" s="158"/>
      <c r="L332" s="158"/>
      <c r="M332" s="158"/>
      <c r="N332" s="158"/>
      <c r="O332" s="158"/>
      <c r="P332" s="158"/>
      <c r="Q332" s="159"/>
    </row>
    <row r="333" spans="1:17" x14ac:dyDescent="0.35">
      <c r="A333" s="166"/>
      <c r="B333" s="169">
        <v>111</v>
      </c>
      <c r="C333" s="147"/>
      <c r="D333" s="169"/>
      <c r="E333" s="154">
        <v>0</v>
      </c>
      <c r="F333" s="154">
        <v>0</v>
      </c>
      <c r="G333" s="154">
        <v>0</v>
      </c>
      <c r="H333" s="154">
        <v>0</v>
      </c>
      <c r="I333" s="154">
        <v>0</v>
      </c>
      <c r="J333" s="154">
        <v>46</v>
      </c>
      <c r="K333" s="154">
        <v>657</v>
      </c>
      <c r="L333" s="154">
        <v>6</v>
      </c>
      <c r="M333" s="154">
        <v>0</v>
      </c>
      <c r="N333" s="154">
        <v>0</v>
      </c>
      <c r="O333" s="154">
        <v>0</v>
      </c>
      <c r="P333" s="154">
        <v>0</v>
      </c>
      <c r="Q333" s="156">
        <v>126.9</v>
      </c>
    </row>
    <row r="334" spans="1:17" x14ac:dyDescent="0.35">
      <c r="A334" s="167"/>
      <c r="B334" s="170"/>
      <c r="C334" s="151" t="s">
        <v>230</v>
      </c>
      <c r="D334" s="170"/>
      <c r="E334" s="155"/>
      <c r="F334" s="155"/>
      <c r="G334" s="155"/>
      <c r="H334" s="155"/>
      <c r="I334" s="155"/>
      <c r="J334" s="155"/>
      <c r="K334" s="155"/>
      <c r="L334" s="155"/>
      <c r="M334" s="155"/>
      <c r="N334" s="155"/>
      <c r="O334" s="155"/>
      <c r="P334" s="155"/>
      <c r="Q334" s="157"/>
    </row>
    <row r="335" spans="1:17" ht="15" thickBot="1" x14ac:dyDescent="0.4">
      <c r="A335" s="168"/>
      <c r="B335" s="171"/>
      <c r="C335" s="148" t="s">
        <v>1074</v>
      </c>
      <c r="D335" s="171"/>
      <c r="E335" s="158"/>
      <c r="F335" s="158"/>
      <c r="G335" s="158"/>
      <c r="H335" s="158"/>
      <c r="I335" s="158"/>
      <c r="J335" s="158"/>
      <c r="K335" s="158"/>
      <c r="L335" s="158"/>
      <c r="M335" s="158"/>
      <c r="N335" s="158"/>
      <c r="O335" s="158"/>
      <c r="P335" s="158"/>
      <c r="Q335" s="159"/>
    </row>
    <row r="336" spans="1:17" x14ac:dyDescent="0.35">
      <c r="A336" s="166"/>
      <c r="B336" s="169">
        <v>112</v>
      </c>
      <c r="C336" s="147"/>
      <c r="D336" s="169"/>
      <c r="E336" s="154">
        <v>0</v>
      </c>
      <c r="F336" s="154">
        <v>0</v>
      </c>
      <c r="G336" s="154">
        <v>0</v>
      </c>
      <c r="H336" s="154">
        <v>0</v>
      </c>
      <c r="I336" s="154">
        <v>0</v>
      </c>
      <c r="J336" s="154">
        <v>48</v>
      </c>
      <c r="K336" s="154">
        <v>650</v>
      </c>
      <c r="L336" s="154">
        <v>5</v>
      </c>
      <c r="M336" s="154">
        <v>0</v>
      </c>
      <c r="N336" s="154">
        <v>0</v>
      </c>
      <c r="O336" s="154">
        <v>0</v>
      </c>
      <c r="P336" s="154">
        <v>0</v>
      </c>
      <c r="Q336" s="156">
        <v>116.2</v>
      </c>
    </row>
    <row r="337" spans="1:17" x14ac:dyDescent="0.35">
      <c r="A337" s="167"/>
      <c r="B337" s="170"/>
      <c r="C337" s="151" t="s">
        <v>1323</v>
      </c>
      <c r="D337" s="170"/>
      <c r="E337" s="155"/>
      <c r="F337" s="155"/>
      <c r="G337" s="155"/>
      <c r="H337" s="155"/>
      <c r="I337" s="155"/>
      <c r="J337" s="155"/>
      <c r="K337" s="155"/>
      <c r="L337" s="155"/>
      <c r="M337" s="155"/>
      <c r="N337" s="155"/>
      <c r="O337" s="155"/>
      <c r="P337" s="155"/>
      <c r="Q337" s="157"/>
    </row>
    <row r="338" spans="1:17" ht="15" thickBot="1" x14ac:dyDescent="0.4">
      <c r="A338" s="168"/>
      <c r="B338" s="171"/>
      <c r="C338" s="148" t="s">
        <v>1072</v>
      </c>
      <c r="D338" s="171"/>
      <c r="E338" s="158"/>
      <c r="F338" s="158"/>
      <c r="G338" s="158"/>
      <c r="H338" s="158"/>
      <c r="I338" s="158"/>
      <c r="J338" s="158"/>
      <c r="K338" s="158"/>
      <c r="L338" s="158"/>
      <c r="M338" s="158"/>
      <c r="N338" s="158"/>
      <c r="O338" s="158"/>
      <c r="P338" s="158"/>
      <c r="Q338" s="159"/>
    </row>
    <row r="339" spans="1:17" x14ac:dyDescent="0.35">
      <c r="A339" s="166"/>
      <c r="B339" s="169">
        <v>113</v>
      </c>
      <c r="C339" s="147"/>
      <c r="D339" s="169"/>
      <c r="E339" s="154">
        <v>0</v>
      </c>
      <c r="F339" s="154">
        <v>0</v>
      </c>
      <c r="G339" s="154">
        <v>0</v>
      </c>
      <c r="H339" s="154">
        <v>7</v>
      </c>
      <c r="I339" s="154">
        <v>0</v>
      </c>
      <c r="J339" s="154">
        <v>56</v>
      </c>
      <c r="K339" s="154">
        <v>632</v>
      </c>
      <c r="L339" s="154">
        <v>4</v>
      </c>
      <c r="M339" s="154">
        <v>0</v>
      </c>
      <c r="N339" s="154">
        <v>0</v>
      </c>
      <c r="O339" s="154">
        <v>0</v>
      </c>
      <c r="P339" s="154">
        <v>0</v>
      </c>
      <c r="Q339" s="156">
        <v>117.5</v>
      </c>
    </row>
    <row r="340" spans="1:17" x14ac:dyDescent="0.35">
      <c r="A340" s="167"/>
      <c r="B340" s="170"/>
      <c r="C340" s="151" t="s">
        <v>409</v>
      </c>
      <c r="D340" s="170"/>
      <c r="E340" s="155"/>
      <c r="F340" s="155"/>
      <c r="G340" s="155"/>
      <c r="H340" s="155"/>
      <c r="I340" s="155"/>
      <c r="J340" s="155"/>
      <c r="K340" s="155"/>
      <c r="L340" s="155"/>
      <c r="M340" s="155"/>
      <c r="N340" s="155"/>
      <c r="O340" s="155"/>
      <c r="P340" s="155"/>
      <c r="Q340" s="157"/>
    </row>
    <row r="341" spans="1:17" ht="15" thickBot="1" x14ac:dyDescent="0.4">
      <c r="A341" s="168"/>
      <c r="B341" s="171"/>
      <c r="C341" s="148" t="s">
        <v>1165</v>
      </c>
      <c r="D341" s="171"/>
      <c r="E341" s="158"/>
      <c r="F341" s="158"/>
      <c r="G341" s="158"/>
      <c r="H341" s="158"/>
      <c r="I341" s="158"/>
      <c r="J341" s="158"/>
      <c r="K341" s="158"/>
      <c r="L341" s="158"/>
      <c r="M341" s="158"/>
      <c r="N341" s="158"/>
      <c r="O341" s="158"/>
      <c r="P341" s="158"/>
      <c r="Q341" s="159"/>
    </row>
    <row r="342" spans="1:17" x14ac:dyDescent="0.35">
      <c r="A342" s="166"/>
      <c r="B342" s="169">
        <v>114</v>
      </c>
      <c r="C342" s="147"/>
      <c r="D342" s="169"/>
      <c r="E342" s="154">
        <v>0</v>
      </c>
      <c r="F342" s="154">
        <v>0</v>
      </c>
      <c r="G342" s="154">
        <v>0</v>
      </c>
      <c r="H342" s="154">
        <v>0</v>
      </c>
      <c r="I342" s="154">
        <v>0</v>
      </c>
      <c r="J342" s="154">
        <v>54</v>
      </c>
      <c r="K342" s="154">
        <v>620</v>
      </c>
      <c r="L342" s="154">
        <v>4</v>
      </c>
      <c r="M342" s="154">
        <v>0</v>
      </c>
      <c r="N342" s="154">
        <v>0</v>
      </c>
      <c r="O342" s="154">
        <v>0</v>
      </c>
      <c r="P342" s="154">
        <v>0</v>
      </c>
      <c r="Q342" s="156">
        <v>115.5</v>
      </c>
    </row>
    <row r="343" spans="1:17" x14ac:dyDescent="0.35">
      <c r="A343" s="167"/>
      <c r="B343" s="170"/>
      <c r="C343" s="151" t="s">
        <v>537</v>
      </c>
      <c r="D343" s="170"/>
      <c r="E343" s="155"/>
      <c r="F343" s="155"/>
      <c r="G343" s="155"/>
      <c r="H343" s="155"/>
      <c r="I343" s="155"/>
      <c r="J343" s="155"/>
      <c r="K343" s="155"/>
      <c r="L343" s="155"/>
      <c r="M343" s="155"/>
      <c r="N343" s="155"/>
      <c r="O343" s="155"/>
      <c r="P343" s="155"/>
      <c r="Q343" s="157"/>
    </row>
    <row r="344" spans="1:17" ht="15" thickBot="1" x14ac:dyDescent="0.4">
      <c r="A344" s="168"/>
      <c r="B344" s="171"/>
      <c r="C344" s="148" t="s">
        <v>1107</v>
      </c>
      <c r="D344" s="171"/>
      <c r="E344" s="158"/>
      <c r="F344" s="158"/>
      <c r="G344" s="158"/>
      <c r="H344" s="158"/>
      <c r="I344" s="158"/>
      <c r="J344" s="158"/>
      <c r="K344" s="158"/>
      <c r="L344" s="158"/>
      <c r="M344" s="158"/>
      <c r="N344" s="158"/>
      <c r="O344" s="158"/>
      <c r="P344" s="158"/>
      <c r="Q344" s="159"/>
    </row>
    <row r="345" spans="1:17" x14ac:dyDescent="0.35">
      <c r="A345" s="166"/>
      <c r="B345" s="169">
        <v>115</v>
      </c>
      <c r="C345" s="147"/>
      <c r="D345" s="169"/>
      <c r="E345" s="154">
        <v>0</v>
      </c>
      <c r="F345" s="154">
        <v>0</v>
      </c>
      <c r="G345" s="154">
        <v>0</v>
      </c>
      <c r="H345" s="154">
        <v>0</v>
      </c>
      <c r="I345" s="154">
        <v>0</v>
      </c>
      <c r="J345" s="154">
        <v>54</v>
      </c>
      <c r="K345" s="154">
        <v>618</v>
      </c>
      <c r="L345" s="154">
        <v>4</v>
      </c>
      <c r="M345" s="154">
        <v>0</v>
      </c>
      <c r="N345" s="154">
        <v>0</v>
      </c>
      <c r="O345" s="154">
        <v>0</v>
      </c>
      <c r="P345" s="154">
        <v>0</v>
      </c>
      <c r="Q345" s="156">
        <v>115</v>
      </c>
    </row>
    <row r="346" spans="1:17" x14ac:dyDescent="0.35">
      <c r="A346" s="167"/>
      <c r="B346" s="170"/>
      <c r="C346" s="151" t="s">
        <v>397</v>
      </c>
      <c r="D346" s="170"/>
      <c r="E346" s="155"/>
      <c r="F346" s="155"/>
      <c r="G346" s="155"/>
      <c r="H346" s="155"/>
      <c r="I346" s="155"/>
      <c r="J346" s="155"/>
      <c r="K346" s="155"/>
      <c r="L346" s="155"/>
      <c r="M346" s="155"/>
      <c r="N346" s="155"/>
      <c r="O346" s="155"/>
      <c r="P346" s="155"/>
      <c r="Q346" s="157"/>
    </row>
    <row r="347" spans="1:17" ht="15" thickBot="1" x14ac:dyDescent="0.4">
      <c r="A347" s="168"/>
      <c r="B347" s="171"/>
      <c r="C347" s="148" t="s">
        <v>1164</v>
      </c>
      <c r="D347" s="171"/>
      <c r="E347" s="158"/>
      <c r="F347" s="158"/>
      <c r="G347" s="158"/>
      <c r="H347" s="158"/>
      <c r="I347" s="158"/>
      <c r="J347" s="158"/>
      <c r="K347" s="158"/>
      <c r="L347" s="158"/>
      <c r="M347" s="158"/>
      <c r="N347" s="158"/>
      <c r="O347" s="158"/>
      <c r="P347" s="158"/>
      <c r="Q347" s="159"/>
    </row>
    <row r="348" spans="1:17" x14ac:dyDescent="0.35">
      <c r="A348" s="166"/>
      <c r="B348" s="169">
        <v>116</v>
      </c>
      <c r="C348" s="147"/>
      <c r="D348" s="169"/>
      <c r="E348" s="154">
        <v>4518</v>
      </c>
      <c r="F348" s="154">
        <v>28</v>
      </c>
      <c r="G348" s="154">
        <v>12</v>
      </c>
      <c r="H348" s="154">
        <v>125</v>
      </c>
      <c r="I348" s="154">
        <v>1</v>
      </c>
      <c r="J348" s="154">
        <v>0</v>
      </c>
      <c r="K348" s="154">
        <v>0</v>
      </c>
      <c r="L348" s="154">
        <v>0</v>
      </c>
      <c r="M348" s="154">
        <v>0</v>
      </c>
      <c r="N348" s="154">
        <v>0</v>
      </c>
      <c r="O348" s="154">
        <v>0</v>
      </c>
      <c r="P348" s="154">
        <v>0</v>
      </c>
      <c r="Q348" s="156">
        <v>283.39999999999998</v>
      </c>
    </row>
    <row r="349" spans="1:17" x14ac:dyDescent="0.35">
      <c r="A349" s="167"/>
      <c r="B349" s="170"/>
      <c r="C349" s="151" t="s">
        <v>215</v>
      </c>
      <c r="D349" s="170"/>
      <c r="E349" s="155"/>
      <c r="F349" s="155"/>
      <c r="G349" s="155"/>
      <c r="H349" s="155"/>
      <c r="I349" s="155"/>
      <c r="J349" s="155"/>
      <c r="K349" s="155"/>
      <c r="L349" s="155"/>
      <c r="M349" s="155"/>
      <c r="N349" s="155"/>
      <c r="O349" s="155"/>
      <c r="P349" s="155"/>
      <c r="Q349" s="157"/>
    </row>
    <row r="350" spans="1:17" ht="15" thickBot="1" x14ac:dyDescent="0.4">
      <c r="A350" s="168"/>
      <c r="B350" s="171"/>
      <c r="C350" s="148" t="s">
        <v>1076</v>
      </c>
      <c r="D350" s="171"/>
      <c r="E350" s="158"/>
      <c r="F350" s="158"/>
      <c r="G350" s="158"/>
      <c r="H350" s="158"/>
      <c r="I350" s="158"/>
      <c r="J350" s="158"/>
      <c r="K350" s="158"/>
      <c r="L350" s="158"/>
      <c r="M350" s="158"/>
      <c r="N350" s="158"/>
      <c r="O350" s="158"/>
      <c r="P350" s="158"/>
      <c r="Q350" s="159"/>
    </row>
    <row r="351" spans="1:17" x14ac:dyDescent="0.35">
      <c r="A351" s="166"/>
      <c r="B351" s="169">
        <v>117</v>
      </c>
      <c r="C351" s="147"/>
      <c r="D351" s="169"/>
      <c r="E351" s="154">
        <v>4419</v>
      </c>
      <c r="F351" s="154">
        <v>31</v>
      </c>
      <c r="G351" s="154">
        <v>9</v>
      </c>
      <c r="H351" s="154">
        <v>28</v>
      </c>
      <c r="I351" s="154">
        <v>2</v>
      </c>
      <c r="J351" s="154">
        <v>0</v>
      </c>
      <c r="K351" s="154">
        <v>0</v>
      </c>
      <c r="L351" s="154">
        <v>0</v>
      </c>
      <c r="M351" s="154">
        <v>0</v>
      </c>
      <c r="N351" s="154">
        <v>0</v>
      </c>
      <c r="O351" s="154">
        <v>0</v>
      </c>
      <c r="P351" s="154">
        <v>0</v>
      </c>
      <c r="Q351" s="156">
        <v>291</v>
      </c>
    </row>
    <row r="352" spans="1:17" x14ac:dyDescent="0.35">
      <c r="A352" s="167"/>
      <c r="B352" s="170"/>
      <c r="C352" s="151" t="s">
        <v>306</v>
      </c>
      <c r="D352" s="170"/>
      <c r="E352" s="155"/>
      <c r="F352" s="155"/>
      <c r="G352" s="155"/>
      <c r="H352" s="155"/>
      <c r="I352" s="155"/>
      <c r="J352" s="155"/>
      <c r="K352" s="155"/>
      <c r="L352" s="155"/>
      <c r="M352" s="155"/>
      <c r="N352" s="155"/>
      <c r="O352" s="155"/>
      <c r="P352" s="155"/>
      <c r="Q352" s="157"/>
    </row>
    <row r="353" spans="1:17" ht="15" thickBot="1" x14ac:dyDescent="0.4">
      <c r="A353" s="168"/>
      <c r="B353" s="171"/>
      <c r="C353" s="148" t="s">
        <v>1150</v>
      </c>
      <c r="D353" s="171"/>
      <c r="E353" s="158"/>
      <c r="F353" s="158"/>
      <c r="G353" s="158"/>
      <c r="H353" s="158"/>
      <c r="I353" s="158"/>
      <c r="J353" s="158"/>
      <c r="K353" s="158"/>
      <c r="L353" s="158"/>
      <c r="M353" s="158"/>
      <c r="N353" s="158"/>
      <c r="O353" s="158"/>
      <c r="P353" s="158"/>
      <c r="Q353" s="159"/>
    </row>
    <row r="354" spans="1:17" x14ac:dyDescent="0.35">
      <c r="A354" s="166"/>
      <c r="B354" s="169">
        <v>118</v>
      </c>
      <c r="C354" s="147"/>
      <c r="D354" s="169"/>
      <c r="E354" s="154">
        <v>3804</v>
      </c>
      <c r="F354" s="154">
        <v>27</v>
      </c>
      <c r="G354" s="154">
        <v>9</v>
      </c>
      <c r="H354" s="154">
        <v>213</v>
      </c>
      <c r="I354" s="154">
        <v>2</v>
      </c>
      <c r="J354" s="154">
        <v>0</v>
      </c>
      <c r="K354" s="154">
        <v>0</v>
      </c>
      <c r="L354" s="154">
        <v>0</v>
      </c>
      <c r="M354" s="154">
        <v>0</v>
      </c>
      <c r="N354" s="154">
        <v>0</v>
      </c>
      <c r="O354" s="154">
        <v>0</v>
      </c>
      <c r="P354" s="154">
        <v>0</v>
      </c>
      <c r="Q354" s="156">
        <v>267.10000000000002</v>
      </c>
    </row>
    <row r="355" spans="1:17" x14ac:dyDescent="0.35">
      <c r="A355" s="167"/>
      <c r="B355" s="170"/>
      <c r="C355" s="151" t="s">
        <v>259</v>
      </c>
      <c r="D355" s="170"/>
      <c r="E355" s="155"/>
      <c r="F355" s="155"/>
      <c r="G355" s="155"/>
      <c r="H355" s="155"/>
      <c r="I355" s="155"/>
      <c r="J355" s="155"/>
      <c r="K355" s="155"/>
      <c r="L355" s="155"/>
      <c r="M355" s="155"/>
      <c r="N355" s="155"/>
      <c r="O355" s="155"/>
      <c r="P355" s="155"/>
      <c r="Q355" s="157"/>
    </row>
    <row r="356" spans="1:17" ht="15" thickBot="1" x14ac:dyDescent="0.4">
      <c r="A356" s="168"/>
      <c r="B356" s="171"/>
      <c r="C356" s="148" t="s">
        <v>1088</v>
      </c>
      <c r="D356" s="171"/>
      <c r="E356" s="158"/>
      <c r="F356" s="158"/>
      <c r="G356" s="158"/>
      <c r="H356" s="158"/>
      <c r="I356" s="158"/>
      <c r="J356" s="158"/>
      <c r="K356" s="158"/>
      <c r="L356" s="158"/>
      <c r="M356" s="158"/>
      <c r="N356" s="158"/>
      <c r="O356" s="158"/>
      <c r="P356" s="158"/>
      <c r="Q356" s="159"/>
    </row>
    <row r="357" spans="1:17" x14ac:dyDescent="0.35">
      <c r="A357" s="166"/>
      <c r="B357" s="169">
        <v>119</v>
      </c>
      <c r="C357" s="147"/>
      <c r="D357" s="169"/>
      <c r="E357" s="154">
        <v>3416</v>
      </c>
      <c r="F357" s="154">
        <v>19</v>
      </c>
      <c r="G357" s="154">
        <v>11</v>
      </c>
      <c r="H357" s="154">
        <v>552</v>
      </c>
      <c r="I357" s="154">
        <v>6</v>
      </c>
      <c r="J357" s="154">
        <v>0</v>
      </c>
      <c r="K357" s="154">
        <v>0</v>
      </c>
      <c r="L357" s="154">
        <v>0</v>
      </c>
      <c r="M357" s="154">
        <v>0</v>
      </c>
      <c r="N357" s="154">
        <v>0</v>
      </c>
      <c r="O357" s="154">
        <v>0</v>
      </c>
      <c r="P357" s="154">
        <v>0</v>
      </c>
      <c r="Q357" s="156">
        <v>273</v>
      </c>
    </row>
    <row r="358" spans="1:17" x14ac:dyDescent="0.35">
      <c r="A358" s="167"/>
      <c r="B358" s="170"/>
      <c r="C358" s="151" t="s">
        <v>304</v>
      </c>
      <c r="D358" s="170"/>
      <c r="E358" s="155"/>
      <c r="F358" s="155"/>
      <c r="G358" s="155"/>
      <c r="H358" s="155"/>
      <c r="I358" s="155"/>
      <c r="J358" s="155"/>
      <c r="K358" s="155"/>
      <c r="L358" s="155"/>
      <c r="M358" s="155"/>
      <c r="N358" s="155"/>
      <c r="O358" s="155"/>
      <c r="P358" s="155"/>
      <c r="Q358" s="157"/>
    </row>
    <row r="359" spans="1:17" ht="15" thickBot="1" x14ac:dyDescent="0.4">
      <c r="A359" s="168"/>
      <c r="B359" s="171"/>
      <c r="C359" s="148" t="s">
        <v>1177</v>
      </c>
      <c r="D359" s="171"/>
      <c r="E359" s="158"/>
      <c r="F359" s="158"/>
      <c r="G359" s="158"/>
      <c r="H359" s="158"/>
      <c r="I359" s="158"/>
      <c r="J359" s="158"/>
      <c r="K359" s="158"/>
      <c r="L359" s="158"/>
      <c r="M359" s="158"/>
      <c r="N359" s="158"/>
      <c r="O359" s="158"/>
      <c r="P359" s="158"/>
      <c r="Q359" s="159"/>
    </row>
    <row r="360" spans="1:17" x14ac:dyDescent="0.35">
      <c r="A360" s="166"/>
      <c r="B360" s="169">
        <v>120</v>
      </c>
      <c r="C360" s="147"/>
      <c r="D360" s="169"/>
      <c r="E360" s="154">
        <v>4024</v>
      </c>
      <c r="F360" s="154">
        <v>30</v>
      </c>
      <c r="G360" s="154">
        <v>9</v>
      </c>
      <c r="H360" s="154">
        <v>11</v>
      </c>
      <c r="I360" s="154">
        <v>1</v>
      </c>
      <c r="J360" s="154">
        <v>0</v>
      </c>
      <c r="K360" s="154">
        <v>0</v>
      </c>
      <c r="L360" s="154">
        <v>0</v>
      </c>
      <c r="M360" s="154">
        <v>0</v>
      </c>
      <c r="N360" s="154">
        <v>0</v>
      </c>
      <c r="O360" s="154">
        <v>0</v>
      </c>
      <c r="P360" s="154">
        <v>0</v>
      </c>
      <c r="Q360" s="156">
        <v>268.89999999999998</v>
      </c>
    </row>
    <row r="361" spans="1:17" x14ac:dyDescent="0.35">
      <c r="A361" s="167"/>
      <c r="B361" s="170"/>
      <c r="C361" s="151" t="s">
        <v>220</v>
      </c>
      <c r="D361" s="170"/>
      <c r="E361" s="155"/>
      <c r="F361" s="155"/>
      <c r="G361" s="155"/>
      <c r="H361" s="155"/>
      <c r="I361" s="155"/>
      <c r="J361" s="155"/>
      <c r="K361" s="155"/>
      <c r="L361" s="155"/>
      <c r="M361" s="155"/>
      <c r="N361" s="155"/>
      <c r="O361" s="155"/>
      <c r="P361" s="155"/>
      <c r="Q361" s="157"/>
    </row>
    <row r="362" spans="1:17" ht="15" thickBot="1" x14ac:dyDescent="0.4">
      <c r="A362" s="168"/>
      <c r="B362" s="171"/>
      <c r="C362" s="148" t="s">
        <v>1099</v>
      </c>
      <c r="D362" s="171"/>
      <c r="E362" s="158"/>
      <c r="F362" s="158"/>
      <c r="G362" s="158"/>
      <c r="H362" s="158"/>
      <c r="I362" s="158"/>
      <c r="J362" s="158"/>
      <c r="K362" s="158"/>
      <c r="L362" s="158"/>
      <c r="M362" s="158"/>
      <c r="N362" s="158"/>
      <c r="O362" s="158"/>
      <c r="P362" s="158"/>
      <c r="Q362" s="159"/>
    </row>
    <row r="363" spans="1:17" x14ac:dyDescent="0.35">
      <c r="A363" s="166"/>
      <c r="B363" s="169">
        <v>121</v>
      </c>
      <c r="C363" s="147"/>
      <c r="D363" s="169"/>
      <c r="E363" s="154">
        <v>4211</v>
      </c>
      <c r="F363" s="154">
        <v>27</v>
      </c>
      <c r="G363" s="154">
        <v>11</v>
      </c>
      <c r="H363" s="154">
        <v>124</v>
      </c>
      <c r="I363" s="154">
        <v>1</v>
      </c>
      <c r="J363" s="154">
        <v>0</v>
      </c>
      <c r="K363" s="154">
        <v>0</v>
      </c>
      <c r="L363" s="154">
        <v>0</v>
      </c>
      <c r="M363" s="154">
        <v>0</v>
      </c>
      <c r="N363" s="154">
        <v>0</v>
      </c>
      <c r="O363" s="154">
        <v>0</v>
      </c>
      <c r="P363" s="154">
        <v>0</v>
      </c>
      <c r="Q363" s="156">
        <v>268.39999999999998</v>
      </c>
    </row>
    <row r="364" spans="1:17" x14ac:dyDescent="0.35">
      <c r="A364" s="167"/>
      <c r="B364" s="170"/>
      <c r="C364" s="151" t="s">
        <v>372</v>
      </c>
      <c r="D364" s="170"/>
      <c r="E364" s="155"/>
      <c r="F364" s="155"/>
      <c r="G364" s="155"/>
      <c r="H364" s="155"/>
      <c r="I364" s="155"/>
      <c r="J364" s="155"/>
      <c r="K364" s="155"/>
      <c r="L364" s="155"/>
      <c r="M364" s="155"/>
      <c r="N364" s="155"/>
      <c r="O364" s="155"/>
      <c r="P364" s="155"/>
      <c r="Q364" s="157"/>
    </row>
    <row r="365" spans="1:17" ht="15" thickBot="1" x14ac:dyDescent="0.4">
      <c r="A365" s="168"/>
      <c r="B365" s="171"/>
      <c r="C365" s="148" t="s">
        <v>1178</v>
      </c>
      <c r="D365" s="171"/>
      <c r="E365" s="158"/>
      <c r="F365" s="158"/>
      <c r="G365" s="158"/>
      <c r="H365" s="158"/>
      <c r="I365" s="158"/>
      <c r="J365" s="158"/>
      <c r="K365" s="158"/>
      <c r="L365" s="158"/>
      <c r="M365" s="158"/>
      <c r="N365" s="158"/>
      <c r="O365" s="158"/>
      <c r="P365" s="158"/>
      <c r="Q365" s="159"/>
    </row>
    <row r="366" spans="1:17" x14ac:dyDescent="0.35">
      <c r="A366" s="166"/>
      <c r="B366" s="169">
        <v>122</v>
      </c>
      <c r="C366" s="147"/>
      <c r="D366" s="169"/>
      <c r="E366" s="154">
        <v>3889</v>
      </c>
      <c r="F366" s="154">
        <v>25</v>
      </c>
      <c r="G366" s="154">
        <v>9</v>
      </c>
      <c r="H366" s="154">
        <v>206</v>
      </c>
      <c r="I366" s="154">
        <v>1</v>
      </c>
      <c r="J366" s="154">
        <v>0</v>
      </c>
      <c r="K366" s="154">
        <v>0</v>
      </c>
      <c r="L366" s="154">
        <v>0</v>
      </c>
      <c r="M366" s="154">
        <v>0</v>
      </c>
      <c r="N366" s="154">
        <v>0</v>
      </c>
      <c r="O366" s="154">
        <v>0</v>
      </c>
      <c r="P366" s="154">
        <v>0</v>
      </c>
      <c r="Q366" s="156">
        <v>264.7</v>
      </c>
    </row>
    <row r="367" spans="1:17" x14ac:dyDescent="0.35">
      <c r="A367" s="167"/>
      <c r="B367" s="170"/>
      <c r="C367" s="151" t="s">
        <v>165</v>
      </c>
      <c r="D367" s="170"/>
      <c r="E367" s="155"/>
      <c r="F367" s="155"/>
      <c r="G367" s="155"/>
      <c r="H367" s="155"/>
      <c r="I367" s="155"/>
      <c r="J367" s="155"/>
      <c r="K367" s="155"/>
      <c r="L367" s="155"/>
      <c r="M367" s="155"/>
      <c r="N367" s="155"/>
      <c r="O367" s="155"/>
      <c r="P367" s="155"/>
      <c r="Q367" s="157"/>
    </row>
    <row r="368" spans="1:17" ht="15" thickBot="1" x14ac:dyDescent="0.4">
      <c r="A368" s="168"/>
      <c r="B368" s="171"/>
      <c r="C368" s="148" t="s">
        <v>1077</v>
      </c>
      <c r="D368" s="171"/>
      <c r="E368" s="158"/>
      <c r="F368" s="158"/>
      <c r="G368" s="158"/>
      <c r="H368" s="158"/>
      <c r="I368" s="158"/>
      <c r="J368" s="158"/>
      <c r="K368" s="158"/>
      <c r="L368" s="158"/>
      <c r="M368" s="158"/>
      <c r="N368" s="158"/>
      <c r="O368" s="158"/>
      <c r="P368" s="158"/>
      <c r="Q368" s="159"/>
    </row>
    <row r="369" spans="1:17" x14ac:dyDescent="0.35">
      <c r="A369" s="166"/>
      <c r="B369" s="169">
        <v>123</v>
      </c>
      <c r="C369" s="147"/>
      <c r="D369" s="169"/>
      <c r="E369" s="154">
        <v>0</v>
      </c>
      <c r="F369" s="154">
        <v>0</v>
      </c>
      <c r="G369" s="154">
        <v>0</v>
      </c>
      <c r="H369" s="154">
        <v>26</v>
      </c>
      <c r="I369" s="154">
        <v>0</v>
      </c>
      <c r="J369" s="154">
        <v>49</v>
      </c>
      <c r="K369" s="154">
        <v>680</v>
      </c>
      <c r="L369" s="154">
        <v>5</v>
      </c>
      <c r="M369" s="154">
        <v>0</v>
      </c>
      <c r="N369" s="154">
        <v>0</v>
      </c>
      <c r="O369" s="154">
        <v>0</v>
      </c>
      <c r="P369" s="154">
        <v>0</v>
      </c>
      <c r="Q369" s="156">
        <v>129.19999999999999</v>
      </c>
    </row>
    <row r="370" spans="1:17" x14ac:dyDescent="0.35">
      <c r="A370" s="167"/>
      <c r="B370" s="170"/>
      <c r="C370" s="151" t="s">
        <v>386</v>
      </c>
      <c r="D370" s="170"/>
      <c r="E370" s="155"/>
      <c r="F370" s="155"/>
      <c r="G370" s="155"/>
      <c r="H370" s="155"/>
      <c r="I370" s="155"/>
      <c r="J370" s="155"/>
      <c r="K370" s="155"/>
      <c r="L370" s="155"/>
      <c r="M370" s="155"/>
      <c r="N370" s="155"/>
      <c r="O370" s="155"/>
      <c r="P370" s="155"/>
      <c r="Q370" s="157"/>
    </row>
    <row r="371" spans="1:17" ht="15" thickBot="1" x14ac:dyDescent="0.4">
      <c r="A371" s="168"/>
      <c r="B371" s="171"/>
      <c r="C371" s="148" t="s">
        <v>1030</v>
      </c>
      <c r="D371" s="171"/>
      <c r="E371" s="158"/>
      <c r="F371" s="158"/>
      <c r="G371" s="158"/>
      <c r="H371" s="158"/>
      <c r="I371" s="158"/>
      <c r="J371" s="158"/>
      <c r="K371" s="158"/>
      <c r="L371" s="158"/>
      <c r="M371" s="158"/>
      <c r="N371" s="158"/>
      <c r="O371" s="158"/>
      <c r="P371" s="158"/>
      <c r="Q371" s="159"/>
    </row>
    <row r="372" spans="1:17" x14ac:dyDescent="0.35">
      <c r="A372" s="166"/>
      <c r="B372" s="169">
        <v>124</v>
      </c>
      <c r="C372" s="147"/>
      <c r="D372" s="169"/>
      <c r="E372" s="154">
        <v>0</v>
      </c>
      <c r="F372" s="154">
        <v>0</v>
      </c>
      <c r="G372" s="154">
        <v>0</v>
      </c>
      <c r="H372" s="154">
        <v>52</v>
      </c>
      <c r="I372" s="154">
        <v>0</v>
      </c>
      <c r="J372" s="154">
        <v>50</v>
      </c>
      <c r="K372" s="154">
        <v>622</v>
      </c>
      <c r="L372" s="154">
        <v>4</v>
      </c>
      <c r="M372" s="154">
        <v>0</v>
      </c>
      <c r="N372" s="154">
        <v>0</v>
      </c>
      <c r="O372" s="154">
        <v>0</v>
      </c>
      <c r="P372" s="154">
        <v>0</v>
      </c>
      <c r="Q372" s="156">
        <v>119</v>
      </c>
    </row>
    <row r="373" spans="1:17" x14ac:dyDescent="0.35">
      <c r="A373" s="167"/>
      <c r="B373" s="170"/>
      <c r="C373" s="151" t="s">
        <v>351</v>
      </c>
      <c r="D373" s="170"/>
      <c r="E373" s="155"/>
      <c r="F373" s="155"/>
      <c r="G373" s="155"/>
      <c r="H373" s="155"/>
      <c r="I373" s="155"/>
      <c r="J373" s="155"/>
      <c r="K373" s="155"/>
      <c r="L373" s="155"/>
      <c r="M373" s="155"/>
      <c r="N373" s="155"/>
      <c r="O373" s="155"/>
      <c r="P373" s="155"/>
      <c r="Q373" s="157"/>
    </row>
    <row r="374" spans="1:17" ht="15" thickBot="1" x14ac:dyDescent="0.4">
      <c r="A374" s="168"/>
      <c r="B374" s="171"/>
      <c r="C374" s="148" t="s">
        <v>1052</v>
      </c>
      <c r="D374" s="171"/>
      <c r="E374" s="158"/>
      <c r="F374" s="158"/>
      <c r="G374" s="158"/>
      <c r="H374" s="158"/>
      <c r="I374" s="158"/>
      <c r="J374" s="158"/>
      <c r="K374" s="158"/>
      <c r="L374" s="158"/>
      <c r="M374" s="158"/>
      <c r="N374" s="158"/>
      <c r="O374" s="158"/>
      <c r="P374" s="158"/>
      <c r="Q374" s="159"/>
    </row>
    <row r="375" spans="1:17" x14ac:dyDescent="0.35">
      <c r="A375" s="166"/>
      <c r="B375" s="169">
        <v>125</v>
      </c>
      <c r="C375" s="147"/>
      <c r="D375" s="169"/>
      <c r="E375" s="154">
        <v>0</v>
      </c>
      <c r="F375" s="154">
        <v>0</v>
      </c>
      <c r="G375" s="154">
        <v>0</v>
      </c>
      <c r="H375" s="154">
        <v>95</v>
      </c>
      <c r="I375" s="154">
        <v>1</v>
      </c>
      <c r="J375" s="154">
        <v>51</v>
      </c>
      <c r="K375" s="154">
        <v>624</v>
      </c>
      <c r="L375" s="154">
        <v>4</v>
      </c>
      <c r="M375" s="154">
        <v>0</v>
      </c>
      <c r="N375" s="154">
        <v>0</v>
      </c>
      <c r="O375" s="154">
        <v>0</v>
      </c>
      <c r="P375" s="154">
        <v>0</v>
      </c>
      <c r="Q375" s="156">
        <v>127.5</v>
      </c>
    </row>
    <row r="376" spans="1:17" x14ac:dyDescent="0.35">
      <c r="A376" s="167"/>
      <c r="B376" s="170"/>
      <c r="C376" s="151" t="s">
        <v>265</v>
      </c>
      <c r="D376" s="170"/>
      <c r="E376" s="155"/>
      <c r="F376" s="155"/>
      <c r="G376" s="155"/>
      <c r="H376" s="155"/>
      <c r="I376" s="155"/>
      <c r="J376" s="155"/>
      <c r="K376" s="155"/>
      <c r="L376" s="155"/>
      <c r="M376" s="155"/>
      <c r="N376" s="155"/>
      <c r="O376" s="155"/>
      <c r="P376" s="155"/>
      <c r="Q376" s="157"/>
    </row>
    <row r="377" spans="1:17" ht="15" thickBot="1" x14ac:dyDescent="0.4">
      <c r="A377" s="168"/>
      <c r="B377" s="171"/>
      <c r="C377" s="148" t="s">
        <v>1062</v>
      </c>
      <c r="D377" s="171"/>
      <c r="E377" s="158"/>
      <c r="F377" s="158"/>
      <c r="G377" s="158"/>
      <c r="H377" s="158"/>
      <c r="I377" s="158"/>
      <c r="J377" s="158"/>
      <c r="K377" s="158"/>
      <c r="L377" s="158"/>
      <c r="M377" s="158"/>
      <c r="N377" s="158"/>
      <c r="O377" s="158"/>
      <c r="P377" s="158"/>
      <c r="Q377" s="159"/>
    </row>
    <row r="378" spans="1:17" x14ac:dyDescent="0.35">
      <c r="A378" s="166"/>
      <c r="B378" s="169">
        <v>126</v>
      </c>
      <c r="C378" s="147"/>
      <c r="D378" s="169"/>
      <c r="E378" s="154">
        <v>0</v>
      </c>
      <c r="F378" s="154">
        <v>0</v>
      </c>
      <c r="G378" s="154">
        <v>0</v>
      </c>
      <c r="H378" s="154">
        <v>73</v>
      </c>
      <c r="I378" s="154">
        <v>0</v>
      </c>
      <c r="J378" s="154">
        <v>44</v>
      </c>
      <c r="K378" s="154">
        <v>547</v>
      </c>
      <c r="L378" s="154">
        <v>4</v>
      </c>
      <c r="M378" s="154">
        <v>0</v>
      </c>
      <c r="N378" s="154">
        <v>0</v>
      </c>
      <c r="O378" s="154">
        <v>0</v>
      </c>
      <c r="P378" s="154">
        <v>0</v>
      </c>
      <c r="Q378" s="156">
        <v>108.4</v>
      </c>
    </row>
    <row r="379" spans="1:17" x14ac:dyDescent="0.35">
      <c r="A379" s="167"/>
      <c r="B379" s="170"/>
      <c r="C379" s="151" t="s">
        <v>379</v>
      </c>
      <c r="D379" s="170"/>
      <c r="E379" s="155"/>
      <c r="F379" s="155"/>
      <c r="G379" s="155"/>
      <c r="H379" s="155"/>
      <c r="I379" s="155"/>
      <c r="J379" s="155"/>
      <c r="K379" s="155"/>
      <c r="L379" s="155"/>
      <c r="M379" s="155"/>
      <c r="N379" s="155"/>
      <c r="O379" s="155"/>
      <c r="P379" s="155"/>
      <c r="Q379" s="157"/>
    </row>
    <row r="380" spans="1:17" ht="15" thickBot="1" x14ac:dyDescent="0.4">
      <c r="A380" s="168"/>
      <c r="B380" s="171"/>
      <c r="C380" s="148" t="s">
        <v>1045</v>
      </c>
      <c r="D380" s="171"/>
      <c r="E380" s="158"/>
      <c r="F380" s="158"/>
      <c r="G380" s="158"/>
      <c r="H380" s="158"/>
      <c r="I380" s="158"/>
      <c r="J380" s="158"/>
      <c r="K380" s="158"/>
      <c r="L380" s="158"/>
      <c r="M380" s="158"/>
      <c r="N380" s="158"/>
      <c r="O380" s="158"/>
      <c r="P380" s="158"/>
      <c r="Q380" s="159"/>
    </row>
    <row r="381" spans="1:17" x14ac:dyDescent="0.35">
      <c r="A381" s="166"/>
      <c r="B381" s="169">
        <v>127</v>
      </c>
      <c r="C381" s="147"/>
      <c r="D381" s="169"/>
      <c r="E381" s="154">
        <v>0</v>
      </c>
      <c r="F381" s="154">
        <v>0</v>
      </c>
      <c r="G381" s="154">
        <v>0</v>
      </c>
      <c r="H381" s="154">
        <v>10</v>
      </c>
      <c r="I381" s="154">
        <v>0</v>
      </c>
      <c r="J381" s="154">
        <v>54</v>
      </c>
      <c r="K381" s="154">
        <v>674</v>
      </c>
      <c r="L381" s="154">
        <v>3</v>
      </c>
      <c r="M381" s="154">
        <v>0</v>
      </c>
      <c r="N381" s="154">
        <v>0</v>
      </c>
      <c r="O381" s="154">
        <v>0</v>
      </c>
      <c r="P381" s="154">
        <v>0</v>
      </c>
      <c r="Q381" s="156">
        <v>113.4</v>
      </c>
    </row>
    <row r="382" spans="1:17" x14ac:dyDescent="0.35">
      <c r="A382" s="167"/>
      <c r="B382" s="170"/>
      <c r="C382" s="151" t="s">
        <v>267</v>
      </c>
      <c r="D382" s="170"/>
      <c r="E382" s="155"/>
      <c r="F382" s="155"/>
      <c r="G382" s="155"/>
      <c r="H382" s="155"/>
      <c r="I382" s="155"/>
      <c r="J382" s="155"/>
      <c r="K382" s="155"/>
      <c r="L382" s="155"/>
      <c r="M382" s="155"/>
      <c r="N382" s="155"/>
      <c r="O382" s="155"/>
      <c r="P382" s="155"/>
      <c r="Q382" s="157"/>
    </row>
    <row r="383" spans="1:17" ht="15" thickBot="1" x14ac:dyDescent="0.4">
      <c r="A383" s="168"/>
      <c r="B383" s="171"/>
      <c r="C383" s="148" t="s">
        <v>1064</v>
      </c>
      <c r="D383" s="171"/>
      <c r="E383" s="158"/>
      <c r="F383" s="158"/>
      <c r="G383" s="158"/>
      <c r="H383" s="158"/>
      <c r="I383" s="158"/>
      <c r="J383" s="158"/>
      <c r="K383" s="158"/>
      <c r="L383" s="158"/>
      <c r="M383" s="158"/>
      <c r="N383" s="158"/>
      <c r="O383" s="158"/>
      <c r="P383" s="158"/>
      <c r="Q383" s="159"/>
    </row>
    <row r="384" spans="1:17" x14ac:dyDescent="0.35">
      <c r="A384" s="166"/>
      <c r="B384" s="169">
        <v>128</v>
      </c>
      <c r="C384" s="147"/>
      <c r="D384" s="169"/>
      <c r="E384" s="154">
        <v>0</v>
      </c>
      <c r="F384" s="154">
        <v>0</v>
      </c>
      <c r="G384" s="154">
        <v>0</v>
      </c>
      <c r="H384" s="154">
        <v>316</v>
      </c>
      <c r="I384" s="154">
        <v>1</v>
      </c>
      <c r="J384" s="154">
        <v>44</v>
      </c>
      <c r="K384" s="154">
        <v>386</v>
      </c>
      <c r="L384" s="154">
        <v>2</v>
      </c>
      <c r="M384" s="154">
        <v>0</v>
      </c>
      <c r="N384" s="154">
        <v>0</v>
      </c>
      <c r="O384" s="154">
        <v>0</v>
      </c>
      <c r="P384" s="154">
        <v>0</v>
      </c>
      <c r="Q384" s="156">
        <v>114.8</v>
      </c>
    </row>
    <row r="385" spans="1:17" x14ac:dyDescent="0.35">
      <c r="A385" s="167"/>
      <c r="B385" s="170"/>
      <c r="C385" s="151" t="s">
        <v>1224</v>
      </c>
      <c r="D385" s="170"/>
      <c r="E385" s="155"/>
      <c r="F385" s="155"/>
      <c r="G385" s="155"/>
      <c r="H385" s="155"/>
      <c r="I385" s="155"/>
      <c r="J385" s="155"/>
      <c r="K385" s="155"/>
      <c r="L385" s="155"/>
      <c r="M385" s="155"/>
      <c r="N385" s="155"/>
      <c r="O385" s="155"/>
      <c r="P385" s="155"/>
      <c r="Q385" s="157"/>
    </row>
    <row r="386" spans="1:17" ht="15" thickBot="1" x14ac:dyDescent="0.4">
      <c r="A386" s="168"/>
      <c r="B386" s="171"/>
      <c r="C386" s="148" t="s">
        <v>1070</v>
      </c>
      <c r="D386" s="171"/>
      <c r="E386" s="158"/>
      <c r="F386" s="158"/>
      <c r="G386" s="158"/>
      <c r="H386" s="158"/>
      <c r="I386" s="158"/>
      <c r="J386" s="158"/>
      <c r="K386" s="158"/>
      <c r="L386" s="158"/>
      <c r="M386" s="158"/>
      <c r="N386" s="158"/>
      <c r="O386" s="158"/>
      <c r="P386" s="158"/>
      <c r="Q386" s="159"/>
    </row>
    <row r="387" spans="1:17" x14ac:dyDescent="0.35">
      <c r="A387" s="166"/>
      <c r="B387" s="169">
        <v>129</v>
      </c>
      <c r="C387" s="147"/>
      <c r="D387" s="169"/>
      <c r="E387" s="154">
        <v>0</v>
      </c>
      <c r="F387" s="154">
        <v>0</v>
      </c>
      <c r="G387" s="154">
        <v>0</v>
      </c>
      <c r="H387" s="154">
        <v>685</v>
      </c>
      <c r="I387" s="154">
        <v>5</v>
      </c>
      <c r="J387" s="154">
        <v>16</v>
      </c>
      <c r="K387" s="154">
        <v>127</v>
      </c>
      <c r="L387" s="154">
        <v>1</v>
      </c>
      <c r="M387" s="154">
        <v>0</v>
      </c>
      <c r="N387" s="154">
        <v>0</v>
      </c>
      <c r="O387" s="154">
        <v>0</v>
      </c>
      <c r="P387" s="154">
        <v>0</v>
      </c>
      <c r="Q387" s="156">
        <v>123.2</v>
      </c>
    </row>
    <row r="388" spans="1:17" x14ac:dyDescent="0.35">
      <c r="A388" s="167"/>
      <c r="B388" s="170"/>
      <c r="C388" s="151" t="s">
        <v>112</v>
      </c>
      <c r="D388" s="170"/>
      <c r="E388" s="155"/>
      <c r="F388" s="155"/>
      <c r="G388" s="155"/>
      <c r="H388" s="155"/>
      <c r="I388" s="155"/>
      <c r="J388" s="155"/>
      <c r="K388" s="155"/>
      <c r="L388" s="155"/>
      <c r="M388" s="155"/>
      <c r="N388" s="155"/>
      <c r="O388" s="155"/>
      <c r="P388" s="155"/>
      <c r="Q388" s="157"/>
    </row>
    <row r="389" spans="1:17" ht="15" thickBot="1" x14ac:dyDescent="0.4">
      <c r="A389" s="168"/>
      <c r="B389" s="171"/>
      <c r="C389" s="148" t="s">
        <v>1050</v>
      </c>
      <c r="D389" s="171"/>
      <c r="E389" s="158"/>
      <c r="F389" s="158"/>
      <c r="G389" s="158"/>
      <c r="H389" s="158"/>
      <c r="I389" s="158"/>
      <c r="J389" s="158"/>
      <c r="K389" s="158"/>
      <c r="L389" s="158"/>
      <c r="M389" s="158"/>
      <c r="N389" s="158"/>
      <c r="O389" s="158"/>
      <c r="P389" s="158"/>
      <c r="Q389" s="159"/>
    </row>
    <row r="390" spans="1:17" x14ac:dyDescent="0.35">
      <c r="A390" s="166"/>
      <c r="B390" s="169">
        <v>130</v>
      </c>
      <c r="C390" s="147"/>
      <c r="D390" s="169"/>
      <c r="E390" s="154">
        <v>0</v>
      </c>
      <c r="F390" s="154">
        <v>0</v>
      </c>
      <c r="G390" s="154">
        <v>0</v>
      </c>
      <c r="H390" s="154">
        <v>341</v>
      </c>
      <c r="I390" s="154">
        <v>3</v>
      </c>
      <c r="J390" s="154">
        <v>16</v>
      </c>
      <c r="K390" s="154">
        <v>127</v>
      </c>
      <c r="L390" s="154">
        <v>1</v>
      </c>
      <c r="M390" s="154">
        <v>0</v>
      </c>
      <c r="N390" s="154">
        <v>0</v>
      </c>
      <c r="O390" s="154">
        <v>0</v>
      </c>
      <c r="P390" s="154">
        <v>0</v>
      </c>
      <c r="Q390" s="156">
        <v>75.400000000000006</v>
      </c>
    </row>
    <row r="391" spans="1:17" x14ac:dyDescent="0.35">
      <c r="A391" s="167"/>
      <c r="B391" s="170"/>
      <c r="C391" s="151" t="s">
        <v>525</v>
      </c>
      <c r="D391" s="170"/>
      <c r="E391" s="155"/>
      <c r="F391" s="155"/>
      <c r="G391" s="155"/>
      <c r="H391" s="155"/>
      <c r="I391" s="155"/>
      <c r="J391" s="155"/>
      <c r="K391" s="155"/>
      <c r="L391" s="155"/>
      <c r="M391" s="155"/>
      <c r="N391" s="155"/>
      <c r="O391" s="155"/>
      <c r="P391" s="155"/>
      <c r="Q391" s="157"/>
    </row>
    <row r="392" spans="1:17" ht="15" thickBot="1" x14ac:dyDescent="0.4">
      <c r="A392" s="168"/>
      <c r="B392" s="171"/>
      <c r="C392" s="148" t="s">
        <v>1023</v>
      </c>
      <c r="D392" s="171"/>
      <c r="E392" s="158"/>
      <c r="F392" s="158"/>
      <c r="G392" s="158"/>
      <c r="H392" s="158"/>
      <c r="I392" s="158"/>
      <c r="J392" s="158"/>
      <c r="K392" s="158"/>
      <c r="L392" s="158"/>
      <c r="M392" s="158"/>
      <c r="N392" s="158"/>
      <c r="O392" s="158"/>
      <c r="P392" s="158"/>
      <c r="Q392" s="159"/>
    </row>
    <row r="393" spans="1:17" x14ac:dyDescent="0.35">
      <c r="A393" s="166"/>
      <c r="B393" s="169">
        <v>131</v>
      </c>
      <c r="C393" s="147"/>
      <c r="D393" s="169"/>
      <c r="E393" s="154">
        <v>0</v>
      </c>
      <c r="F393" s="154">
        <v>0</v>
      </c>
      <c r="G393" s="154">
        <v>0</v>
      </c>
      <c r="H393" s="154">
        <v>531</v>
      </c>
      <c r="I393" s="154">
        <v>4</v>
      </c>
      <c r="J393" s="154">
        <v>8</v>
      </c>
      <c r="K393" s="154">
        <v>64</v>
      </c>
      <c r="L393" s="154">
        <v>0</v>
      </c>
      <c r="M393" s="154">
        <v>0</v>
      </c>
      <c r="N393" s="154">
        <v>0</v>
      </c>
      <c r="O393" s="154">
        <v>0</v>
      </c>
      <c r="P393" s="154">
        <v>0</v>
      </c>
      <c r="Q393" s="156">
        <v>88.2</v>
      </c>
    </row>
    <row r="394" spans="1:17" x14ac:dyDescent="0.35">
      <c r="A394" s="167"/>
      <c r="B394" s="170"/>
      <c r="C394" s="151" t="s">
        <v>118</v>
      </c>
      <c r="D394" s="170"/>
      <c r="E394" s="155"/>
      <c r="F394" s="155"/>
      <c r="G394" s="155"/>
      <c r="H394" s="155"/>
      <c r="I394" s="155"/>
      <c r="J394" s="155"/>
      <c r="K394" s="155"/>
      <c r="L394" s="155"/>
      <c r="M394" s="155"/>
      <c r="N394" s="155"/>
      <c r="O394" s="155"/>
      <c r="P394" s="155"/>
      <c r="Q394" s="157"/>
    </row>
    <row r="395" spans="1:17" ht="15" thickBot="1" x14ac:dyDescent="0.4">
      <c r="A395" s="168"/>
      <c r="B395" s="171"/>
      <c r="C395" s="148" t="s">
        <v>1065</v>
      </c>
      <c r="D395" s="171"/>
      <c r="E395" s="158"/>
      <c r="F395" s="158"/>
      <c r="G395" s="158"/>
      <c r="H395" s="158"/>
      <c r="I395" s="158"/>
      <c r="J395" s="158"/>
      <c r="K395" s="158"/>
      <c r="L395" s="158"/>
      <c r="M395" s="158"/>
      <c r="N395" s="158"/>
      <c r="O395" s="158"/>
      <c r="P395" s="158"/>
      <c r="Q395" s="159"/>
    </row>
    <row r="396" spans="1:17" x14ac:dyDescent="0.35">
      <c r="A396" s="166"/>
      <c r="B396" s="169">
        <v>132</v>
      </c>
      <c r="C396" s="147"/>
      <c r="D396" s="169"/>
      <c r="E396" s="154">
        <v>0</v>
      </c>
      <c r="F396" s="154">
        <v>0</v>
      </c>
      <c r="G396" s="154">
        <v>0</v>
      </c>
      <c r="H396" s="154">
        <v>351</v>
      </c>
      <c r="I396" s="154">
        <v>2</v>
      </c>
      <c r="J396" s="154">
        <v>26</v>
      </c>
      <c r="K396" s="154">
        <v>205</v>
      </c>
      <c r="L396" s="154">
        <v>1</v>
      </c>
      <c r="M396" s="154">
        <v>0</v>
      </c>
      <c r="N396" s="154">
        <v>0</v>
      </c>
      <c r="O396" s="154">
        <v>0</v>
      </c>
      <c r="P396" s="154">
        <v>0</v>
      </c>
      <c r="Q396" s="156">
        <v>88.5</v>
      </c>
    </row>
    <row r="397" spans="1:17" x14ac:dyDescent="0.35">
      <c r="A397" s="167"/>
      <c r="B397" s="170"/>
      <c r="C397" s="151" t="s">
        <v>788</v>
      </c>
      <c r="D397" s="170"/>
      <c r="E397" s="155"/>
      <c r="F397" s="155"/>
      <c r="G397" s="155"/>
      <c r="H397" s="155"/>
      <c r="I397" s="155"/>
      <c r="J397" s="155"/>
      <c r="K397" s="155"/>
      <c r="L397" s="155"/>
      <c r="M397" s="155"/>
      <c r="N397" s="155"/>
      <c r="O397" s="155"/>
      <c r="P397" s="155"/>
      <c r="Q397" s="157"/>
    </row>
    <row r="398" spans="1:17" ht="15" thickBot="1" x14ac:dyDescent="0.4">
      <c r="A398" s="168"/>
      <c r="B398" s="171"/>
      <c r="C398" s="148" t="s">
        <v>1022</v>
      </c>
      <c r="D398" s="171"/>
      <c r="E398" s="158"/>
      <c r="F398" s="158"/>
      <c r="G398" s="158"/>
      <c r="H398" s="158"/>
      <c r="I398" s="158"/>
      <c r="J398" s="158"/>
      <c r="K398" s="158"/>
      <c r="L398" s="158"/>
      <c r="M398" s="158"/>
      <c r="N398" s="158"/>
      <c r="O398" s="158"/>
      <c r="P398" s="158"/>
      <c r="Q398" s="159"/>
    </row>
    <row r="399" spans="1:17" x14ac:dyDescent="0.35">
      <c r="A399" s="166"/>
      <c r="B399" s="169">
        <v>133</v>
      </c>
      <c r="C399" s="147"/>
      <c r="D399" s="169"/>
      <c r="E399" s="154">
        <v>0</v>
      </c>
      <c r="F399" s="154">
        <v>0</v>
      </c>
      <c r="G399" s="154">
        <v>0</v>
      </c>
      <c r="H399" s="154">
        <v>481</v>
      </c>
      <c r="I399" s="154">
        <v>3</v>
      </c>
      <c r="J399" s="154">
        <v>15</v>
      </c>
      <c r="K399" s="154">
        <v>123</v>
      </c>
      <c r="L399" s="154">
        <v>1</v>
      </c>
      <c r="M399" s="154">
        <v>0</v>
      </c>
      <c r="N399" s="154">
        <v>0</v>
      </c>
      <c r="O399" s="154">
        <v>0</v>
      </c>
      <c r="P399" s="154">
        <v>0</v>
      </c>
      <c r="Q399" s="156">
        <v>90.1</v>
      </c>
    </row>
    <row r="400" spans="1:17" x14ac:dyDescent="0.35">
      <c r="A400" s="167"/>
      <c r="B400" s="170"/>
      <c r="C400" s="151" t="s">
        <v>480</v>
      </c>
      <c r="D400" s="170"/>
      <c r="E400" s="155"/>
      <c r="F400" s="155"/>
      <c r="G400" s="155"/>
      <c r="H400" s="155"/>
      <c r="I400" s="155"/>
      <c r="J400" s="155"/>
      <c r="K400" s="155"/>
      <c r="L400" s="155"/>
      <c r="M400" s="155"/>
      <c r="N400" s="155"/>
      <c r="O400" s="155"/>
      <c r="P400" s="155"/>
      <c r="Q400" s="157"/>
    </row>
    <row r="401" spans="1:17" ht="15" thickBot="1" x14ac:dyDescent="0.4">
      <c r="A401" s="168"/>
      <c r="B401" s="171"/>
      <c r="C401" s="148" t="s">
        <v>1065</v>
      </c>
      <c r="D401" s="171"/>
      <c r="E401" s="158"/>
      <c r="F401" s="158"/>
      <c r="G401" s="158"/>
      <c r="H401" s="158"/>
      <c r="I401" s="158"/>
      <c r="J401" s="158"/>
      <c r="K401" s="158"/>
      <c r="L401" s="158"/>
      <c r="M401" s="158"/>
      <c r="N401" s="158"/>
      <c r="O401" s="158"/>
      <c r="P401" s="158"/>
      <c r="Q401" s="159"/>
    </row>
    <row r="402" spans="1:17" x14ac:dyDescent="0.35">
      <c r="A402" s="166"/>
      <c r="B402" s="169">
        <v>134</v>
      </c>
      <c r="C402" s="147"/>
      <c r="D402" s="169"/>
      <c r="E402" s="154">
        <v>0</v>
      </c>
      <c r="F402" s="154">
        <v>0</v>
      </c>
      <c r="G402" s="154">
        <v>0</v>
      </c>
      <c r="H402" s="154">
        <v>0</v>
      </c>
      <c r="I402" s="154">
        <v>0</v>
      </c>
      <c r="J402" s="154">
        <v>54</v>
      </c>
      <c r="K402" s="154">
        <v>602</v>
      </c>
      <c r="L402" s="154">
        <v>4</v>
      </c>
      <c r="M402" s="154">
        <v>0</v>
      </c>
      <c r="N402" s="154">
        <v>0</v>
      </c>
      <c r="O402" s="154">
        <v>0</v>
      </c>
      <c r="P402" s="154">
        <v>0</v>
      </c>
      <c r="Q402" s="156">
        <v>112.2</v>
      </c>
    </row>
    <row r="403" spans="1:17" x14ac:dyDescent="0.35">
      <c r="A403" s="167"/>
      <c r="B403" s="170"/>
      <c r="C403" s="151" t="s">
        <v>421</v>
      </c>
      <c r="D403" s="170"/>
      <c r="E403" s="155"/>
      <c r="F403" s="155"/>
      <c r="G403" s="155"/>
      <c r="H403" s="155"/>
      <c r="I403" s="155"/>
      <c r="J403" s="155"/>
      <c r="K403" s="155"/>
      <c r="L403" s="155"/>
      <c r="M403" s="155"/>
      <c r="N403" s="155"/>
      <c r="O403" s="155"/>
      <c r="P403" s="155"/>
      <c r="Q403" s="157"/>
    </row>
    <row r="404" spans="1:17" ht="15" thickBot="1" x14ac:dyDescent="0.4">
      <c r="A404" s="168"/>
      <c r="B404" s="171"/>
      <c r="C404" s="148" t="s">
        <v>1181</v>
      </c>
      <c r="D404" s="171"/>
      <c r="E404" s="158"/>
      <c r="F404" s="158"/>
      <c r="G404" s="158"/>
      <c r="H404" s="158"/>
      <c r="I404" s="158"/>
      <c r="J404" s="158"/>
      <c r="K404" s="158"/>
      <c r="L404" s="158"/>
      <c r="M404" s="158"/>
      <c r="N404" s="158"/>
      <c r="O404" s="158"/>
      <c r="P404" s="158"/>
      <c r="Q404" s="159"/>
    </row>
    <row r="405" spans="1:17" x14ac:dyDescent="0.35">
      <c r="A405" s="166"/>
      <c r="B405" s="169">
        <v>135</v>
      </c>
      <c r="C405" s="147"/>
      <c r="D405" s="169"/>
      <c r="E405" s="154">
        <v>0</v>
      </c>
      <c r="F405" s="154">
        <v>0</v>
      </c>
      <c r="G405" s="154">
        <v>0</v>
      </c>
      <c r="H405" s="154">
        <v>0</v>
      </c>
      <c r="I405" s="154">
        <v>0</v>
      </c>
      <c r="J405" s="154">
        <v>49</v>
      </c>
      <c r="K405" s="154">
        <v>601</v>
      </c>
      <c r="L405" s="154">
        <v>4</v>
      </c>
      <c r="M405" s="154">
        <v>0</v>
      </c>
      <c r="N405" s="154">
        <v>0</v>
      </c>
      <c r="O405" s="154">
        <v>0</v>
      </c>
      <c r="P405" s="154">
        <v>0</v>
      </c>
      <c r="Q405" s="156">
        <v>107.3</v>
      </c>
    </row>
    <row r="406" spans="1:17" x14ac:dyDescent="0.35">
      <c r="A406" s="167"/>
      <c r="B406" s="170"/>
      <c r="C406" s="151" t="s">
        <v>1162</v>
      </c>
      <c r="D406" s="170"/>
      <c r="E406" s="155"/>
      <c r="F406" s="155"/>
      <c r="G406" s="155"/>
      <c r="H406" s="155"/>
      <c r="I406" s="155"/>
      <c r="J406" s="155"/>
      <c r="K406" s="155"/>
      <c r="L406" s="155"/>
      <c r="M406" s="155"/>
      <c r="N406" s="155"/>
      <c r="O406" s="155"/>
      <c r="P406" s="155"/>
      <c r="Q406" s="157"/>
    </row>
    <row r="407" spans="1:17" ht="15" thickBot="1" x14ac:dyDescent="0.4">
      <c r="A407" s="168"/>
      <c r="B407" s="171"/>
      <c r="C407" s="148" t="s">
        <v>1163</v>
      </c>
      <c r="D407" s="171"/>
      <c r="E407" s="158"/>
      <c r="F407" s="158"/>
      <c r="G407" s="158"/>
      <c r="H407" s="158"/>
      <c r="I407" s="158"/>
      <c r="J407" s="158"/>
      <c r="K407" s="158"/>
      <c r="L407" s="158"/>
      <c r="M407" s="158"/>
      <c r="N407" s="158"/>
      <c r="O407" s="158"/>
      <c r="P407" s="158"/>
      <c r="Q407" s="159"/>
    </row>
    <row r="408" spans="1:17" x14ac:dyDescent="0.35">
      <c r="A408" s="166"/>
      <c r="B408" s="169">
        <v>136</v>
      </c>
      <c r="C408" s="147"/>
      <c r="D408" s="169"/>
      <c r="E408" s="154">
        <v>0</v>
      </c>
      <c r="F408" s="154">
        <v>0</v>
      </c>
      <c r="G408" s="154">
        <v>0</v>
      </c>
      <c r="H408" s="154">
        <v>0</v>
      </c>
      <c r="I408" s="154">
        <v>0</v>
      </c>
      <c r="J408" s="154">
        <v>48</v>
      </c>
      <c r="K408" s="154">
        <v>516</v>
      </c>
      <c r="L408" s="154">
        <v>5</v>
      </c>
      <c r="M408" s="154">
        <v>0</v>
      </c>
      <c r="N408" s="154">
        <v>0</v>
      </c>
      <c r="O408" s="154">
        <v>0</v>
      </c>
      <c r="P408" s="154">
        <v>0</v>
      </c>
      <c r="Q408" s="156">
        <v>105.5</v>
      </c>
    </row>
    <row r="409" spans="1:17" x14ac:dyDescent="0.35">
      <c r="A409" s="167"/>
      <c r="B409" s="170"/>
      <c r="C409" s="151" t="s">
        <v>295</v>
      </c>
      <c r="D409" s="170"/>
      <c r="E409" s="155"/>
      <c r="F409" s="155"/>
      <c r="G409" s="155"/>
      <c r="H409" s="155"/>
      <c r="I409" s="155"/>
      <c r="J409" s="155"/>
      <c r="K409" s="155"/>
      <c r="L409" s="155"/>
      <c r="M409" s="155"/>
      <c r="N409" s="155"/>
      <c r="O409" s="155"/>
      <c r="P409" s="155"/>
      <c r="Q409" s="157"/>
    </row>
    <row r="410" spans="1:17" ht="15" thickBot="1" x14ac:dyDescent="0.4">
      <c r="A410" s="168"/>
      <c r="B410" s="171"/>
      <c r="C410" s="148" t="s">
        <v>1095</v>
      </c>
      <c r="D410" s="171"/>
      <c r="E410" s="158"/>
      <c r="F410" s="158"/>
      <c r="G410" s="158"/>
      <c r="H410" s="158"/>
      <c r="I410" s="158"/>
      <c r="J410" s="158"/>
      <c r="K410" s="158"/>
      <c r="L410" s="158"/>
      <c r="M410" s="158"/>
      <c r="N410" s="158"/>
      <c r="O410" s="158"/>
      <c r="P410" s="158"/>
      <c r="Q410" s="159"/>
    </row>
    <row r="411" spans="1:17" x14ac:dyDescent="0.35">
      <c r="A411" s="166"/>
      <c r="B411" s="169">
        <v>137</v>
      </c>
      <c r="C411" s="147"/>
      <c r="D411" s="169"/>
      <c r="E411" s="154">
        <v>3724</v>
      </c>
      <c r="F411" s="154">
        <v>24</v>
      </c>
      <c r="G411" s="154">
        <v>13</v>
      </c>
      <c r="H411" s="154">
        <v>267</v>
      </c>
      <c r="I411" s="154">
        <v>2</v>
      </c>
      <c r="J411" s="154">
        <v>0</v>
      </c>
      <c r="K411" s="154">
        <v>0</v>
      </c>
      <c r="L411" s="154">
        <v>0</v>
      </c>
      <c r="M411" s="154">
        <v>0</v>
      </c>
      <c r="N411" s="154">
        <v>0</v>
      </c>
      <c r="O411" s="154">
        <v>0</v>
      </c>
      <c r="P411" s="154">
        <v>0</v>
      </c>
      <c r="Q411" s="156">
        <v>249.1</v>
      </c>
    </row>
    <row r="412" spans="1:17" x14ac:dyDescent="0.35">
      <c r="A412" s="167"/>
      <c r="B412" s="170"/>
      <c r="C412" s="151" t="s">
        <v>721</v>
      </c>
      <c r="D412" s="170"/>
      <c r="E412" s="155"/>
      <c r="F412" s="155"/>
      <c r="G412" s="155"/>
      <c r="H412" s="155"/>
      <c r="I412" s="155"/>
      <c r="J412" s="155"/>
      <c r="K412" s="155"/>
      <c r="L412" s="155"/>
      <c r="M412" s="155"/>
      <c r="N412" s="155"/>
      <c r="O412" s="155"/>
      <c r="P412" s="155"/>
      <c r="Q412" s="157"/>
    </row>
    <row r="413" spans="1:17" ht="15" thickBot="1" x14ac:dyDescent="0.4">
      <c r="A413" s="168"/>
      <c r="B413" s="171"/>
      <c r="C413" s="148" t="s">
        <v>1389</v>
      </c>
      <c r="D413" s="171"/>
      <c r="E413" s="158"/>
      <c r="F413" s="158"/>
      <c r="G413" s="158"/>
      <c r="H413" s="158"/>
      <c r="I413" s="158"/>
      <c r="J413" s="158"/>
      <c r="K413" s="158"/>
      <c r="L413" s="158"/>
      <c r="M413" s="158"/>
      <c r="N413" s="158"/>
      <c r="O413" s="158"/>
      <c r="P413" s="158"/>
      <c r="Q413" s="159"/>
    </row>
    <row r="414" spans="1:17" x14ac:dyDescent="0.35">
      <c r="A414" s="166"/>
      <c r="B414" s="169">
        <v>138</v>
      </c>
      <c r="C414" s="147"/>
      <c r="D414" s="169"/>
      <c r="E414" s="154">
        <v>3575</v>
      </c>
      <c r="F414" s="154">
        <v>20</v>
      </c>
      <c r="G414" s="154">
        <v>12</v>
      </c>
      <c r="H414" s="154">
        <v>438</v>
      </c>
      <c r="I414" s="154">
        <v>3</v>
      </c>
      <c r="J414" s="154">
        <v>0</v>
      </c>
      <c r="K414" s="154">
        <v>0</v>
      </c>
      <c r="L414" s="154">
        <v>0</v>
      </c>
      <c r="M414" s="154">
        <v>0</v>
      </c>
      <c r="N414" s="154">
        <v>0</v>
      </c>
      <c r="O414" s="154">
        <v>0</v>
      </c>
      <c r="P414" s="154">
        <v>0</v>
      </c>
      <c r="Q414" s="156">
        <v>259.2</v>
      </c>
    </row>
    <row r="415" spans="1:17" x14ac:dyDescent="0.35">
      <c r="A415" s="167"/>
      <c r="B415" s="170"/>
      <c r="C415" s="151" t="s">
        <v>234</v>
      </c>
      <c r="D415" s="170"/>
      <c r="E415" s="155"/>
      <c r="F415" s="155"/>
      <c r="G415" s="155"/>
      <c r="H415" s="155"/>
      <c r="I415" s="155"/>
      <c r="J415" s="155"/>
      <c r="K415" s="155"/>
      <c r="L415" s="155"/>
      <c r="M415" s="155"/>
      <c r="N415" s="155"/>
      <c r="O415" s="155"/>
      <c r="P415" s="155"/>
      <c r="Q415" s="157"/>
    </row>
    <row r="416" spans="1:17" ht="15" thickBot="1" x14ac:dyDescent="0.4">
      <c r="A416" s="168"/>
      <c r="B416" s="171"/>
      <c r="C416" s="148" t="s">
        <v>1104</v>
      </c>
      <c r="D416" s="171"/>
      <c r="E416" s="158"/>
      <c r="F416" s="158"/>
      <c r="G416" s="158"/>
      <c r="H416" s="158"/>
      <c r="I416" s="158"/>
      <c r="J416" s="158"/>
      <c r="K416" s="158"/>
      <c r="L416" s="158"/>
      <c r="M416" s="158"/>
      <c r="N416" s="158"/>
      <c r="O416" s="158"/>
      <c r="P416" s="158"/>
      <c r="Q416" s="159"/>
    </row>
    <row r="417" spans="1:17" x14ac:dyDescent="0.35">
      <c r="A417" s="166"/>
      <c r="B417" s="169">
        <v>139</v>
      </c>
      <c r="C417" s="147"/>
      <c r="D417" s="169"/>
      <c r="E417" s="154">
        <v>0</v>
      </c>
      <c r="F417" s="154">
        <v>0</v>
      </c>
      <c r="G417" s="154">
        <v>0</v>
      </c>
      <c r="H417" s="154">
        <v>499</v>
      </c>
      <c r="I417" s="154">
        <v>3</v>
      </c>
      <c r="J417" s="154">
        <v>23</v>
      </c>
      <c r="K417" s="154">
        <v>171</v>
      </c>
      <c r="L417" s="154">
        <v>1</v>
      </c>
      <c r="M417" s="154">
        <v>0</v>
      </c>
      <c r="N417" s="154">
        <v>0</v>
      </c>
      <c r="O417" s="154">
        <v>0</v>
      </c>
      <c r="P417" s="154">
        <v>0</v>
      </c>
      <c r="Q417" s="156">
        <v>101.8</v>
      </c>
    </row>
    <row r="418" spans="1:17" x14ac:dyDescent="0.35">
      <c r="A418" s="167"/>
      <c r="B418" s="170"/>
      <c r="C418" s="151" t="s">
        <v>553</v>
      </c>
      <c r="D418" s="170"/>
      <c r="E418" s="155"/>
      <c r="F418" s="155"/>
      <c r="G418" s="155"/>
      <c r="H418" s="155"/>
      <c r="I418" s="155"/>
      <c r="J418" s="155"/>
      <c r="K418" s="155"/>
      <c r="L418" s="155"/>
      <c r="M418" s="155"/>
      <c r="N418" s="155"/>
      <c r="O418" s="155"/>
      <c r="P418" s="155"/>
      <c r="Q418" s="157"/>
    </row>
    <row r="419" spans="1:17" ht="15" thickBot="1" x14ac:dyDescent="0.4">
      <c r="A419" s="168"/>
      <c r="B419" s="171"/>
      <c r="C419" s="148" t="s">
        <v>1043</v>
      </c>
      <c r="D419" s="171"/>
      <c r="E419" s="158"/>
      <c r="F419" s="158"/>
      <c r="G419" s="158"/>
      <c r="H419" s="158"/>
      <c r="I419" s="158"/>
      <c r="J419" s="158"/>
      <c r="K419" s="158"/>
      <c r="L419" s="158"/>
      <c r="M419" s="158"/>
      <c r="N419" s="158"/>
      <c r="O419" s="158"/>
      <c r="P419" s="158"/>
      <c r="Q419" s="159"/>
    </row>
    <row r="420" spans="1:17" x14ac:dyDescent="0.35">
      <c r="A420" s="166"/>
      <c r="B420" s="169">
        <v>140</v>
      </c>
      <c r="C420" s="147"/>
      <c r="D420" s="169"/>
      <c r="E420" s="154">
        <v>0</v>
      </c>
      <c r="F420" s="154">
        <v>0</v>
      </c>
      <c r="G420" s="154">
        <v>0</v>
      </c>
      <c r="H420" s="154">
        <v>256</v>
      </c>
      <c r="I420" s="154">
        <v>1</v>
      </c>
      <c r="J420" s="154">
        <v>46</v>
      </c>
      <c r="K420" s="154">
        <v>402</v>
      </c>
      <c r="L420" s="154">
        <v>1</v>
      </c>
      <c r="M420" s="154">
        <v>0</v>
      </c>
      <c r="N420" s="154">
        <v>0</v>
      </c>
      <c r="O420" s="154">
        <v>0</v>
      </c>
      <c r="P420" s="154">
        <v>0</v>
      </c>
      <c r="Q420" s="156">
        <v>102.6</v>
      </c>
    </row>
    <row r="421" spans="1:17" x14ac:dyDescent="0.35">
      <c r="A421" s="167"/>
      <c r="B421" s="170"/>
      <c r="C421" s="151" t="s">
        <v>392</v>
      </c>
      <c r="D421" s="170"/>
      <c r="E421" s="155"/>
      <c r="F421" s="155"/>
      <c r="G421" s="155"/>
      <c r="H421" s="155"/>
      <c r="I421" s="155"/>
      <c r="J421" s="155"/>
      <c r="K421" s="155"/>
      <c r="L421" s="155"/>
      <c r="M421" s="155"/>
      <c r="N421" s="155"/>
      <c r="O421" s="155"/>
      <c r="P421" s="155"/>
      <c r="Q421" s="157"/>
    </row>
    <row r="422" spans="1:17" ht="15" thickBot="1" x14ac:dyDescent="0.4">
      <c r="A422" s="168"/>
      <c r="B422" s="171"/>
      <c r="C422" s="148" t="s">
        <v>1041</v>
      </c>
      <c r="D422" s="171"/>
      <c r="E422" s="158"/>
      <c r="F422" s="158"/>
      <c r="G422" s="158"/>
      <c r="H422" s="158"/>
      <c r="I422" s="158"/>
      <c r="J422" s="158"/>
      <c r="K422" s="158"/>
      <c r="L422" s="158"/>
      <c r="M422" s="158"/>
      <c r="N422" s="158"/>
      <c r="O422" s="158"/>
      <c r="P422" s="158"/>
      <c r="Q422" s="159"/>
    </row>
    <row r="423" spans="1:17" x14ac:dyDescent="0.35">
      <c r="A423" s="166"/>
      <c r="B423" s="169">
        <v>141</v>
      </c>
      <c r="C423" s="147"/>
      <c r="D423" s="169"/>
      <c r="E423" s="154" t="s">
        <v>1543</v>
      </c>
      <c r="F423" s="154" t="s">
        <v>1543</v>
      </c>
      <c r="G423" s="154" t="s">
        <v>1543</v>
      </c>
      <c r="H423" s="154" t="s">
        <v>1543</v>
      </c>
      <c r="I423" s="154" t="s">
        <v>1543</v>
      </c>
      <c r="J423" s="154" t="s">
        <v>1543</v>
      </c>
      <c r="K423" s="154" t="s">
        <v>1543</v>
      </c>
      <c r="L423" s="154" t="s">
        <v>1543</v>
      </c>
      <c r="M423" s="154" t="s">
        <v>1543</v>
      </c>
      <c r="N423" s="154" t="s">
        <v>1543</v>
      </c>
      <c r="O423" s="154" t="s">
        <v>1543</v>
      </c>
      <c r="P423" s="154" t="s">
        <v>1543</v>
      </c>
      <c r="Q423" s="156">
        <v>0</v>
      </c>
    </row>
    <row r="424" spans="1:17" x14ac:dyDescent="0.35">
      <c r="A424" s="167"/>
      <c r="B424" s="170"/>
      <c r="C424" s="151" t="s">
        <v>337</v>
      </c>
      <c r="D424" s="170"/>
      <c r="E424" s="155"/>
      <c r="F424" s="155"/>
      <c r="G424" s="155"/>
      <c r="H424" s="155"/>
      <c r="I424" s="155"/>
      <c r="J424" s="155"/>
      <c r="K424" s="155"/>
      <c r="L424" s="155"/>
      <c r="M424" s="155"/>
      <c r="N424" s="155"/>
      <c r="O424" s="155"/>
      <c r="P424" s="155"/>
      <c r="Q424" s="157"/>
    </row>
    <row r="425" spans="1:17" ht="15" thickBot="1" x14ac:dyDescent="0.4">
      <c r="A425" s="168"/>
      <c r="B425" s="171"/>
      <c r="C425" s="148" t="s">
        <v>1040</v>
      </c>
      <c r="D425" s="171"/>
      <c r="E425" s="158"/>
      <c r="F425" s="158"/>
      <c r="G425" s="158"/>
      <c r="H425" s="158"/>
      <c r="I425" s="158"/>
      <c r="J425" s="158"/>
      <c r="K425" s="158"/>
      <c r="L425" s="158"/>
      <c r="M425" s="158"/>
      <c r="N425" s="158"/>
      <c r="O425" s="158"/>
      <c r="P425" s="158"/>
      <c r="Q425" s="159"/>
    </row>
    <row r="426" spans="1:17" x14ac:dyDescent="0.35">
      <c r="A426" s="166"/>
      <c r="B426" s="169">
        <v>142</v>
      </c>
      <c r="C426" s="147"/>
      <c r="D426" s="169"/>
      <c r="E426" s="154">
        <v>0</v>
      </c>
      <c r="F426" s="154">
        <v>0</v>
      </c>
      <c r="G426" s="154">
        <v>0</v>
      </c>
      <c r="H426" s="154">
        <v>394</v>
      </c>
      <c r="I426" s="154">
        <v>2</v>
      </c>
      <c r="J426" s="154">
        <v>17</v>
      </c>
      <c r="K426" s="154">
        <v>137</v>
      </c>
      <c r="L426" s="154">
        <v>1</v>
      </c>
      <c r="M426" s="154">
        <v>0</v>
      </c>
      <c r="N426" s="154">
        <v>0</v>
      </c>
      <c r="O426" s="154">
        <v>0</v>
      </c>
      <c r="P426" s="154">
        <v>0</v>
      </c>
      <c r="Q426" s="156">
        <v>77</v>
      </c>
    </row>
    <row r="427" spans="1:17" x14ac:dyDescent="0.35">
      <c r="A427" s="167"/>
      <c r="B427" s="170"/>
      <c r="C427" s="151" t="s">
        <v>968</v>
      </c>
      <c r="D427" s="170"/>
      <c r="E427" s="155"/>
      <c r="F427" s="155"/>
      <c r="G427" s="155"/>
      <c r="H427" s="155"/>
      <c r="I427" s="155"/>
      <c r="J427" s="155"/>
      <c r="K427" s="155"/>
      <c r="L427" s="155"/>
      <c r="M427" s="155"/>
      <c r="N427" s="155"/>
      <c r="O427" s="155"/>
      <c r="P427" s="155"/>
      <c r="Q427" s="157"/>
    </row>
    <row r="428" spans="1:17" ht="15" thickBot="1" x14ac:dyDescent="0.4">
      <c r="A428" s="168"/>
      <c r="B428" s="171"/>
      <c r="C428" s="148" t="s">
        <v>1041</v>
      </c>
      <c r="D428" s="171"/>
      <c r="E428" s="158"/>
      <c r="F428" s="158"/>
      <c r="G428" s="158"/>
      <c r="H428" s="158"/>
      <c r="I428" s="158"/>
      <c r="J428" s="158"/>
      <c r="K428" s="158"/>
      <c r="L428" s="158"/>
      <c r="M428" s="158"/>
      <c r="N428" s="158"/>
      <c r="O428" s="158"/>
      <c r="P428" s="158"/>
      <c r="Q428" s="159"/>
    </row>
    <row r="429" spans="1:17" x14ac:dyDescent="0.35">
      <c r="A429" s="166"/>
      <c r="B429" s="169">
        <v>143</v>
      </c>
      <c r="C429" s="147"/>
      <c r="D429" s="169"/>
      <c r="E429" s="154">
        <v>0</v>
      </c>
      <c r="F429" s="154">
        <v>0</v>
      </c>
      <c r="G429" s="154">
        <v>0</v>
      </c>
      <c r="H429" s="154">
        <v>401</v>
      </c>
      <c r="I429" s="154">
        <v>4</v>
      </c>
      <c r="J429" s="154">
        <v>31</v>
      </c>
      <c r="K429" s="154">
        <v>234</v>
      </c>
      <c r="L429" s="154">
        <v>1</v>
      </c>
      <c r="M429" s="154">
        <v>0</v>
      </c>
      <c r="N429" s="154">
        <v>0</v>
      </c>
      <c r="O429" s="154">
        <v>0</v>
      </c>
      <c r="P429" s="154">
        <v>0</v>
      </c>
      <c r="Q429" s="156">
        <v>109.6</v>
      </c>
    </row>
    <row r="430" spans="1:17" x14ac:dyDescent="0.35">
      <c r="A430" s="167"/>
      <c r="B430" s="170"/>
      <c r="C430" s="151" t="s">
        <v>766</v>
      </c>
      <c r="D430" s="170"/>
      <c r="E430" s="155"/>
      <c r="F430" s="155"/>
      <c r="G430" s="155"/>
      <c r="H430" s="155"/>
      <c r="I430" s="155"/>
      <c r="J430" s="155"/>
      <c r="K430" s="155"/>
      <c r="L430" s="155"/>
      <c r="M430" s="155"/>
      <c r="N430" s="155"/>
      <c r="O430" s="155"/>
      <c r="P430" s="155"/>
      <c r="Q430" s="157"/>
    </row>
    <row r="431" spans="1:17" ht="15" thickBot="1" x14ac:dyDescent="0.4">
      <c r="A431" s="168"/>
      <c r="B431" s="171"/>
      <c r="C431" s="148" t="s">
        <v>1085</v>
      </c>
      <c r="D431" s="171"/>
      <c r="E431" s="158"/>
      <c r="F431" s="158"/>
      <c r="G431" s="158"/>
      <c r="H431" s="158"/>
      <c r="I431" s="158"/>
      <c r="J431" s="158"/>
      <c r="K431" s="158"/>
      <c r="L431" s="158"/>
      <c r="M431" s="158"/>
      <c r="N431" s="158"/>
      <c r="O431" s="158"/>
      <c r="P431" s="158"/>
      <c r="Q431" s="159"/>
    </row>
    <row r="432" spans="1:17" x14ac:dyDescent="0.35">
      <c r="A432" s="166"/>
      <c r="B432" s="169">
        <v>144</v>
      </c>
      <c r="C432" s="147"/>
      <c r="D432" s="169"/>
      <c r="E432" s="154">
        <v>0</v>
      </c>
      <c r="F432" s="154">
        <v>0</v>
      </c>
      <c r="G432" s="154">
        <v>0</v>
      </c>
      <c r="H432" s="154">
        <v>217</v>
      </c>
      <c r="I432" s="154">
        <v>2</v>
      </c>
      <c r="J432" s="154">
        <v>48</v>
      </c>
      <c r="K432" s="154">
        <v>393</v>
      </c>
      <c r="L432" s="154">
        <v>2</v>
      </c>
      <c r="M432" s="154">
        <v>0</v>
      </c>
      <c r="N432" s="154">
        <v>0</v>
      </c>
      <c r="O432" s="154">
        <v>0</v>
      </c>
      <c r="P432" s="154">
        <v>0</v>
      </c>
      <c r="Q432" s="156">
        <v>108.4</v>
      </c>
    </row>
    <row r="433" spans="1:17" x14ac:dyDescent="0.35">
      <c r="A433" s="167"/>
      <c r="B433" s="170"/>
      <c r="C433" s="151" t="s">
        <v>300</v>
      </c>
      <c r="D433" s="170"/>
      <c r="E433" s="155"/>
      <c r="F433" s="155"/>
      <c r="G433" s="155"/>
      <c r="H433" s="155"/>
      <c r="I433" s="155"/>
      <c r="J433" s="155"/>
      <c r="K433" s="155"/>
      <c r="L433" s="155"/>
      <c r="M433" s="155"/>
      <c r="N433" s="155"/>
      <c r="O433" s="155"/>
      <c r="P433" s="155"/>
      <c r="Q433" s="157"/>
    </row>
    <row r="434" spans="1:17" ht="15" thickBot="1" x14ac:dyDescent="0.4">
      <c r="A434" s="168"/>
      <c r="B434" s="171"/>
      <c r="C434" s="148" t="s">
        <v>1050</v>
      </c>
      <c r="D434" s="171"/>
      <c r="E434" s="158"/>
      <c r="F434" s="158"/>
      <c r="G434" s="158"/>
      <c r="H434" s="158"/>
      <c r="I434" s="158"/>
      <c r="J434" s="158"/>
      <c r="K434" s="158"/>
      <c r="L434" s="158"/>
      <c r="M434" s="158"/>
      <c r="N434" s="158"/>
      <c r="O434" s="158"/>
      <c r="P434" s="158"/>
      <c r="Q434" s="159"/>
    </row>
    <row r="435" spans="1:17" x14ac:dyDescent="0.35">
      <c r="A435" s="166"/>
      <c r="B435" s="169">
        <v>145</v>
      </c>
      <c r="C435" s="147"/>
      <c r="D435" s="169"/>
      <c r="E435" s="154">
        <v>0</v>
      </c>
      <c r="F435" s="154">
        <v>0</v>
      </c>
      <c r="G435" s="154">
        <v>0</v>
      </c>
      <c r="H435" s="154">
        <v>0</v>
      </c>
      <c r="I435" s="154">
        <v>0</v>
      </c>
      <c r="J435" s="154">
        <v>53</v>
      </c>
      <c r="K435" s="154">
        <v>647</v>
      </c>
      <c r="L435" s="154">
        <v>4</v>
      </c>
      <c r="M435" s="154">
        <v>0</v>
      </c>
      <c r="N435" s="154">
        <v>0</v>
      </c>
      <c r="O435" s="154">
        <v>0</v>
      </c>
      <c r="P435" s="154">
        <v>0</v>
      </c>
      <c r="Q435" s="156">
        <v>114.3</v>
      </c>
    </row>
    <row r="436" spans="1:17" x14ac:dyDescent="0.35">
      <c r="A436" s="167"/>
      <c r="B436" s="170"/>
      <c r="C436" s="151" t="s">
        <v>1244</v>
      </c>
      <c r="D436" s="170"/>
      <c r="E436" s="155"/>
      <c r="F436" s="155"/>
      <c r="G436" s="155"/>
      <c r="H436" s="155"/>
      <c r="I436" s="155"/>
      <c r="J436" s="155"/>
      <c r="K436" s="155"/>
      <c r="L436" s="155"/>
      <c r="M436" s="155"/>
      <c r="N436" s="155"/>
      <c r="O436" s="155"/>
      <c r="P436" s="155"/>
      <c r="Q436" s="157"/>
    </row>
    <row r="437" spans="1:17" ht="15" thickBot="1" x14ac:dyDescent="0.4">
      <c r="A437" s="168"/>
      <c r="B437" s="171"/>
      <c r="C437" s="148" t="s">
        <v>1053</v>
      </c>
      <c r="D437" s="171"/>
      <c r="E437" s="158"/>
      <c r="F437" s="158"/>
      <c r="G437" s="158"/>
      <c r="H437" s="158"/>
      <c r="I437" s="158"/>
      <c r="J437" s="158"/>
      <c r="K437" s="158"/>
      <c r="L437" s="158"/>
      <c r="M437" s="158"/>
      <c r="N437" s="158"/>
      <c r="O437" s="158"/>
      <c r="P437" s="158"/>
      <c r="Q437" s="159"/>
    </row>
    <row r="438" spans="1:17" x14ac:dyDescent="0.35">
      <c r="A438" s="166"/>
      <c r="B438" s="169">
        <v>146</v>
      </c>
      <c r="C438" s="147"/>
      <c r="D438" s="169"/>
      <c r="E438" s="154">
        <v>0</v>
      </c>
      <c r="F438" s="154">
        <v>0</v>
      </c>
      <c r="G438" s="154">
        <v>0</v>
      </c>
      <c r="H438" s="154">
        <v>0</v>
      </c>
      <c r="I438" s="154">
        <v>0</v>
      </c>
      <c r="J438" s="154">
        <v>42</v>
      </c>
      <c r="K438" s="154">
        <v>569</v>
      </c>
      <c r="L438" s="154">
        <v>4</v>
      </c>
      <c r="M438" s="154">
        <v>0</v>
      </c>
      <c r="N438" s="154">
        <v>0</v>
      </c>
      <c r="O438" s="154">
        <v>0</v>
      </c>
      <c r="P438" s="154">
        <v>0</v>
      </c>
      <c r="Q438" s="156">
        <v>103</v>
      </c>
    </row>
    <row r="439" spans="1:17" x14ac:dyDescent="0.35">
      <c r="A439" s="167"/>
      <c r="B439" s="170"/>
      <c r="C439" s="151" t="s">
        <v>1254</v>
      </c>
      <c r="D439" s="170"/>
      <c r="E439" s="155"/>
      <c r="F439" s="155"/>
      <c r="G439" s="155"/>
      <c r="H439" s="155"/>
      <c r="I439" s="155"/>
      <c r="J439" s="155"/>
      <c r="K439" s="155"/>
      <c r="L439" s="155"/>
      <c r="M439" s="155"/>
      <c r="N439" s="155"/>
      <c r="O439" s="155"/>
      <c r="P439" s="155"/>
      <c r="Q439" s="157"/>
    </row>
    <row r="440" spans="1:17" ht="15" thickBot="1" x14ac:dyDescent="0.4">
      <c r="A440" s="168"/>
      <c r="B440" s="171"/>
      <c r="C440" s="148" t="s">
        <v>1093</v>
      </c>
      <c r="D440" s="171"/>
      <c r="E440" s="158"/>
      <c r="F440" s="158"/>
      <c r="G440" s="158"/>
      <c r="H440" s="158"/>
      <c r="I440" s="158"/>
      <c r="J440" s="158"/>
      <c r="K440" s="158"/>
      <c r="L440" s="158"/>
      <c r="M440" s="158"/>
      <c r="N440" s="158"/>
      <c r="O440" s="158"/>
      <c r="P440" s="158"/>
      <c r="Q440" s="159"/>
    </row>
    <row r="441" spans="1:17" x14ac:dyDescent="0.35">
      <c r="A441" s="166"/>
      <c r="B441" s="169">
        <v>147</v>
      </c>
      <c r="C441" s="147"/>
      <c r="D441" s="169"/>
      <c r="E441" s="154">
        <v>0</v>
      </c>
      <c r="F441" s="154">
        <v>0</v>
      </c>
      <c r="G441" s="154">
        <v>0</v>
      </c>
      <c r="H441" s="154">
        <v>22</v>
      </c>
      <c r="I441" s="154">
        <v>0</v>
      </c>
      <c r="J441" s="154">
        <v>49</v>
      </c>
      <c r="K441" s="154">
        <v>690</v>
      </c>
      <c r="L441" s="154">
        <v>4</v>
      </c>
      <c r="M441" s="154">
        <v>0</v>
      </c>
      <c r="N441" s="154">
        <v>0</v>
      </c>
      <c r="O441" s="154">
        <v>0</v>
      </c>
      <c r="P441" s="154">
        <v>0</v>
      </c>
      <c r="Q441" s="156">
        <v>120.3</v>
      </c>
    </row>
    <row r="442" spans="1:17" x14ac:dyDescent="0.35">
      <c r="A442" s="167"/>
      <c r="B442" s="170"/>
      <c r="C442" s="151" t="s">
        <v>176</v>
      </c>
      <c r="D442" s="170"/>
      <c r="E442" s="155"/>
      <c r="F442" s="155"/>
      <c r="G442" s="155"/>
      <c r="H442" s="155"/>
      <c r="I442" s="155"/>
      <c r="J442" s="155"/>
      <c r="K442" s="155"/>
      <c r="L442" s="155"/>
      <c r="M442" s="155"/>
      <c r="N442" s="155"/>
      <c r="O442" s="155"/>
      <c r="P442" s="155"/>
      <c r="Q442" s="157"/>
    </row>
    <row r="443" spans="1:17" ht="15" thickBot="1" x14ac:dyDescent="0.4">
      <c r="A443" s="168"/>
      <c r="B443" s="171"/>
      <c r="C443" s="148" t="s">
        <v>1030</v>
      </c>
      <c r="D443" s="171"/>
      <c r="E443" s="158"/>
      <c r="F443" s="158"/>
      <c r="G443" s="158"/>
      <c r="H443" s="158"/>
      <c r="I443" s="158"/>
      <c r="J443" s="158"/>
      <c r="K443" s="158"/>
      <c r="L443" s="158"/>
      <c r="M443" s="158"/>
      <c r="N443" s="158"/>
      <c r="O443" s="158"/>
      <c r="P443" s="158"/>
      <c r="Q443" s="159"/>
    </row>
    <row r="444" spans="1:17" x14ac:dyDescent="0.35">
      <c r="A444" s="166"/>
      <c r="B444" s="169">
        <v>148</v>
      </c>
      <c r="C444" s="147"/>
      <c r="D444" s="169"/>
      <c r="E444" s="154">
        <v>0</v>
      </c>
      <c r="F444" s="154">
        <v>0</v>
      </c>
      <c r="G444" s="154">
        <v>0</v>
      </c>
      <c r="H444" s="154">
        <v>20</v>
      </c>
      <c r="I444" s="154">
        <v>0</v>
      </c>
      <c r="J444" s="154">
        <v>46</v>
      </c>
      <c r="K444" s="154">
        <v>582</v>
      </c>
      <c r="L444" s="154">
        <v>3</v>
      </c>
      <c r="M444" s="154">
        <v>0</v>
      </c>
      <c r="N444" s="154">
        <v>0</v>
      </c>
      <c r="O444" s="154">
        <v>0</v>
      </c>
      <c r="P444" s="154">
        <v>0</v>
      </c>
      <c r="Q444" s="156">
        <v>103.7</v>
      </c>
    </row>
    <row r="445" spans="1:17" x14ac:dyDescent="0.35">
      <c r="A445" s="167"/>
      <c r="B445" s="170"/>
      <c r="C445" s="151" t="s">
        <v>443</v>
      </c>
      <c r="D445" s="170"/>
      <c r="E445" s="155"/>
      <c r="F445" s="155"/>
      <c r="G445" s="155"/>
      <c r="H445" s="155"/>
      <c r="I445" s="155"/>
      <c r="J445" s="155"/>
      <c r="K445" s="155"/>
      <c r="L445" s="155"/>
      <c r="M445" s="155"/>
      <c r="N445" s="155"/>
      <c r="O445" s="155"/>
      <c r="P445" s="155"/>
      <c r="Q445" s="157"/>
    </row>
    <row r="446" spans="1:17" ht="15" thickBot="1" x14ac:dyDescent="0.4">
      <c r="A446" s="168"/>
      <c r="B446" s="171"/>
      <c r="C446" s="148" t="s">
        <v>1025</v>
      </c>
      <c r="D446" s="171"/>
      <c r="E446" s="158"/>
      <c r="F446" s="158"/>
      <c r="G446" s="158"/>
      <c r="H446" s="158"/>
      <c r="I446" s="158"/>
      <c r="J446" s="158"/>
      <c r="K446" s="158"/>
      <c r="L446" s="158"/>
      <c r="M446" s="158"/>
      <c r="N446" s="158"/>
      <c r="O446" s="158"/>
      <c r="P446" s="158"/>
      <c r="Q446" s="159"/>
    </row>
    <row r="447" spans="1:17" x14ac:dyDescent="0.35">
      <c r="A447" s="166"/>
      <c r="B447" s="169">
        <v>149</v>
      </c>
      <c r="C447" s="147"/>
      <c r="D447" s="169"/>
      <c r="E447" s="154">
        <v>0</v>
      </c>
      <c r="F447" s="154">
        <v>0</v>
      </c>
      <c r="G447" s="154">
        <v>0</v>
      </c>
      <c r="H447" s="154">
        <v>0</v>
      </c>
      <c r="I447" s="154">
        <v>0</v>
      </c>
      <c r="J447" s="154">
        <v>47</v>
      </c>
      <c r="K447" s="154">
        <v>577</v>
      </c>
      <c r="L447" s="154">
        <v>5</v>
      </c>
      <c r="M447" s="154">
        <v>0</v>
      </c>
      <c r="N447" s="154">
        <v>0</v>
      </c>
      <c r="O447" s="154">
        <v>0</v>
      </c>
      <c r="P447" s="154">
        <v>0</v>
      </c>
      <c r="Q447" s="156">
        <v>109.6</v>
      </c>
    </row>
    <row r="448" spans="1:17" x14ac:dyDescent="0.35">
      <c r="A448" s="167"/>
      <c r="B448" s="170"/>
      <c r="C448" s="151" t="s">
        <v>163</v>
      </c>
      <c r="D448" s="170"/>
      <c r="E448" s="155"/>
      <c r="F448" s="155"/>
      <c r="G448" s="155"/>
      <c r="H448" s="155"/>
      <c r="I448" s="155"/>
      <c r="J448" s="155"/>
      <c r="K448" s="155"/>
      <c r="L448" s="155"/>
      <c r="M448" s="155"/>
      <c r="N448" s="155"/>
      <c r="O448" s="155"/>
      <c r="P448" s="155"/>
      <c r="Q448" s="157"/>
    </row>
    <row r="449" spans="1:17" ht="15" thickBot="1" x14ac:dyDescent="0.4">
      <c r="A449" s="168"/>
      <c r="B449" s="171"/>
      <c r="C449" s="148" t="s">
        <v>1059</v>
      </c>
      <c r="D449" s="171"/>
      <c r="E449" s="158"/>
      <c r="F449" s="158"/>
      <c r="G449" s="158"/>
      <c r="H449" s="158"/>
      <c r="I449" s="158"/>
      <c r="J449" s="158"/>
      <c r="K449" s="158"/>
      <c r="L449" s="158"/>
      <c r="M449" s="158"/>
      <c r="N449" s="158"/>
      <c r="O449" s="158"/>
      <c r="P449" s="158"/>
      <c r="Q449" s="159"/>
    </row>
    <row r="450" spans="1:17" x14ac:dyDescent="0.35">
      <c r="A450" s="166"/>
      <c r="B450" s="169">
        <v>150</v>
      </c>
      <c r="C450" s="147"/>
      <c r="D450" s="169"/>
      <c r="E450" s="154">
        <v>0</v>
      </c>
      <c r="F450" s="154">
        <v>0</v>
      </c>
      <c r="G450" s="154">
        <v>0</v>
      </c>
      <c r="H450" s="154">
        <v>13</v>
      </c>
      <c r="I450" s="154">
        <v>0</v>
      </c>
      <c r="J450" s="154">
        <v>45</v>
      </c>
      <c r="K450" s="154">
        <v>564</v>
      </c>
      <c r="L450" s="154">
        <v>4</v>
      </c>
      <c r="M450" s="154">
        <v>0</v>
      </c>
      <c r="N450" s="154">
        <v>0</v>
      </c>
      <c r="O450" s="154">
        <v>0</v>
      </c>
      <c r="P450" s="154">
        <v>0</v>
      </c>
      <c r="Q450" s="156">
        <v>105.9</v>
      </c>
    </row>
    <row r="451" spans="1:17" x14ac:dyDescent="0.35">
      <c r="A451" s="167"/>
      <c r="B451" s="170"/>
      <c r="C451" s="151" t="s">
        <v>1250</v>
      </c>
      <c r="D451" s="170"/>
      <c r="E451" s="155"/>
      <c r="F451" s="155"/>
      <c r="G451" s="155"/>
      <c r="H451" s="155"/>
      <c r="I451" s="155"/>
      <c r="J451" s="155"/>
      <c r="K451" s="155"/>
      <c r="L451" s="155"/>
      <c r="M451" s="155"/>
      <c r="N451" s="155"/>
      <c r="O451" s="155"/>
      <c r="P451" s="155"/>
      <c r="Q451" s="157"/>
    </row>
    <row r="452" spans="1:17" ht="15" thickBot="1" x14ac:dyDescent="0.4">
      <c r="A452" s="168"/>
      <c r="B452" s="171"/>
      <c r="C452" s="148" t="s">
        <v>1059</v>
      </c>
      <c r="D452" s="171"/>
      <c r="E452" s="158"/>
      <c r="F452" s="158"/>
      <c r="G452" s="158"/>
      <c r="H452" s="158"/>
      <c r="I452" s="158"/>
      <c r="J452" s="158"/>
      <c r="K452" s="158"/>
      <c r="L452" s="158"/>
      <c r="M452" s="158"/>
      <c r="N452" s="158"/>
      <c r="O452" s="158"/>
      <c r="P452" s="158"/>
      <c r="Q452" s="159"/>
    </row>
    <row r="453" spans="1:17" x14ac:dyDescent="0.35">
      <c r="A453" s="166"/>
      <c r="B453" s="169">
        <v>151</v>
      </c>
      <c r="C453" s="147"/>
      <c r="D453" s="169"/>
      <c r="E453" s="154">
        <v>0</v>
      </c>
      <c r="F453" s="154">
        <v>0</v>
      </c>
      <c r="G453" s="154">
        <v>0</v>
      </c>
      <c r="H453" s="154">
        <v>0</v>
      </c>
      <c r="I453" s="154">
        <v>0</v>
      </c>
      <c r="J453" s="154">
        <v>38</v>
      </c>
      <c r="K453" s="154">
        <v>524</v>
      </c>
      <c r="L453" s="154">
        <v>4</v>
      </c>
      <c r="M453" s="154">
        <v>0</v>
      </c>
      <c r="N453" s="154">
        <v>0</v>
      </c>
      <c r="O453" s="154">
        <v>0</v>
      </c>
      <c r="P453" s="154">
        <v>0</v>
      </c>
      <c r="Q453" s="156">
        <v>94.9</v>
      </c>
    </row>
    <row r="454" spans="1:17" x14ac:dyDescent="0.35">
      <c r="A454" s="167"/>
      <c r="B454" s="170"/>
      <c r="C454" s="151" t="s">
        <v>1259</v>
      </c>
      <c r="D454" s="170"/>
      <c r="E454" s="155"/>
      <c r="F454" s="155"/>
      <c r="G454" s="155"/>
      <c r="H454" s="155"/>
      <c r="I454" s="155"/>
      <c r="J454" s="155"/>
      <c r="K454" s="155"/>
      <c r="L454" s="155"/>
      <c r="M454" s="155"/>
      <c r="N454" s="155"/>
      <c r="O454" s="155"/>
      <c r="P454" s="155"/>
      <c r="Q454" s="157"/>
    </row>
    <row r="455" spans="1:17" ht="15" thickBot="1" x14ac:dyDescent="0.4">
      <c r="A455" s="168"/>
      <c r="B455" s="171"/>
      <c r="C455" s="148" t="s">
        <v>1045</v>
      </c>
      <c r="D455" s="171"/>
      <c r="E455" s="158"/>
      <c r="F455" s="158"/>
      <c r="G455" s="158"/>
      <c r="H455" s="158"/>
      <c r="I455" s="158"/>
      <c r="J455" s="158"/>
      <c r="K455" s="158"/>
      <c r="L455" s="158"/>
      <c r="M455" s="158"/>
      <c r="N455" s="158"/>
      <c r="O455" s="158"/>
      <c r="P455" s="158"/>
      <c r="Q455" s="159"/>
    </row>
    <row r="456" spans="1:17" x14ac:dyDescent="0.35">
      <c r="A456" s="166"/>
      <c r="B456" s="169">
        <v>152</v>
      </c>
      <c r="C456" s="147"/>
      <c r="D456" s="169"/>
      <c r="E456" s="154">
        <v>0</v>
      </c>
      <c r="F456" s="154">
        <v>0</v>
      </c>
      <c r="G456" s="154">
        <v>0</v>
      </c>
      <c r="H456" s="154">
        <v>0</v>
      </c>
      <c r="I456" s="154">
        <v>0</v>
      </c>
      <c r="J456" s="154">
        <v>56</v>
      </c>
      <c r="K456" s="154">
        <v>602</v>
      </c>
      <c r="L456" s="154">
        <v>5</v>
      </c>
      <c r="M456" s="154">
        <v>0</v>
      </c>
      <c r="N456" s="154">
        <v>0</v>
      </c>
      <c r="O456" s="154">
        <v>0</v>
      </c>
      <c r="P456" s="154">
        <v>0</v>
      </c>
      <c r="Q456" s="156">
        <v>115.6</v>
      </c>
    </row>
    <row r="457" spans="1:17" x14ac:dyDescent="0.35">
      <c r="A457" s="167"/>
      <c r="B457" s="170"/>
      <c r="C457" s="151" t="s">
        <v>269</v>
      </c>
      <c r="D457" s="170"/>
      <c r="E457" s="155"/>
      <c r="F457" s="155"/>
      <c r="G457" s="155"/>
      <c r="H457" s="155"/>
      <c r="I457" s="155"/>
      <c r="J457" s="155"/>
      <c r="K457" s="155"/>
      <c r="L457" s="155"/>
      <c r="M457" s="155"/>
      <c r="N457" s="155"/>
      <c r="O457" s="155"/>
      <c r="P457" s="155"/>
      <c r="Q457" s="157"/>
    </row>
    <row r="458" spans="1:17" ht="15" thickBot="1" x14ac:dyDescent="0.4">
      <c r="A458" s="168"/>
      <c r="B458" s="171"/>
      <c r="C458" s="148" t="s">
        <v>1082</v>
      </c>
      <c r="D458" s="171"/>
      <c r="E458" s="158"/>
      <c r="F458" s="158"/>
      <c r="G458" s="158"/>
      <c r="H458" s="158"/>
      <c r="I458" s="158"/>
      <c r="J458" s="158"/>
      <c r="K458" s="158"/>
      <c r="L458" s="158"/>
      <c r="M458" s="158"/>
      <c r="N458" s="158"/>
      <c r="O458" s="158"/>
      <c r="P458" s="158"/>
      <c r="Q458" s="159"/>
    </row>
    <row r="459" spans="1:17" x14ac:dyDescent="0.35">
      <c r="A459" s="166"/>
      <c r="B459" s="169">
        <v>153</v>
      </c>
      <c r="C459" s="147"/>
      <c r="D459" s="169"/>
      <c r="E459" s="154">
        <v>0</v>
      </c>
      <c r="F459" s="154">
        <v>0</v>
      </c>
      <c r="G459" s="154">
        <v>0</v>
      </c>
      <c r="H459" s="154">
        <v>10</v>
      </c>
      <c r="I459" s="154">
        <v>0</v>
      </c>
      <c r="J459" s="154">
        <v>46</v>
      </c>
      <c r="K459" s="154">
        <v>619</v>
      </c>
      <c r="L459" s="154">
        <v>4</v>
      </c>
      <c r="M459" s="154">
        <v>0</v>
      </c>
      <c r="N459" s="154">
        <v>0</v>
      </c>
      <c r="O459" s="154">
        <v>0</v>
      </c>
      <c r="P459" s="154">
        <v>0</v>
      </c>
      <c r="Q459" s="156">
        <v>109.5</v>
      </c>
    </row>
    <row r="460" spans="1:17" x14ac:dyDescent="0.35">
      <c r="A460" s="167"/>
      <c r="B460" s="170"/>
      <c r="C460" s="151" t="s">
        <v>1226</v>
      </c>
      <c r="D460" s="170"/>
      <c r="E460" s="155"/>
      <c r="F460" s="155"/>
      <c r="G460" s="155"/>
      <c r="H460" s="155"/>
      <c r="I460" s="155"/>
      <c r="J460" s="155"/>
      <c r="K460" s="155"/>
      <c r="L460" s="155"/>
      <c r="M460" s="155"/>
      <c r="N460" s="155"/>
      <c r="O460" s="155"/>
      <c r="P460" s="155"/>
      <c r="Q460" s="157"/>
    </row>
    <row r="461" spans="1:17" ht="15" thickBot="1" x14ac:dyDescent="0.4">
      <c r="A461" s="168"/>
      <c r="B461" s="171"/>
      <c r="C461" s="148" t="s">
        <v>1027</v>
      </c>
      <c r="D461" s="171"/>
      <c r="E461" s="158"/>
      <c r="F461" s="158"/>
      <c r="G461" s="158"/>
      <c r="H461" s="158"/>
      <c r="I461" s="158"/>
      <c r="J461" s="158"/>
      <c r="K461" s="158"/>
      <c r="L461" s="158"/>
      <c r="M461" s="158"/>
      <c r="N461" s="158"/>
      <c r="O461" s="158"/>
      <c r="P461" s="158"/>
      <c r="Q461" s="159"/>
    </row>
    <row r="462" spans="1:17" x14ac:dyDescent="0.35">
      <c r="A462" s="166"/>
      <c r="B462" s="169">
        <v>154</v>
      </c>
      <c r="C462" s="147"/>
      <c r="D462" s="169"/>
      <c r="E462" s="154">
        <v>0</v>
      </c>
      <c r="F462" s="154">
        <v>0</v>
      </c>
      <c r="G462" s="154">
        <v>0</v>
      </c>
      <c r="H462" s="154">
        <v>0</v>
      </c>
      <c r="I462" s="154">
        <v>0</v>
      </c>
      <c r="J462" s="154">
        <v>41</v>
      </c>
      <c r="K462" s="154">
        <v>529</v>
      </c>
      <c r="L462" s="154">
        <v>3</v>
      </c>
      <c r="M462" s="154">
        <v>0</v>
      </c>
      <c r="N462" s="154">
        <v>0</v>
      </c>
      <c r="O462" s="154">
        <v>0</v>
      </c>
      <c r="P462" s="154">
        <v>0</v>
      </c>
      <c r="Q462" s="156">
        <v>92.2</v>
      </c>
    </row>
    <row r="463" spans="1:17" x14ac:dyDescent="0.35">
      <c r="A463" s="167"/>
      <c r="B463" s="170"/>
      <c r="C463" s="151" t="s">
        <v>1255</v>
      </c>
      <c r="D463" s="170"/>
      <c r="E463" s="155"/>
      <c r="F463" s="155"/>
      <c r="G463" s="155"/>
      <c r="H463" s="155"/>
      <c r="I463" s="155"/>
      <c r="J463" s="155"/>
      <c r="K463" s="155"/>
      <c r="L463" s="155"/>
      <c r="M463" s="155"/>
      <c r="N463" s="155"/>
      <c r="O463" s="155"/>
      <c r="P463" s="155"/>
      <c r="Q463" s="157"/>
    </row>
    <row r="464" spans="1:17" ht="15" thickBot="1" x14ac:dyDescent="0.4">
      <c r="A464" s="168"/>
      <c r="B464" s="171"/>
      <c r="C464" s="148" t="s">
        <v>1079</v>
      </c>
      <c r="D464" s="171"/>
      <c r="E464" s="158"/>
      <c r="F464" s="158"/>
      <c r="G464" s="158"/>
      <c r="H464" s="158"/>
      <c r="I464" s="158"/>
      <c r="J464" s="158"/>
      <c r="K464" s="158"/>
      <c r="L464" s="158"/>
      <c r="M464" s="158"/>
      <c r="N464" s="158"/>
      <c r="O464" s="158"/>
      <c r="P464" s="158"/>
      <c r="Q464" s="159"/>
    </row>
    <row r="465" spans="1:17" x14ac:dyDescent="0.35">
      <c r="A465" s="166"/>
      <c r="B465" s="169">
        <v>155</v>
      </c>
      <c r="C465" s="147"/>
      <c r="D465" s="169"/>
      <c r="E465" s="154">
        <v>0</v>
      </c>
      <c r="F465" s="154">
        <v>0</v>
      </c>
      <c r="G465" s="154">
        <v>0</v>
      </c>
      <c r="H465" s="154">
        <v>0</v>
      </c>
      <c r="I465" s="154">
        <v>0</v>
      </c>
      <c r="J465" s="154">
        <v>31</v>
      </c>
      <c r="K465" s="154">
        <v>416</v>
      </c>
      <c r="L465" s="154">
        <v>3</v>
      </c>
      <c r="M465" s="154">
        <v>0</v>
      </c>
      <c r="N465" s="154">
        <v>0</v>
      </c>
      <c r="O465" s="154">
        <v>0</v>
      </c>
      <c r="P465" s="154">
        <v>0</v>
      </c>
      <c r="Q465" s="156">
        <v>72.400000000000006</v>
      </c>
    </row>
    <row r="466" spans="1:17" x14ac:dyDescent="0.35">
      <c r="A466" s="167"/>
      <c r="B466" s="170"/>
      <c r="C466" s="151" t="s">
        <v>1243</v>
      </c>
      <c r="D466" s="170"/>
      <c r="E466" s="155"/>
      <c r="F466" s="155"/>
      <c r="G466" s="155"/>
      <c r="H466" s="155"/>
      <c r="I466" s="155"/>
      <c r="J466" s="155"/>
      <c r="K466" s="155"/>
      <c r="L466" s="155"/>
      <c r="M466" s="155"/>
      <c r="N466" s="155"/>
      <c r="O466" s="155"/>
      <c r="P466" s="155"/>
      <c r="Q466" s="157"/>
    </row>
    <row r="467" spans="1:17" ht="15" thickBot="1" x14ac:dyDescent="0.4">
      <c r="A467" s="168"/>
      <c r="B467" s="171"/>
      <c r="C467" s="148" t="s">
        <v>1063</v>
      </c>
      <c r="D467" s="171"/>
      <c r="E467" s="158"/>
      <c r="F467" s="158"/>
      <c r="G467" s="158"/>
      <c r="H467" s="158"/>
      <c r="I467" s="158"/>
      <c r="J467" s="158"/>
      <c r="K467" s="158"/>
      <c r="L467" s="158"/>
      <c r="M467" s="158"/>
      <c r="N467" s="158"/>
      <c r="O467" s="158"/>
      <c r="P467" s="158"/>
      <c r="Q467" s="159"/>
    </row>
    <row r="468" spans="1:17" x14ac:dyDescent="0.35">
      <c r="A468" s="166"/>
      <c r="B468" s="169">
        <v>156</v>
      </c>
      <c r="C468" s="147"/>
      <c r="D468" s="169"/>
      <c r="E468" s="154">
        <v>0</v>
      </c>
      <c r="F468" s="154">
        <v>0</v>
      </c>
      <c r="G468" s="154">
        <v>0</v>
      </c>
      <c r="H468" s="154">
        <v>376</v>
      </c>
      <c r="I468" s="154">
        <v>2</v>
      </c>
      <c r="J468" s="154">
        <v>25</v>
      </c>
      <c r="K468" s="154">
        <v>196</v>
      </c>
      <c r="L468" s="154">
        <v>1</v>
      </c>
      <c r="M468" s="154">
        <v>0</v>
      </c>
      <c r="N468" s="154">
        <v>0</v>
      </c>
      <c r="O468" s="154">
        <v>0</v>
      </c>
      <c r="P468" s="154">
        <v>0</v>
      </c>
      <c r="Q468" s="156">
        <v>90.5</v>
      </c>
    </row>
    <row r="469" spans="1:17" x14ac:dyDescent="0.35">
      <c r="A469" s="167"/>
      <c r="B469" s="170"/>
      <c r="C469" s="151" t="s">
        <v>1261</v>
      </c>
      <c r="D469" s="170"/>
      <c r="E469" s="155"/>
      <c r="F469" s="155"/>
      <c r="G469" s="155"/>
      <c r="H469" s="155"/>
      <c r="I469" s="155"/>
      <c r="J469" s="155"/>
      <c r="K469" s="155"/>
      <c r="L469" s="155"/>
      <c r="M469" s="155"/>
      <c r="N469" s="155"/>
      <c r="O469" s="155"/>
      <c r="P469" s="155"/>
      <c r="Q469" s="157"/>
    </row>
    <row r="470" spans="1:17" ht="15" thickBot="1" x14ac:dyDescent="0.4">
      <c r="A470" s="168"/>
      <c r="B470" s="171"/>
      <c r="C470" s="148" t="s">
        <v>1048</v>
      </c>
      <c r="D470" s="171"/>
      <c r="E470" s="158"/>
      <c r="F470" s="158"/>
      <c r="G470" s="158"/>
      <c r="H470" s="158"/>
      <c r="I470" s="158"/>
      <c r="J470" s="158"/>
      <c r="K470" s="158"/>
      <c r="L470" s="158"/>
      <c r="M470" s="158"/>
      <c r="N470" s="158"/>
      <c r="O470" s="158"/>
      <c r="P470" s="158"/>
      <c r="Q470" s="159"/>
    </row>
    <row r="471" spans="1:17" x14ac:dyDescent="0.35">
      <c r="A471" s="166"/>
      <c r="B471" s="169">
        <v>157</v>
      </c>
      <c r="C471" s="147"/>
      <c r="D471" s="169"/>
      <c r="E471" s="154">
        <v>0</v>
      </c>
      <c r="F471" s="154">
        <v>0</v>
      </c>
      <c r="G471" s="154">
        <v>0</v>
      </c>
      <c r="H471" s="154">
        <v>373</v>
      </c>
      <c r="I471" s="154">
        <v>3</v>
      </c>
      <c r="J471" s="154">
        <v>18</v>
      </c>
      <c r="K471" s="154">
        <v>140</v>
      </c>
      <c r="L471" s="154">
        <v>1</v>
      </c>
      <c r="M471" s="154">
        <v>0</v>
      </c>
      <c r="N471" s="154">
        <v>0</v>
      </c>
      <c r="O471" s="154">
        <v>0</v>
      </c>
      <c r="P471" s="154">
        <v>0</v>
      </c>
      <c r="Q471" s="156">
        <v>79.099999999999994</v>
      </c>
    </row>
    <row r="472" spans="1:17" x14ac:dyDescent="0.35">
      <c r="A472" s="167"/>
      <c r="B472" s="170"/>
      <c r="C472" s="151" t="s">
        <v>644</v>
      </c>
      <c r="D472" s="170"/>
      <c r="E472" s="155"/>
      <c r="F472" s="155"/>
      <c r="G472" s="155"/>
      <c r="H472" s="155"/>
      <c r="I472" s="155"/>
      <c r="J472" s="155"/>
      <c r="K472" s="155"/>
      <c r="L472" s="155"/>
      <c r="M472" s="155"/>
      <c r="N472" s="155"/>
      <c r="O472" s="155"/>
      <c r="P472" s="155"/>
      <c r="Q472" s="157"/>
    </row>
    <row r="473" spans="1:17" ht="15" thickBot="1" x14ac:dyDescent="0.4">
      <c r="A473" s="168"/>
      <c r="B473" s="171"/>
      <c r="C473" s="148" t="s">
        <v>1035</v>
      </c>
      <c r="D473" s="171"/>
      <c r="E473" s="158"/>
      <c r="F473" s="158"/>
      <c r="G473" s="158"/>
      <c r="H473" s="158"/>
      <c r="I473" s="158"/>
      <c r="J473" s="158"/>
      <c r="K473" s="158"/>
      <c r="L473" s="158"/>
      <c r="M473" s="158"/>
      <c r="N473" s="158"/>
      <c r="O473" s="158"/>
      <c r="P473" s="158"/>
      <c r="Q473" s="159"/>
    </row>
    <row r="474" spans="1:17" x14ac:dyDescent="0.35">
      <c r="A474" s="166"/>
      <c r="B474" s="169">
        <v>158</v>
      </c>
      <c r="C474" s="147"/>
      <c r="D474" s="169"/>
      <c r="E474" s="154">
        <v>0</v>
      </c>
      <c r="F474" s="154">
        <v>0</v>
      </c>
      <c r="G474" s="154">
        <v>0</v>
      </c>
      <c r="H474" s="154">
        <v>413</v>
      </c>
      <c r="I474" s="154">
        <v>2</v>
      </c>
      <c r="J474" s="154">
        <v>12</v>
      </c>
      <c r="K474" s="154">
        <v>101</v>
      </c>
      <c r="L474" s="154">
        <v>0</v>
      </c>
      <c r="M474" s="154">
        <v>0</v>
      </c>
      <c r="N474" s="154">
        <v>0</v>
      </c>
      <c r="O474" s="154">
        <v>0</v>
      </c>
      <c r="P474" s="154">
        <v>0</v>
      </c>
      <c r="Q474" s="156">
        <v>72.3</v>
      </c>
    </row>
    <row r="475" spans="1:17" x14ac:dyDescent="0.35">
      <c r="A475" s="167"/>
      <c r="B475" s="170"/>
      <c r="C475" s="151" t="s">
        <v>585</v>
      </c>
      <c r="D475" s="170"/>
      <c r="E475" s="155"/>
      <c r="F475" s="155"/>
      <c r="G475" s="155"/>
      <c r="H475" s="155"/>
      <c r="I475" s="155"/>
      <c r="J475" s="155"/>
      <c r="K475" s="155"/>
      <c r="L475" s="155"/>
      <c r="M475" s="155"/>
      <c r="N475" s="155"/>
      <c r="O475" s="155"/>
      <c r="P475" s="155"/>
      <c r="Q475" s="157"/>
    </row>
    <row r="476" spans="1:17" ht="15" thickBot="1" x14ac:dyDescent="0.4">
      <c r="A476" s="168"/>
      <c r="B476" s="171"/>
      <c r="C476" s="148" t="s">
        <v>1041</v>
      </c>
      <c r="D476" s="171"/>
      <c r="E476" s="158"/>
      <c r="F476" s="158"/>
      <c r="G476" s="158"/>
      <c r="H476" s="158"/>
      <c r="I476" s="158"/>
      <c r="J476" s="158"/>
      <c r="K476" s="158"/>
      <c r="L476" s="158"/>
      <c r="M476" s="158"/>
      <c r="N476" s="158"/>
      <c r="O476" s="158"/>
      <c r="P476" s="158"/>
      <c r="Q476" s="159"/>
    </row>
    <row r="477" spans="1:17" x14ac:dyDescent="0.35">
      <c r="A477" s="166"/>
      <c r="B477" s="169">
        <v>159</v>
      </c>
      <c r="C477" s="147"/>
      <c r="D477" s="169"/>
      <c r="E477" s="154">
        <v>0</v>
      </c>
      <c r="F477" s="154">
        <v>0</v>
      </c>
      <c r="G477" s="154">
        <v>0</v>
      </c>
      <c r="H477" s="154">
        <v>380</v>
      </c>
      <c r="I477" s="154">
        <v>3</v>
      </c>
      <c r="J477" s="154">
        <v>15</v>
      </c>
      <c r="K477" s="154">
        <v>115</v>
      </c>
      <c r="L477" s="154">
        <v>1</v>
      </c>
      <c r="M477" s="154">
        <v>0</v>
      </c>
      <c r="N477" s="154">
        <v>0</v>
      </c>
      <c r="O477" s="154">
        <v>0</v>
      </c>
      <c r="P477" s="154">
        <v>0</v>
      </c>
      <c r="Q477" s="156">
        <v>74.900000000000006</v>
      </c>
    </row>
    <row r="478" spans="1:17" x14ac:dyDescent="0.35">
      <c r="A478" s="167"/>
      <c r="B478" s="170"/>
      <c r="C478" s="151" t="s">
        <v>1270</v>
      </c>
      <c r="D478" s="170"/>
      <c r="E478" s="155"/>
      <c r="F478" s="155"/>
      <c r="G478" s="155"/>
      <c r="H478" s="155"/>
      <c r="I478" s="155"/>
      <c r="J478" s="155"/>
      <c r="K478" s="155"/>
      <c r="L478" s="155"/>
      <c r="M478" s="155"/>
      <c r="N478" s="155"/>
      <c r="O478" s="155"/>
      <c r="P478" s="155"/>
      <c r="Q478" s="157"/>
    </row>
    <row r="479" spans="1:17" ht="15" thickBot="1" x14ac:dyDescent="0.4">
      <c r="A479" s="168"/>
      <c r="B479" s="171"/>
      <c r="C479" s="148" t="s">
        <v>1043</v>
      </c>
      <c r="D479" s="171"/>
      <c r="E479" s="158"/>
      <c r="F479" s="158"/>
      <c r="G479" s="158"/>
      <c r="H479" s="158"/>
      <c r="I479" s="158"/>
      <c r="J479" s="158"/>
      <c r="K479" s="158"/>
      <c r="L479" s="158"/>
      <c r="M479" s="158"/>
      <c r="N479" s="158"/>
      <c r="O479" s="158"/>
      <c r="P479" s="158"/>
      <c r="Q479" s="159"/>
    </row>
    <row r="480" spans="1:17" x14ac:dyDescent="0.35">
      <c r="A480" s="166"/>
      <c r="B480" s="169">
        <v>160</v>
      </c>
      <c r="C480" s="147"/>
      <c r="D480" s="169"/>
      <c r="E480" s="154">
        <v>0</v>
      </c>
      <c r="F480" s="154">
        <v>0</v>
      </c>
      <c r="G480" s="154">
        <v>0</v>
      </c>
      <c r="H480" s="154">
        <v>318</v>
      </c>
      <c r="I480" s="154">
        <v>2</v>
      </c>
      <c r="J480" s="154">
        <v>22</v>
      </c>
      <c r="K480" s="154">
        <v>174</v>
      </c>
      <c r="L480" s="154">
        <v>1</v>
      </c>
      <c r="M480" s="154">
        <v>0</v>
      </c>
      <c r="N480" s="154">
        <v>0</v>
      </c>
      <c r="O480" s="154">
        <v>0</v>
      </c>
      <c r="P480" s="154">
        <v>0</v>
      </c>
      <c r="Q480" s="156">
        <v>77.900000000000006</v>
      </c>
    </row>
    <row r="481" spans="1:17" x14ac:dyDescent="0.35">
      <c r="A481" s="167"/>
      <c r="B481" s="170"/>
      <c r="C481" s="151" t="s">
        <v>245</v>
      </c>
      <c r="D481" s="170"/>
      <c r="E481" s="155"/>
      <c r="F481" s="155"/>
      <c r="G481" s="155"/>
      <c r="H481" s="155"/>
      <c r="I481" s="155"/>
      <c r="J481" s="155"/>
      <c r="K481" s="155"/>
      <c r="L481" s="155"/>
      <c r="M481" s="155"/>
      <c r="N481" s="155"/>
      <c r="O481" s="155"/>
      <c r="P481" s="155"/>
      <c r="Q481" s="157"/>
    </row>
    <row r="482" spans="1:17" ht="15" thickBot="1" x14ac:dyDescent="0.4">
      <c r="A482" s="168"/>
      <c r="B482" s="171"/>
      <c r="C482" s="148" t="s">
        <v>1084</v>
      </c>
      <c r="D482" s="171"/>
      <c r="E482" s="158"/>
      <c r="F482" s="158"/>
      <c r="G482" s="158"/>
      <c r="H482" s="158"/>
      <c r="I482" s="158"/>
      <c r="J482" s="158"/>
      <c r="K482" s="158"/>
      <c r="L482" s="158"/>
      <c r="M482" s="158"/>
      <c r="N482" s="158"/>
      <c r="O482" s="158"/>
      <c r="P482" s="158"/>
      <c r="Q482" s="159"/>
    </row>
    <row r="483" spans="1:17" x14ac:dyDescent="0.35">
      <c r="A483" s="166"/>
      <c r="B483" s="169">
        <v>161</v>
      </c>
      <c r="C483" s="147"/>
      <c r="D483" s="169"/>
      <c r="E483" s="154">
        <v>0</v>
      </c>
      <c r="F483" s="154">
        <v>0</v>
      </c>
      <c r="G483" s="154">
        <v>0</v>
      </c>
      <c r="H483" s="154">
        <v>298</v>
      </c>
      <c r="I483" s="154">
        <v>3</v>
      </c>
      <c r="J483" s="154">
        <v>8</v>
      </c>
      <c r="K483" s="154">
        <v>63</v>
      </c>
      <c r="L483" s="154">
        <v>0</v>
      </c>
      <c r="M483" s="154">
        <v>0</v>
      </c>
      <c r="N483" s="154">
        <v>0</v>
      </c>
      <c r="O483" s="154">
        <v>0</v>
      </c>
      <c r="P483" s="154">
        <v>0</v>
      </c>
      <c r="Q483" s="156">
        <v>59.6</v>
      </c>
    </row>
    <row r="484" spans="1:17" x14ac:dyDescent="0.35">
      <c r="A484" s="167"/>
      <c r="B484" s="170"/>
      <c r="C484" s="151" t="s">
        <v>1400</v>
      </c>
      <c r="D484" s="170"/>
      <c r="E484" s="155"/>
      <c r="F484" s="155"/>
      <c r="G484" s="155"/>
      <c r="H484" s="155"/>
      <c r="I484" s="155"/>
      <c r="J484" s="155"/>
      <c r="K484" s="155"/>
      <c r="L484" s="155"/>
      <c r="M484" s="155"/>
      <c r="N484" s="155"/>
      <c r="O484" s="155"/>
      <c r="P484" s="155"/>
      <c r="Q484" s="157"/>
    </row>
    <row r="485" spans="1:17" ht="15" thickBot="1" x14ac:dyDescent="0.4">
      <c r="A485" s="168"/>
      <c r="B485" s="171"/>
      <c r="C485" s="148" t="s">
        <v>1051</v>
      </c>
      <c r="D485" s="171"/>
      <c r="E485" s="158"/>
      <c r="F485" s="158"/>
      <c r="G485" s="158"/>
      <c r="H485" s="158"/>
      <c r="I485" s="158"/>
      <c r="J485" s="158"/>
      <c r="K485" s="158"/>
      <c r="L485" s="158"/>
      <c r="M485" s="158"/>
      <c r="N485" s="158"/>
      <c r="O485" s="158"/>
      <c r="P485" s="158"/>
      <c r="Q485" s="159"/>
    </row>
    <row r="486" spans="1:17" x14ac:dyDescent="0.35">
      <c r="A486" s="166"/>
      <c r="B486" s="169">
        <v>162</v>
      </c>
      <c r="C486" s="147"/>
      <c r="D486" s="169"/>
      <c r="E486" s="154">
        <v>0</v>
      </c>
      <c r="F486" s="154">
        <v>0</v>
      </c>
      <c r="G486" s="154">
        <v>0</v>
      </c>
      <c r="H486" s="154">
        <v>0</v>
      </c>
      <c r="I486" s="154">
        <v>0</v>
      </c>
      <c r="J486" s="154">
        <v>50</v>
      </c>
      <c r="K486" s="154">
        <v>522</v>
      </c>
      <c r="L486" s="154">
        <v>5</v>
      </c>
      <c r="M486" s="154">
        <v>0</v>
      </c>
      <c r="N486" s="154">
        <v>0</v>
      </c>
      <c r="O486" s="154">
        <v>0</v>
      </c>
      <c r="P486" s="154">
        <v>0</v>
      </c>
      <c r="Q486" s="156">
        <v>105.4</v>
      </c>
    </row>
    <row r="487" spans="1:17" x14ac:dyDescent="0.35">
      <c r="A487" s="167"/>
      <c r="B487" s="170"/>
      <c r="C487" s="151" t="s">
        <v>333</v>
      </c>
      <c r="D487" s="170"/>
      <c r="E487" s="155"/>
      <c r="F487" s="155"/>
      <c r="G487" s="155"/>
      <c r="H487" s="155"/>
      <c r="I487" s="155"/>
      <c r="J487" s="155"/>
      <c r="K487" s="155"/>
      <c r="L487" s="155"/>
      <c r="M487" s="155"/>
      <c r="N487" s="155"/>
      <c r="O487" s="155"/>
      <c r="P487" s="155"/>
      <c r="Q487" s="157"/>
    </row>
    <row r="488" spans="1:17" ht="15" thickBot="1" x14ac:dyDescent="0.4">
      <c r="A488" s="168"/>
      <c r="B488" s="171"/>
      <c r="C488" s="148" t="s">
        <v>1097</v>
      </c>
      <c r="D488" s="171"/>
      <c r="E488" s="158"/>
      <c r="F488" s="158"/>
      <c r="G488" s="158"/>
      <c r="H488" s="158"/>
      <c r="I488" s="158"/>
      <c r="J488" s="158"/>
      <c r="K488" s="158"/>
      <c r="L488" s="158"/>
      <c r="M488" s="158"/>
      <c r="N488" s="158"/>
      <c r="O488" s="158"/>
      <c r="P488" s="158"/>
      <c r="Q488" s="159"/>
    </row>
    <row r="489" spans="1:17" x14ac:dyDescent="0.35">
      <c r="A489" s="166"/>
      <c r="B489" s="169">
        <v>163</v>
      </c>
      <c r="C489" s="147"/>
      <c r="D489" s="169"/>
      <c r="E489" s="154">
        <v>0</v>
      </c>
      <c r="F489" s="154">
        <v>0</v>
      </c>
      <c r="G489" s="154">
        <v>0</v>
      </c>
      <c r="H489" s="154">
        <v>0</v>
      </c>
      <c r="I489" s="154">
        <v>0</v>
      </c>
      <c r="J489" s="154">
        <v>43</v>
      </c>
      <c r="K489" s="154">
        <v>505</v>
      </c>
      <c r="L489" s="154">
        <v>4</v>
      </c>
      <c r="M489" s="154">
        <v>0</v>
      </c>
      <c r="N489" s="154">
        <v>0</v>
      </c>
      <c r="O489" s="154">
        <v>0</v>
      </c>
      <c r="P489" s="154">
        <v>0</v>
      </c>
      <c r="Q489" s="156">
        <v>95.7</v>
      </c>
    </row>
    <row r="490" spans="1:17" x14ac:dyDescent="0.35">
      <c r="A490" s="167"/>
      <c r="B490" s="170"/>
      <c r="C490" s="151" t="s">
        <v>228</v>
      </c>
      <c r="D490" s="170"/>
      <c r="E490" s="155"/>
      <c r="F490" s="155"/>
      <c r="G490" s="155"/>
      <c r="H490" s="155"/>
      <c r="I490" s="155"/>
      <c r="J490" s="155"/>
      <c r="K490" s="155"/>
      <c r="L490" s="155"/>
      <c r="M490" s="155"/>
      <c r="N490" s="155"/>
      <c r="O490" s="155"/>
      <c r="P490" s="155"/>
      <c r="Q490" s="157"/>
    </row>
    <row r="491" spans="1:17" ht="15" thickBot="1" x14ac:dyDescent="0.4">
      <c r="A491" s="168"/>
      <c r="B491" s="171"/>
      <c r="C491" s="148" t="s">
        <v>1094</v>
      </c>
      <c r="D491" s="171"/>
      <c r="E491" s="158"/>
      <c r="F491" s="158"/>
      <c r="G491" s="158"/>
      <c r="H491" s="158"/>
      <c r="I491" s="158"/>
      <c r="J491" s="158"/>
      <c r="K491" s="158"/>
      <c r="L491" s="158"/>
      <c r="M491" s="158"/>
      <c r="N491" s="158"/>
      <c r="O491" s="158"/>
      <c r="P491" s="158"/>
      <c r="Q491" s="159"/>
    </row>
    <row r="492" spans="1:17" x14ac:dyDescent="0.35">
      <c r="A492" s="166"/>
      <c r="B492" s="169">
        <v>164</v>
      </c>
      <c r="C492" s="147"/>
      <c r="D492" s="169"/>
      <c r="E492" s="154">
        <v>0</v>
      </c>
      <c r="F492" s="154">
        <v>0</v>
      </c>
      <c r="G492" s="154">
        <v>0</v>
      </c>
      <c r="H492" s="154">
        <v>16</v>
      </c>
      <c r="I492" s="154">
        <v>0</v>
      </c>
      <c r="J492" s="154">
        <v>42</v>
      </c>
      <c r="K492" s="154">
        <v>442</v>
      </c>
      <c r="L492" s="154">
        <v>4</v>
      </c>
      <c r="M492" s="154">
        <v>0</v>
      </c>
      <c r="N492" s="154">
        <v>0</v>
      </c>
      <c r="O492" s="154">
        <v>0</v>
      </c>
      <c r="P492" s="154">
        <v>0</v>
      </c>
      <c r="Q492" s="156">
        <v>92.8</v>
      </c>
    </row>
    <row r="493" spans="1:17" x14ac:dyDescent="0.35">
      <c r="A493" s="167"/>
      <c r="B493" s="170"/>
      <c r="C493" s="151" t="s">
        <v>614</v>
      </c>
      <c r="D493" s="170"/>
      <c r="E493" s="155"/>
      <c r="F493" s="155"/>
      <c r="G493" s="155"/>
      <c r="H493" s="155"/>
      <c r="I493" s="155"/>
      <c r="J493" s="155"/>
      <c r="K493" s="155"/>
      <c r="L493" s="155"/>
      <c r="M493" s="155"/>
      <c r="N493" s="155"/>
      <c r="O493" s="155"/>
      <c r="P493" s="155"/>
      <c r="Q493" s="157"/>
    </row>
    <row r="494" spans="1:17" ht="15" thickBot="1" x14ac:dyDescent="0.4">
      <c r="A494" s="168"/>
      <c r="B494" s="171"/>
      <c r="C494" s="148" t="s">
        <v>1096</v>
      </c>
      <c r="D494" s="171"/>
      <c r="E494" s="158"/>
      <c r="F494" s="158"/>
      <c r="G494" s="158"/>
      <c r="H494" s="158"/>
      <c r="I494" s="158"/>
      <c r="J494" s="158"/>
      <c r="K494" s="158"/>
      <c r="L494" s="158"/>
      <c r="M494" s="158"/>
      <c r="N494" s="158"/>
      <c r="O494" s="158"/>
      <c r="P494" s="158"/>
      <c r="Q494" s="159"/>
    </row>
    <row r="495" spans="1:17" x14ac:dyDescent="0.35">
      <c r="A495" s="166"/>
      <c r="B495" s="169">
        <v>165</v>
      </c>
      <c r="C495" s="147"/>
      <c r="D495" s="169"/>
      <c r="E495" s="154">
        <v>3881</v>
      </c>
      <c r="F495" s="154">
        <v>25</v>
      </c>
      <c r="G495" s="154">
        <v>12</v>
      </c>
      <c r="H495" s="154">
        <v>73</v>
      </c>
      <c r="I495" s="154">
        <v>1</v>
      </c>
      <c r="J495" s="154">
        <v>0</v>
      </c>
      <c r="K495" s="154">
        <v>0</v>
      </c>
      <c r="L495" s="154">
        <v>0</v>
      </c>
      <c r="M495" s="154">
        <v>0</v>
      </c>
      <c r="N495" s="154">
        <v>0</v>
      </c>
      <c r="O495" s="154">
        <v>0</v>
      </c>
      <c r="P495" s="154">
        <v>0</v>
      </c>
      <c r="Q495" s="156">
        <v>240.8</v>
      </c>
    </row>
    <row r="496" spans="1:17" x14ac:dyDescent="0.35">
      <c r="A496" s="167"/>
      <c r="B496" s="170"/>
      <c r="C496" s="151" t="s">
        <v>263</v>
      </c>
      <c r="D496" s="170"/>
      <c r="E496" s="155"/>
      <c r="F496" s="155"/>
      <c r="G496" s="155"/>
      <c r="H496" s="155"/>
      <c r="I496" s="155"/>
      <c r="J496" s="155"/>
      <c r="K496" s="155"/>
      <c r="L496" s="155"/>
      <c r="M496" s="155"/>
      <c r="N496" s="155"/>
      <c r="O496" s="155"/>
      <c r="P496" s="155"/>
      <c r="Q496" s="157"/>
    </row>
    <row r="497" spans="1:17" ht="15" thickBot="1" x14ac:dyDescent="0.4">
      <c r="A497" s="168"/>
      <c r="B497" s="171"/>
      <c r="C497" s="148" t="s">
        <v>1100</v>
      </c>
      <c r="D497" s="171"/>
      <c r="E497" s="158"/>
      <c r="F497" s="158"/>
      <c r="G497" s="158"/>
      <c r="H497" s="158"/>
      <c r="I497" s="158"/>
      <c r="J497" s="158"/>
      <c r="K497" s="158"/>
      <c r="L497" s="158"/>
      <c r="M497" s="158"/>
      <c r="N497" s="158"/>
      <c r="O497" s="158"/>
      <c r="P497" s="158"/>
      <c r="Q497" s="159"/>
    </row>
    <row r="498" spans="1:17" x14ac:dyDescent="0.35">
      <c r="A498" s="166"/>
      <c r="B498" s="169">
        <v>166</v>
      </c>
      <c r="C498" s="147"/>
      <c r="D498" s="169"/>
      <c r="E498" s="154">
        <v>3426</v>
      </c>
      <c r="F498" s="154">
        <v>24</v>
      </c>
      <c r="G498" s="154">
        <v>11</v>
      </c>
      <c r="H498" s="154">
        <v>207</v>
      </c>
      <c r="I498" s="154">
        <v>2</v>
      </c>
      <c r="J498" s="154">
        <v>0</v>
      </c>
      <c r="K498" s="154">
        <v>0</v>
      </c>
      <c r="L498" s="154">
        <v>0</v>
      </c>
      <c r="M498" s="154">
        <v>0</v>
      </c>
      <c r="N498" s="154">
        <v>0</v>
      </c>
      <c r="O498" s="154">
        <v>0</v>
      </c>
      <c r="P498" s="154">
        <v>0</v>
      </c>
      <c r="Q498" s="156">
        <v>239</v>
      </c>
    </row>
    <row r="499" spans="1:17" x14ac:dyDescent="0.35">
      <c r="A499" s="167"/>
      <c r="B499" s="170"/>
      <c r="C499" s="151" t="s">
        <v>594</v>
      </c>
      <c r="D499" s="170"/>
      <c r="E499" s="155"/>
      <c r="F499" s="155"/>
      <c r="G499" s="155"/>
      <c r="H499" s="155"/>
      <c r="I499" s="155"/>
      <c r="J499" s="155"/>
      <c r="K499" s="155"/>
      <c r="L499" s="155"/>
      <c r="M499" s="155"/>
      <c r="N499" s="155"/>
      <c r="O499" s="155"/>
      <c r="P499" s="155"/>
      <c r="Q499" s="157"/>
    </row>
    <row r="500" spans="1:17" ht="15" thickBot="1" x14ac:dyDescent="0.4">
      <c r="A500" s="168"/>
      <c r="B500" s="171"/>
      <c r="C500" s="148" t="s">
        <v>1179</v>
      </c>
      <c r="D500" s="171"/>
      <c r="E500" s="158"/>
      <c r="F500" s="158"/>
      <c r="G500" s="158"/>
      <c r="H500" s="158"/>
      <c r="I500" s="158"/>
      <c r="J500" s="158"/>
      <c r="K500" s="158"/>
      <c r="L500" s="158"/>
      <c r="M500" s="158"/>
      <c r="N500" s="158"/>
      <c r="O500" s="158"/>
      <c r="P500" s="158"/>
      <c r="Q500" s="159"/>
    </row>
    <row r="501" spans="1:17" x14ac:dyDescent="0.35">
      <c r="A501" s="166"/>
      <c r="B501" s="169">
        <v>167</v>
      </c>
      <c r="C501" s="147"/>
      <c r="D501" s="169"/>
      <c r="E501" s="154">
        <v>4312</v>
      </c>
      <c r="F501" s="154">
        <v>22</v>
      </c>
      <c r="G501" s="154">
        <v>13</v>
      </c>
      <c r="H501" s="154">
        <v>64</v>
      </c>
      <c r="I501" s="154">
        <v>2</v>
      </c>
      <c r="J501" s="154">
        <v>0</v>
      </c>
      <c r="K501" s="154">
        <v>0</v>
      </c>
      <c r="L501" s="154">
        <v>0</v>
      </c>
      <c r="M501" s="154">
        <v>0</v>
      </c>
      <c r="N501" s="154">
        <v>0</v>
      </c>
      <c r="O501" s="154">
        <v>0</v>
      </c>
      <c r="P501" s="154">
        <v>0</v>
      </c>
      <c r="Q501" s="156">
        <v>244.2</v>
      </c>
    </row>
    <row r="502" spans="1:17" x14ac:dyDescent="0.35">
      <c r="A502" s="167"/>
      <c r="B502" s="170"/>
      <c r="C502" s="151" t="s">
        <v>257</v>
      </c>
      <c r="D502" s="170"/>
      <c r="E502" s="155"/>
      <c r="F502" s="155"/>
      <c r="G502" s="155"/>
      <c r="H502" s="155"/>
      <c r="I502" s="155"/>
      <c r="J502" s="155"/>
      <c r="K502" s="155"/>
      <c r="L502" s="155"/>
      <c r="M502" s="155"/>
      <c r="N502" s="155"/>
      <c r="O502" s="155"/>
      <c r="P502" s="155"/>
      <c r="Q502" s="157"/>
    </row>
    <row r="503" spans="1:17" ht="15" thickBot="1" x14ac:dyDescent="0.4">
      <c r="A503" s="168"/>
      <c r="B503" s="171"/>
      <c r="C503" s="148" t="s">
        <v>1103</v>
      </c>
      <c r="D503" s="171"/>
      <c r="E503" s="158"/>
      <c r="F503" s="158"/>
      <c r="G503" s="158"/>
      <c r="H503" s="158"/>
      <c r="I503" s="158"/>
      <c r="J503" s="158"/>
      <c r="K503" s="158"/>
      <c r="L503" s="158"/>
      <c r="M503" s="158"/>
      <c r="N503" s="158"/>
      <c r="O503" s="158"/>
      <c r="P503" s="158"/>
      <c r="Q503" s="159"/>
    </row>
    <row r="504" spans="1:17" x14ac:dyDescent="0.35">
      <c r="A504" s="166"/>
      <c r="B504" s="169">
        <v>168</v>
      </c>
      <c r="C504" s="147"/>
      <c r="D504" s="169"/>
      <c r="E504" s="154">
        <v>3444</v>
      </c>
      <c r="F504" s="154">
        <v>24</v>
      </c>
      <c r="G504" s="154">
        <v>14</v>
      </c>
      <c r="H504" s="154">
        <v>122</v>
      </c>
      <c r="I504" s="154">
        <v>2</v>
      </c>
      <c r="J504" s="154">
        <v>0</v>
      </c>
      <c r="K504" s="154">
        <v>0</v>
      </c>
      <c r="L504" s="154">
        <v>0</v>
      </c>
      <c r="M504" s="154">
        <v>0</v>
      </c>
      <c r="N504" s="154">
        <v>0</v>
      </c>
      <c r="O504" s="154">
        <v>0</v>
      </c>
      <c r="P504" s="154">
        <v>0</v>
      </c>
      <c r="Q504" s="156">
        <v>224.3</v>
      </c>
    </row>
    <row r="505" spans="1:17" x14ac:dyDescent="0.35">
      <c r="A505" s="167"/>
      <c r="B505" s="170"/>
      <c r="C505" s="151" t="s">
        <v>202</v>
      </c>
      <c r="D505" s="170"/>
      <c r="E505" s="155"/>
      <c r="F505" s="155"/>
      <c r="G505" s="155"/>
      <c r="H505" s="155"/>
      <c r="I505" s="155"/>
      <c r="J505" s="155"/>
      <c r="K505" s="155"/>
      <c r="L505" s="155"/>
      <c r="M505" s="155"/>
      <c r="N505" s="155"/>
      <c r="O505" s="155"/>
      <c r="P505" s="155"/>
      <c r="Q505" s="157"/>
    </row>
    <row r="506" spans="1:17" ht="15" thickBot="1" x14ac:dyDescent="0.4">
      <c r="A506" s="168"/>
      <c r="B506" s="171"/>
      <c r="C506" s="148" t="s">
        <v>1087</v>
      </c>
      <c r="D506" s="171"/>
      <c r="E506" s="158"/>
      <c r="F506" s="158"/>
      <c r="G506" s="158"/>
      <c r="H506" s="158"/>
      <c r="I506" s="158"/>
      <c r="J506" s="158"/>
      <c r="K506" s="158"/>
      <c r="L506" s="158"/>
      <c r="M506" s="158"/>
      <c r="N506" s="158"/>
      <c r="O506" s="158"/>
      <c r="P506" s="158"/>
      <c r="Q506" s="159"/>
    </row>
    <row r="507" spans="1:17" x14ac:dyDescent="0.35">
      <c r="A507" s="166"/>
      <c r="B507" s="169">
        <v>169</v>
      </c>
      <c r="C507" s="147"/>
      <c r="D507" s="169"/>
      <c r="E507" s="154">
        <v>3698</v>
      </c>
      <c r="F507" s="154">
        <v>25</v>
      </c>
      <c r="G507" s="154">
        <v>13</v>
      </c>
      <c r="H507" s="154">
        <v>74</v>
      </c>
      <c r="I507" s="154">
        <v>2</v>
      </c>
      <c r="J507" s="154">
        <v>0</v>
      </c>
      <c r="K507" s="154">
        <v>0</v>
      </c>
      <c r="L507" s="154">
        <v>0</v>
      </c>
      <c r="M507" s="154">
        <v>0</v>
      </c>
      <c r="N507" s="154">
        <v>0</v>
      </c>
      <c r="O507" s="154">
        <v>0</v>
      </c>
      <c r="P507" s="154">
        <v>0</v>
      </c>
      <c r="Q507" s="156">
        <v>234.1</v>
      </c>
    </row>
    <row r="508" spans="1:17" x14ac:dyDescent="0.35">
      <c r="A508" s="167"/>
      <c r="B508" s="170"/>
      <c r="C508" s="151" t="s">
        <v>308</v>
      </c>
      <c r="D508" s="170"/>
      <c r="E508" s="155"/>
      <c r="F508" s="155"/>
      <c r="G508" s="155"/>
      <c r="H508" s="155"/>
      <c r="I508" s="155"/>
      <c r="J508" s="155"/>
      <c r="K508" s="155"/>
      <c r="L508" s="155"/>
      <c r="M508" s="155"/>
      <c r="N508" s="155"/>
      <c r="O508" s="155"/>
      <c r="P508" s="155"/>
      <c r="Q508" s="157"/>
    </row>
    <row r="509" spans="1:17" ht="15" thickBot="1" x14ac:dyDescent="0.4">
      <c r="A509" s="168"/>
      <c r="B509" s="171"/>
      <c r="C509" s="148" t="s">
        <v>1169</v>
      </c>
      <c r="D509" s="171"/>
      <c r="E509" s="158"/>
      <c r="F509" s="158"/>
      <c r="G509" s="158"/>
      <c r="H509" s="158"/>
      <c r="I509" s="158"/>
      <c r="J509" s="158"/>
      <c r="K509" s="158"/>
      <c r="L509" s="158"/>
      <c r="M509" s="158"/>
      <c r="N509" s="158"/>
      <c r="O509" s="158"/>
      <c r="P509" s="158"/>
      <c r="Q509" s="159"/>
    </row>
    <row r="510" spans="1:17" x14ac:dyDescent="0.35">
      <c r="A510" s="166"/>
      <c r="B510" s="169">
        <v>170</v>
      </c>
      <c r="C510" s="146"/>
      <c r="D510" s="169"/>
      <c r="E510" s="154">
        <v>0</v>
      </c>
      <c r="F510" s="154">
        <v>0</v>
      </c>
      <c r="G510" s="154">
        <v>0</v>
      </c>
      <c r="H510" s="154">
        <v>0</v>
      </c>
      <c r="I510" s="154">
        <v>0</v>
      </c>
      <c r="J510" s="154">
        <v>0</v>
      </c>
      <c r="K510" s="154">
        <v>0</v>
      </c>
      <c r="L510" s="154">
        <v>0</v>
      </c>
      <c r="M510" s="154">
        <v>13</v>
      </c>
      <c r="N510" s="154">
        <v>12</v>
      </c>
      <c r="O510" s="154">
        <v>302</v>
      </c>
      <c r="P510" s="154">
        <v>5535</v>
      </c>
      <c r="Q510" s="156">
        <v>131.6</v>
      </c>
    </row>
    <row r="511" spans="1:17" x14ac:dyDescent="0.35">
      <c r="A511" s="167"/>
      <c r="B511" s="170"/>
      <c r="C511" s="151" t="s">
        <v>1187</v>
      </c>
      <c r="D511" s="170"/>
      <c r="E511" s="155"/>
      <c r="F511" s="155"/>
      <c r="G511" s="155"/>
      <c r="H511" s="155"/>
      <c r="I511" s="155"/>
      <c r="J511" s="155"/>
      <c r="K511" s="155"/>
      <c r="L511" s="155"/>
      <c r="M511" s="155"/>
      <c r="N511" s="155"/>
      <c r="O511" s="155"/>
      <c r="P511" s="155"/>
      <c r="Q511" s="157"/>
    </row>
    <row r="512" spans="1:17" ht="15" thickBot="1" x14ac:dyDescent="0.4">
      <c r="A512" s="168"/>
      <c r="B512" s="171"/>
      <c r="C512" s="148" t="s">
        <v>1390</v>
      </c>
      <c r="D512" s="171"/>
      <c r="E512" s="158"/>
      <c r="F512" s="158"/>
      <c r="G512" s="158"/>
      <c r="H512" s="158"/>
      <c r="I512" s="158"/>
      <c r="J512" s="158"/>
      <c r="K512" s="158"/>
      <c r="L512" s="158"/>
      <c r="M512" s="158"/>
      <c r="N512" s="158"/>
      <c r="O512" s="158"/>
      <c r="P512" s="158"/>
      <c r="Q512" s="159"/>
    </row>
    <row r="513" spans="1:17" x14ac:dyDescent="0.35">
      <c r="A513" s="166"/>
      <c r="B513" s="169">
        <v>171</v>
      </c>
      <c r="C513" s="146"/>
      <c r="D513" s="169"/>
      <c r="E513" s="154">
        <v>0</v>
      </c>
      <c r="F513" s="154">
        <v>0</v>
      </c>
      <c r="G513" s="154">
        <v>0</v>
      </c>
      <c r="H513" s="154">
        <v>0</v>
      </c>
      <c r="I513" s="154">
        <v>0</v>
      </c>
      <c r="J513" s="154">
        <v>0</v>
      </c>
      <c r="K513" s="154">
        <v>0</v>
      </c>
      <c r="L513" s="154">
        <v>0</v>
      </c>
      <c r="M513" s="154">
        <v>13</v>
      </c>
      <c r="N513" s="154">
        <v>12</v>
      </c>
      <c r="O513" s="154">
        <v>305</v>
      </c>
      <c r="P513" s="154">
        <v>5379</v>
      </c>
      <c r="Q513" s="156">
        <v>135.4</v>
      </c>
    </row>
    <row r="514" spans="1:17" x14ac:dyDescent="0.35">
      <c r="A514" s="167"/>
      <c r="B514" s="170"/>
      <c r="C514" s="151" t="s">
        <v>1116</v>
      </c>
      <c r="D514" s="170"/>
      <c r="E514" s="155"/>
      <c r="F514" s="155"/>
      <c r="G514" s="155"/>
      <c r="H514" s="155"/>
      <c r="I514" s="155"/>
      <c r="J514" s="155"/>
      <c r="K514" s="155"/>
      <c r="L514" s="155"/>
      <c r="M514" s="155"/>
      <c r="N514" s="155"/>
      <c r="O514" s="155"/>
      <c r="P514" s="155"/>
      <c r="Q514" s="157"/>
    </row>
    <row r="515" spans="1:17" ht="15" thickBot="1" x14ac:dyDescent="0.4">
      <c r="A515" s="168"/>
      <c r="B515" s="171"/>
      <c r="C515" s="148" t="s">
        <v>1117</v>
      </c>
      <c r="D515" s="171"/>
      <c r="E515" s="158"/>
      <c r="F515" s="158"/>
      <c r="G515" s="158"/>
      <c r="H515" s="158"/>
      <c r="I515" s="158"/>
      <c r="J515" s="158"/>
      <c r="K515" s="158"/>
      <c r="L515" s="158"/>
      <c r="M515" s="158"/>
      <c r="N515" s="158"/>
      <c r="O515" s="158"/>
      <c r="P515" s="158"/>
      <c r="Q515" s="159"/>
    </row>
    <row r="516" spans="1:17" x14ac:dyDescent="0.35">
      <c r="A516" s="166"/>
      <c r="B516" s="169">
        <v>172</v>
      </c>
      <c r="C516" s="146"/>
      <c r="D516" s="169"/>
      <c r="E516" s="154">
        <v>0</v>
      </c>
      <c r="F516" s="154">
        <v>0</v>
      </c>
      <c r="G516" s="154">
        <v>0</v>
      </c>
      <c r="H516" s="154">
        <v>0</v>
      </c>
      <c r="I516" s="154">
        <v>0</v>
      </c>
      <c r="J516" s="154">
        <v>0</v>
      </c>
      <c r="K516" s="154">
        <v>0</v>
      </c>
      <c r="L516" s="154">
        <v>0</v>
      </c>
      <c r="M516" s="154">
        <v>13</v>
      </c>
      <c r="N516" s="154">
        <v>13</v>
      </c>
      <c r="O516" s="154">
        <v>317</v>
      </c>
      <c r="P516" s="154">
        <v>5575</v>
      </c>
      <c r="Q516" s="156">
        <v>128</v>
      </c>
    </row>
    <row r="517" spans="1:17" x14ac:dyDescent="0.35">
      <c r="A517" s="167"/>
      <c r="B517" s="170"/>
      <c r="C517" s="151" t="s">
        <v>1197</v>
      </c>
      <c r="D517" s="170"/>
      <c r="E517" s="155"/>
      <c r="F517" s="155"/>
      <c r="G517" s="155"/>
      <c r="H517" s="155"/>
      <c r="I517" s="155"/>
      <c r="J517" s="155"/>
      <c r="K517" s="155"/>
      <c r="L517" s="155"/>
      <c r="M517" s="155"/>
      <c r="N517" s="155"/>
      <c r="O517" s="155"/>
      <c r="P517" s="155"/>
      <c r="Q517" s="157"/>
    </row>
    <row r="518" spans="1:17" ht="15" thickBot="1" x14ac:dyDescent="0.4">
      <c r="A518" s="168"/>
      <c r="B518" s="171"/>
      <c r="C518" s="148" t="s">
        <v>1391</v>
      </c>
      <c r="D518" s="171"/>
      <c r="E518" s="158"/>
      <c r="F518" s="158"/>
      <c r="G518" s="158"/>
      <c r="H518" s="158"/>
      <c r="I518" s="158"/>
      <c r="J518" s="158"/>
      <c r="K518" s="158"/>
      <c r="L518" s="158"/>
      <c r="M518" s="158"/>
      <c r="N518" s="158"/>
      <c r="O518" s="158"/>
      <c r="P518" s="158"/>
      <c r="Q518" s="159"/>
    </row>
    <row r="519" spans="1:17" x14ac:dyDescent="0.35">
      <c r="A519" s="166"/>
      <c r="B519" s="169">
        <v>173</v>
      </c>
      <c r="C519" s="146"/>
      <c r="D519" s="169"/>
      <c r="E519" s="154">
        <v>0</v>
      </c>
      <c r="F519" s="154">
        <v>0</v>
      </c>
      <c r="G519" s="154">
        <v>0</v>
      </c>
      <c r="H519" s="154">
        <v>0</v>
      </c>
      <c r="I519" s="154">
        <v>0</v>
      </c>
      <c r="J519" s="154">
        <v>0</v>
      </c>
      <c r="K519" s="154">
        <v>0</v>
      </c>
      <c r="L519" s="154">
        <v>0</v>
      </c>
      <c r="M519" s="154">
        <v>14</v>
      </c>
      <c r="N519" s="154">
        <v>10</v>
      </c>
      <c r="O519" s="154">
        <v>326</v>
      </c>
      <c r="P519" s="154">
        <v>5500</v>
      </c>
      <c r="Q519" s="156">
        <v>122.9</v>
      </c>
    </row>
    <row r="520" spans="1:17" x14ac:dyDescent="0.35">
      <c r="A520" s="167"/>
      <c r="B520" s="170"/>
      <c r="C520" s="151" t="s">
        <v>1185</v>
      </c>
      <c r="D520" s="170"/>
      <c r="E520" s="155"/>
      <c r="F520" s="155"/>
      <c r="G520" s="155"/>
      <c r="H520" s="155"/>
      <c r="I520" s="155"/>
      <c r="J520" s="155"/>
      <c r="K520" s="155"/>
      <c r="L520" s="155"/>
      <c r="M520" s="155"/>
      <c r="N520" s="155"/>
      <c r="O520" s="155"/>
      <c r="P520" s="155"/>
      <c r="Q520" s="157"/>
    </row>
    <row r="521" spans="1:17" ht="15" thickBot="1" x14ac:dyDescent="0.4">
      <c r="A521" s="168"/>
      <c r="B521" s="171"/>
      <c r="C521" s="148" t="s">
        <v>1392</v>
      </c>
      <c r="D521" s="171"/>
      <c r="E521" s="158"/>
      <c r="F521" s="158"/>
      <c r="G521" s="158"/>
      <c r="H521" s="158"/>
      <c r="I521" s="158"/>
      <c r="J521" s="158"/>
      <c r="K521" s="158"/>
      <c r="L521" s="158"/>
      <c r="M521" s="158"/>
      <c r="N521" s="158"/>
      <c r="O521" s="158"/>
      <c r="P521" s="158"/>
      <c r="Q521" s="159"/>
    </row>
    <row r="522" spans="1:17" x14ac:dyDescent="0.35">
      <c r="A522" s="166"/>
      <c r="B522" s="169">
        <v>174</v>
      </c>
      <c r="C522" s="146"/>
      <c r="D522" s="169"/>
      <c r="E522" s="154">
        <v>0</v>
      </c>
      <c r="F522" s="154">
        <v>0</v>
      </c>
      <c r="G522" s="154">
        <v>0</v>
      </c>
      <c r="H522" s="154">
        <v>0</v>
      </c>
      <c r="I522" s="154">
        <v>0</v>
      </c>
      <c r="J522" s="154">
        <v>0</v>
      </c>
      <c r="K522" s="154">
        <v>0</v>
      </c>
      <c r="L522" s="154">
        <v>0</v>
      </c>
      <c r="M522" s="154">
        <v>14</v>
      </c>
      <c r="N522" s="154">
        <v>8</v>
      </c>
      <c r="O522" s="154">
        <v>327</v>
      </c>
      <c r="P522" s="154">
        <v>5445</v>
      </c>
      <c r="Q522" s="156">
        <v>117.2</v>
      </c>
    </row>
    <row r="523" spans="1:17" x14ac:dyDescent="0.35">
      <c r="A523" s="167"/>
      <c r="B523" s="170"/>
      <c r="C523" s="151" t="s">
        <v>1126</v>
      </c>
      <c r="D523" s="170"/>
      <c r="E523" s="155"/>
      <c r="F523" s="155"/>
      <c r="G523" s="155"/>
      <c r="H523" s="155"/>
      <c r="I523" s="155"/>
      <c r="J523" s="155"/>
      <c r="K523" s="155"/>
      <c r="L523" s="155"/>
      <c r="M523" s="155"/>
      <c r="N523" s="155"/>
      <c r="O523" s="155"/>
      <c r="P523" s="155"/>
      <c r="Q523" s="157"/>
    </row>
    <row r="524" spans="1:17" ht="15" thickBot="1" x14ac:dyDescent="0.4">
      <c r="A524" s="168"/>
      <c r="B524" s="171"/>
      <c r="C524" s="148" t="s">
        <v>1127</v>
      </c>
      <c r="D524" s="171"/>
      <c r="E524" s="158"/>
      <c r="F524" s="158"/>
      <c r="G524" s="158"/>
      <c r="H524" s="158"/>
      <c r="I524" s="158"/>
      <c r="J524" s="158"/>
      <c r="K524" s="158"/>
      <c r="L524" s="158"/>
      <c r="M524" s="158"/>
      <c r="N524" s="158"/>
      <c r="O524" s="158"/>
      <c r="P524" s="158"/>
      <c r="Q524" s="159"/>
    </row>
    <row r="525" spans="1:17" x14ac:dyDescent="0.35">
      <c r="A525" s="166"/>
      <c r="B525" s="169">
        <v>175</v>
      </c>
      <c r="C525" s="146"/>
      <c r="D525" s="169"/>
      <c r="E525" s="154">
        <v>0</v>
      </c>
      <c r="F525" s="154">
        <v>0</v>
      </c>
      <c r="G525" s="154">
        <v>0</v>
      </c>
      <c r="H525" s="154">
        <v>0</v>
      </c>
      <c r="I525" s="154">
        <v>0</v>
      </c>
      <c r="J525" s="154">
        <v>0</v>
      </c>
      <c r="K525" s="154">
        <v>0</v>
      </c>
      <c r="L525" s="154">
        <v>0</v>
      </c>
      <c r="M525" s="154">
        <v>11</v>
      </c>
      <c r="N525" s="154">
        <v>10</v>
      </c>
      <c r="O525" s="154">
        <v>323</v>
      </c>
      <c r="P525" s="154">
        <v>5414</v>
      </c>
      <c r="Q525" s="156">
        <v>123.3</v>
      </c>
    </row>
    <row r="526" spans="1:17" x14ac:dyDescent="0.35">
      <c r="A526" s="167"/>
      <c r="B526" s="170"/>
      <c r="C526" s="151" t="s">
        <v>1128</v>
      </c>
      <c r="D526" s="170"/>
      <c r="E526" s="155"/>
      <c r="F526" s="155"/>
      <c r="G526" s="155"/>
      <c r="H526" s="155"/>
      <c r="I526" s="155"/>
      <c r="J526" s="155"/>
      <c r="K526" s="155"/>
      <c r="L526" s="155"/>
      <c r="M526" s="155"/>
      <c r="N526" s="155"/>
      <c r="O526" s="155"/>
      <c r="P526" s="155"/>
      <c r="Q526" s="157"/>
    </row>
    <row r="527" spans="1:17" ht="15" thickBot="1" x14ac:dyDescent="0.4">
      <c r="A527" s="168"/>
      <c r="B527" s="171"/>
      <c r="C527" s="148" t="s">
        <v>1129</v>
      </c>
      <c r="D527" s="171"/>
      <c r="E527" s="158"/>
      <c r="F527" s="158"/>
      <c r="G527" s="158"/>
      <c r="H527" s="158"/>
      <c r="I527" s="158"/>
      <c r="J527" s="158"/>
      <c r="K527" s="158"/>
      <c r="L527" s="158"/>
      <c r="M527" s="158"/>
      <c r="N527" s="158"/>
      <c r="O527" s="158"/>
      <c r="P527" s="158"/>
      <c r="Q527" s="159"/>
    </row>
    <row r="528" spans="1:17" x14ac:dyDescent="0.35">
      <c r="A528" s="166"/>
      <c r="B528" s="169">
        <v>176</v>
      </c>
      <c r="C528" s="146"/>
      <c r="D528" s="169"/>
      <c r="E528" s="154">
        <v>0</v>
      </c>
      <c r="F528" s="154">
        <v>0</v>
      </c>
      <c r="G528" s="154">
        <v>0</v>
      </c>
      <c r="H528" s="154">
        <v>0</v>
      </c>
      <c r="I528" s="154">
        <v>0</v>
      </c>
      <c r="J528" s="154">
        <v>0</v>
      </c>
      <c r="K528" s="154">
        <v>0</v>
      </c>
      <c r="L528" s="154">
        <v>0</v>
      </c>
      <c r="M528" s="154">
        <v>11</v>
      </c>
      <c r="N528" s="154">
        <v>11</v>
      </c>
      <c r="O528" s="154">
        <v>340</v>
      </c>
      <c r="P528" s="154">
        <v>5462</v>
      </c>
      <c r="Q528" s="156">
        <v>112.3</v>
      </c>
    </row>
    <row r="529" spans="1:17" x14ac:dyDescent="0.35">
      <c r="A529" s="167"/>
      <c r="B529" s="170"/>
      <c r="C529" s="151" t="s">
        <v>1112</v>
      </c>
      <c r="D529" s="170"/>
      <c r="E529" s="155"/>
      <c r="F529" s="155"/>
      <c r="G529" s="155"/>
      <c r="H529" s="155"/>
      <c r="I529" s="155"/>
      <c r="J529" s="155"/>
      <c r="K529" s="155"/>
      <c r="L529" s="155"/>
      <c r="M529" s="155"/>
      <c r="N529" s="155"/>
      <c r="O529" s="155"/>
      <c r="P529" s="155"/>
      <c r="Q529" s="157"/>
    </row>
    <row r="530" spans="1:17" ht="15" thickBot="1" x14ac:dyDescent="0.4">
      <c r="A530" s="168"/>
      <c r="B530" s="171"/>
      <c r="C530" s="148" t="s">
        <v>1113</v>
      </c>
      <c r="D530" s="171"/>
      <c r="E530" s="158"/>
      <c r="F530" s="158"/>
      <c r="G530" s="158"/>
      <c r="H530" s="158"/>
      <c r="I530" s="158"/>
      <c r="J530" s="158"/>
      <c r="K530" s="158"/>
      <c r="L530" s="158"/>
      <c r="M530" s="158"/>
      <c r="N530" s="158"/>
      <c r="O530" s="158"/>
      <c r="P530" s="158"/>
      <c r="Q530" s="159"/>
    </row>
    <row r="531" spans="1:17" x14ac:dyDescent="0.35">
      <c r="A531" s="166"/>
      <c r="B531" s="169">
        <v>177</v>
      </c>
      <c r="C531" s="146"/>
      <c r="D531" s="169"/>
      <c r="E531" s="154">
        <v>0</v>
      </c>
      <c r="F531" s="154">
        <v>0</v>
      </c>
      <c r="G531" s="154">
        <v>0</v>
      </c>
      <c r="H531" s="154">
        <v>0</v>
      </c>
      <c r="I531" s="154">
        <v>0</v>
      </c>
      <c r="J531" s="154">
        <v>0</v>
      </c>
      <c r="K531" s="154">
        <v>0</v>
      </c>
      <c r="L531" s="154">
        <v>0</v>
      </c>
      <c r="M531" s="154">
        <v>13</v>
      </c>
      <c r="N531" s="154">
        <v>13</v>
      </c>
      <c r="O531" s="154">
        <v>326</v>
      </c>
      <c r="P531" s="154">
        <v>5667</v>
      </c>
      <c r="Q531" s="156">
        <v>111.8</v>
      </c>
    </row>
    <row r="532" spans="1:17" x14ac:dyDescent="0.35">
      <c r="A532" s="167"/>
      <c r="B532" s="170"/>
      <c r="C532" s="151" t="s">
        <v>1120</v>
      </c>
      <c r="D532" s="170"/>
      <c r="E532" s="155"/>
      <c r="F532" s="155"/>
      <c r="G532" s="155"/>
      <c r="H532" s="155"/>
      <c r="I532" s="155"/>
      <c r="J532" s="155"/>
      <c r="K532" s="155"/>
      <c r="L532" s="155"/>
      <c r="M532" s="155"/>
      <c r="N532" s="155"/>
      <c r="O532" s="155"/>
      <c r="P532" s="155"/>
      <c r="Q532" s="157"/>
    </row>
    <row r="533" spans="1:17" ht="15" thickBot="1" x14ac:dyDescent="0.4">
      <c r="A533" s="168"/>
      <c r="B533" s="171"/>
      <c r="C533" s="148" t="s">
        <v>1121</v>
      </c>
      <c r="D533" s="171"/>
      <c r="E533" s="158"/>
      <c r="F533" s="158"/>
      <c r="G533" s="158"/>
      <c r="H533" s="158"/>
      <c r="I533" s="158"/>
      <c r="J533" s="158"/>
      <c r="K533" s="158"/>
      <c r="L533" s="158"/>
      <c r="M533" s="158"/>
      <c r="N533" s="158"/>
      <c r="O533" s="158"/>
      <c r="P533" s="158"/>
      <c r="Q533" s="159"/>
    </row>
    <row r="534" spans="1:17" x14ac:dyDescent="0.35">
      <c r="A534" s="166"/>
      <c r="B534" s="169">
        <v>178</v>
      </c>
      <c r="C534" s="146"/>
      <c r="D534" s="169"/>
      <c r="E534" s="154">
        <v>0</v>
      </c>
      <c r="F534" s="154">
        <v>0</v>
      </c>
      <c r="G534" s="154">
        <v>0</v>
      </c>
      <c r="H534" s="154">
        <v>0</v>
      </c>
      <c r="I534" s="154">
        <v>0</v>
      </c>
      <c r="J534" s="154">
        <v>0</v>
      </c>
      <c r="K534" s="154">
        <v>0</v>
      </c>
      <c r="L534" s="154">
        <v>0</v>
      </c>
      <c r="M534" s="154">
        <v>13</v>
      </c>
      <c r="N534" s="154">
        <v>8</v>
      </c>
      <c r="O534" s="154">
        <v>318</v>
      </c>
      <c r="P534" s="154">
        <v>5594</v>
      </c>
      <c r="Q534" s="156">
        <v>111.5</v>
      </c>
    </row>
    <row r="535" spans="1:17" x14ac:dyDescent="0.35">
      <c r="A535" s="167"/>
      <c r="B535" s="170"/>
      <c r="C535" s="151" t="s">
        <v>1156</v>
      </c>
      <c r="D535" s="170"/>
      <c r="E535" s="155"/>
      <c r="F535" s="155"/>
      <c r="G535" s="155"/>
      <c r="H535" s="155"/>
      <c r="I535" s="155"/>
      <c r="J535" s="155"/>
      <c r="K535" s="155"/>
      <c r="L535" s="155"/>
      <c r="M535" s="155"/>
      <c r="N535" s="155"/>
      <c r="O535" s="155"/>
      <c r="P535" s="155"/>
      <c r="Q535" s="157"/>
    </row>
    <row r="536" spans="1:17" ht="15" thickBot="1" x14ac:dyDescent="0.4">
      <c r="A536" s="168"/>
      <c r="B536" s="171"/>
      <c r="C536" s="148" t="s">
        <v>1157</v>
      </c>
      <c r="D536" s="171"/>
      <c r="E536" s="158"/>
      <c r="F536" s="158"/>
      <c r="G536" s="158"/>
      <c r="H536" s="158"/>
      <c r="I536" s="158"/>
      <c r="J536" s="158"/>
      <c r="K536" s="158"/>
      <c r="L536" s="158"/>
      <c r="M536" s="158"/>
      <c r="N536" s="158"/>
      <c r="O536" s="158"/>
      <c r="P536" s="158"/>
      <c r="Q536" s="159"/>
    </row>
    <row r="537" spans="1:17" x14ac:dyDescent="0.35">
      <c r="A537" s="166"/>
      <c r="B537" s="169">
        <v>179</v>
      </c>
      <c r="C537" s="146"/>
      <c r="D537" s="169"/>
      <c r="E537" s="154">
        <v>0</v>
      </c>
      <c r="F537" s="154">
        <v>0</v>
      </c>
      <c r="G537" s="154">
        <v>0</v>
      </c>
      <c r="H537" s="154">
        <v>0</v>
      </c>
      <c r="I537" s="154">
        <v>0</v>
      </c>
      <c r="J537" s="154">
        <v>0</v>
      </c>
      <c r="K537" s="154">
        <v>0</v>
      </c>
      <c r="L537" s="154">
        <v>0</v>
      </c>
      <c r="M537" s="154">
        <v>13</v>
      </c>
      <c r="N537" s="154">
        <v>9</v>
      </c>
      <c r="O537" s="154">
        <v>336</v>
      </c>
      <c r="P537" s="154">
        <v>5603</v>
      </c>
      <c r="Q537" s="156">
        <v>110.4</v>
      </c>
    </row>
    <row r="538" spans="1:17" x14ac:dyDescent="0.35">
      <c r="A538" s="167"/>
      <c r="B538" s="170"/>
      <c r="C538" s="151" t="s">
        <v>1122</v>
      </c>
      <c r="D538" s="170"/>
      <c r="E538" s="155"/>
      <c r="F538" s="155"/>
      <c r="G538" s="155"/>
      <c r="H538" s="155"/>
      <c r="I538" s="155"/>
      <c r="J538" s="155"/>
      <c r="K538" s="155"/>
      <c r="L538" s="155"/>
      <c r="M538" s="155"/>
      <c r="N538" s="155"/>
      <c r="O538" s="155"/>
      <c r="P538" s="155"/>
      <c r="Q538" s="157"/>
    </row>
    <row r="539" spans="1:17" ht="15" thickBot="1" x14ac:dyDescent="0.4">
      <c r="A539" s="168"/>
      <c r="B539" s="171"/>
      <c r="C539" s="148" t="s">
        <v>1123</v>
      </c>
      <c r="D539" s="171"/>
      <c r="E539" s="158"/>
      <c r="F539" s="158"/>
      <c r="G539" s="158"/>
      <c r="H539" s="158"/>
      <c r="I539" s="158"/>
      <c r="J539" s="158"/>
      <c r="K539" s="158"/>
      <c r="L539" s="158"/>
      <c r="M539" s="158"/>
      <c r="N539" s="158"/>
      <c r="O539" s="158"/>
      <c r="P539" s="158"/>
      <c r="Q539" s="159"/>
    </row>
    <row r="540" spans="1:17" x14ac:dyDescent="0.35">
      <c r="A540" s="166"/>
      <c r="B540" s="169">
        <v>180</v>
      </c>
      <c r="C540" s="146"/>
      <c r="D540" s="169"/>
      <c r="E540" s="154">
        <v>0</v>
      </c>
      <c r="F540" s="154">
        <v>0</v>
      </c>
      <c r="G540" s="154">
        <v>0</v>
      </c>
      <c r="H540" s="154">
        <v>0</v>
      </c>
      <c r="I540" s="154">
        <v>0</v>
      </c>
      <c r="J540" s="154">
        <v>0</v>
      </c>
      <c r="K540" s="154">
        <v>0</v>
      </c>
      <c r="L540" s="154">
        <v>0</v>
      </c>
      <c r="M540" s="154">
        <v>13</v>
      </c>
      <c r="N540" s="154">
        <v>12</v>
      </c>
      <c r="O540" s="154">
        <v>349</v>
      </c>
      <c r="P540" s="154">
        <v>5600</v>
      </c>
      <c r="Q540" s="156">
        <v>108.4</v>
      </c>
    </row>
    <row r="541" spans="1:17" x14ac:dyDescent="0.35">
      <c r="A541" s="167"/>
      <c r="B541" s="170"/>
      <c r="C541" s="151" t="s">
        <v>1199</v>
      </c>
      <c r="D541" s="170"/>
      <c r="E541" s="155"/>
      <c r="F541" s="155"/>
      <c r="G541" s="155"/>
      <c r="H541" s="155"/>
      <c r="I541" s="155"/>
      <c r="J541" s="155"/>
      <c r="K541" s="155"/>
      <c r="L541" s="155"/>
      <c r="M541" s="155"/>
      <c r="N541" s="155"/>
      <c r="O541" s="155"/>
      <c r="P541" s="155"/>
      <c r="Q541" s="157"/>
    </row>
    <row r="542" spans="1:17" ht="15" thickBot="1" x14ac:dyDescent="0.4">
      <c r="A542" s="168"/>
      <c r="B542" s="171"/>
      <c r="C542" s="148" t="s">
        <v>1405</v>
      </c>
      <c r="D542" s="171"/>
      <c r="E542" s="158"/>
      <c r="F542" s="158"/>
      <c r="G542" s="158"/>
      <c r="H542" s="158"/>
      <c r="I542" s="158"/>
      <c r="J542" s="158"/>
      <c r="K542" s="158"/>
      <c r="L542" s="158"/>
      <c r="M542" s="158"/>
      <c r="N542" s="158"/>
      <c r="O542" s="158"/>
      <c r="P542" s="158"/>
      <c r="Q542" s="159"/>
    </row>
    <row r="543" spans="1:17" x14ac:dyDescent="0.35">
      <c r="A543" s="166"/>
      <c r="B543" s="169">
        <v>181</v>
      </c>
      <c r="C543" s="146"/>
      <c r="D543" s="169"/>
      <c r="E543" s="154">
        <v>0</v>
      </c>
      <c r="F543" s="154">
        <v>0</v>
      </c>
      <c r="G543" s="154">
        <v>0</v>
      </c>
      <c r="H543" s="154">
        <v>0</v>
      </c>
      <c r="I543" s="154">
        <v>0</v>
      </c>
      <c r="J543" s="154">
        <v>0</v>
      </c>
      <c r="K543" s="154">
        <v>0</v>
      </c>
      <c r="L543" s="154">
        <v>0</v>
      </c>
      <c r="M543" s="154">
        <v>11</v>
      </c>
      <c r="N543" s="154">
        <v>7</v>
      </c>
      <c r="O543" s="154">
        <v>329</v>
      </c>
      <c r="P543" s="154">
        <v>5553</v>
      </c>
      <c r="Q543" s="156">
        <v>102.4</v>
      </c>
    </row>
    <row r="544" spans="1:17" x14ac:dyDescent="0.35">
      <c r="A544" s="167"/>
      <c r="B544" s="170"/>
      <c r="C544" s="151" t="s">
        <v>1124</v>
      </c>
      <c r="D544" s="170"/>
      <c r="E544" s="155"/>
      <c r="F544" s="155"/>
      <c r="G544" s="155"/>
      <c r="H544" s="155"/>
      <c r="I544" s="155"/>
      <c r="J544" s="155"/>
      <c r="K544" s="155"/>
      <c r="L544" s="155"/>
      <c r="M544" s="155"/>
      <c r="N544" s="155"/>
      <c r="O544" s="155"/>
      <c r="P544" s="155"/>
      <c r="Q544" s="157"/>
    </row>
    <row r="545" spans="1:17" ht="15" thickBot="1" x14ac:dyDescent="0.4">
      <c r="A545" s="168"/>
      <c r="B545" s="171"/>
      <c r="C545" s="148" t="s">
        <v>1125</v>
      </c>
      <c r="D545" s="171"/>
      <c r="E545" s="158"/>
      <c r="F545" s="158"/>
      <c r="G545" s="158"/>
      <c r="H545" s="158"/>
      <c r="I545" s="158"/>
      <c r="J545" s="158"/>
      <c r="K545" s="158"/>
      <c r="L545" s="158"/>
      <c r="M545" s="158"/>
      <c r="N545" s="158"/>
      <c r="O545" s="158"/>
      <c r="P545" s="158"/>
      <c r="Q545" s="159"/>
    </row>
    <row r="546" spans="1:17" x14ac:dyDescent="0.35">
      <c r="A546" s="166"/>
      <c r="B546" s="169">
        <v>182</v>
      </c>
      <c r="C546" s="147"/>
      <c r="D546" s="169"/>
      <c r="E546" s="154">
        <v>0</v>
      </c>
      <c r="F546" s="154">
        <v>0</v>
      </c>
      <c r="G546" s="154">
        <v>0</v>
      </c>
      <c r="H546" s="154">
        <v>0</v>
      </c>
      <c r="I546" s="154">
        <v>0</v>
      </c>
      <c r="J546" s="154">
        <v>0</v>
      </c>
      <c r="K546" s="154">
        <v>0</v>
      </c>
      <c r="L546" s="154">
        <v>0</v>
      </c>
      <c r="M546" s="154">
        <v>0</v>
      </c>
      <c r="N546" s="154">
        <v>0</v>
      </c>
      <c r="O546" s="154">
        <v>0</v>
      </c>
      <c r="P546" s="154">
        <v>0</v>
      </c>
      <c r="Q546" s="156">
        <v>135.9</v>
      </c>
    </row>
    <row r="547" spans="1:17" x14ac:dyDescent="0.35">
      <c r="A547" s="167"/>
      <c r="B547" s="170"/>
      <c r="C547" s="151" t="s">
        <v>449</v>
      </c>
      <c r="D547" s="170"/>
      <c r="E547" s="155"/>
      <c r="F547" s="155"/>
      <c r="G547" s="155"/>
      <c r="H547" s="155"/>
      <c r="I547" s="155"/>
      <c r="J547" s="155"/>
      <c r="K547" s="155"/>
      <c r="L547" s="155"/>
      <c r="M547" s="155"/>
      <c r="N547" s="155"/>
      <c r="O547" s="155"/>
      <c r="P547" s="155"/>
      <c r="Q547" s="157"/>
    </row>
    <row r="548" spans="1:17" ht="15" thickBot="1" x14ac:dyDescent="0.4">
      <c r="A548" s="168"/>
      <c r="B548" s="171"/>
      <c r="C548" s="148" t="s">
        <v>1137</v>
      </c>
      <c r="D548" s="171"/>
      <c r="E548" s="158"/>
      <c r="F548" s="158"/>
      <c r="G548" s="158"/>
      <c r="H548" s="158"/>
      <c r="I548" s="158"/>
      <c r="J548" s="158"/>
      <c r="K548" s="158"/>
      <c r="L548" s="158"/>
      <c r="M548" s="158"/>
      <c r="N548" s="158"/>
      <c r="O548" s="158"/>
      <c r="P548" s="158"/>
      <c r="Q548" s="159"/>
    </row>
    <row r="549" spans="1:17" x14ac:dyDescent="0.35">
      <c r="A549" s="166"/>
      <c r="B549" s="169">
        <v>183</v>
      </c>
      <c r="C549" s="147"/>
      <c r="D549" s="169"/>
      <c r="E549" s="154">
        <v>0</v>
      </c>
      <c r="F549" s="154">
        <v>0</v>
      </c>
      <c r="G549" s="154">
        <v>0</v>
      </c>
      <c r="H549" s="154">
        <v>0</v>
      </c>
      <c r="I549" s="154">
        <v>0</v>
      </c>
      <c r="J549" s="154">
        <v>0</v>
      </c>
      <c r="K549" s="154">
        <v>0</v>
      </c>
      <c r="L549" s="154">
        <v>0</v>
      </c>
      <c r="M549" s="154">
        <v>0</v>
      </c>
      <c r="N549" s="154">
        <v>0</v>
      </c>
      <c r="O549" s="154">
        <v>0</v>
      </c>
      <c r="P549" s="154">
        <v>0</v>
      </c>
      <c r="Q549" s="156">
        <v>141.9</v>
      </c>
    </row>
    <row r="550" spans="1:17" x14ac:dyDescent="0.35">
      <c r="A550" s="167"/>
      <c r="B550" s="170"/>
      <c r="C550" s="151" t="s">
        <v>455</v>
      </c>
      <c r="D550" s="170"/>
      <c r="E550" s="155"/>
      <c r="F550" s="155"/>
      <c r="G550" s="155"/>
      <c r="H550" s="155"/>
      <c r="I550" s="155"/>
      <c r="J550" s="155"/>
      <c r="K550" s="155"/>
      <c r="L550" s="155"/>
      <c r="M550" s="155"/>
      <c r="N550" s="155"/>
      <c r="O550" s="155"/>
      <c r="P550" s="155"/>
      <c r="Q550" s="157"/>
    </row>
    <row r="551" spans="1:17" ht="15" thickBot="1" x14ac:dyDescent="0.4">
      <c r="A551" s="168"/>
      <c r="B551" s="171"/>
      <c r="C551" s="148" t="s">
        <v>1139</v>
      </c>
      <c r="D551" s="171"/>
      <c r="E551" s="158"/>
      <c r="F551" s="158"/>
      <c r="G551" s="158"/>
      <c r="H551" s="158"/>
      <c r="I551" s="158"/>
      <c r="J551" s="158"/>
      <c r="K551" s="158"/>
      <c r="L551" s="158"/>
      <c r="M551" s="158"/>
      <c r="N551" s="158"/>
      <c r="O551" s="158"/>
      <c r="P551" s="158"/>
      <c r="Q551" s="159"/>
    </row>
    <row r="552" spans="1:17" x14ac:dyDescent="0.35">
      <c r="A552" s="166"/>
      <c r="B552" s="169">
        <v>184</v>
      </c>
      <c r="C552" s="147"/>
      <c r="D552" s="169"/>
      <c r="E552" s="154">
        <v>0</v>
      </c>
      <c r="F552" s="154">
        <v>0</v>
      </c>
      <c r="G552" s="154">
        <v>0</v>
      </c>
      <c r="H552" s="154">
        <v>0</v>
      </c>
      <c r="I552" s="154">
        <v>0</v>
      </c>
      <c r="J552" s="154">
        <v>0</v>
      </c>
      <c r="K552" s="154">
        <v>0</v>
      </c>
      <c r="L552" s="154">
        <v>0</v>
      </c>
      <c r="M552" s="154">
        <v>0</v>
      </c>
      <c r="N552" s="154">
        <v>0</v>
      </c>
      <c r="O552" s="154">
        <v>0</v>
      </c>
      <c r="P552" s="154">
        <v>0</v>
      </c>
      <c r="Q552" s="156">
        <v>136.69999999999999</v>
      </c>
    </row>
    <row r="553" spans="1:17" x14ac:dyDescent="0.35">
      <c r="A553" s="167"/>
      <c r="B553" s="170"/>
      <c r="C553" s="151" t="s">
        <v>473</v>
      </c>
      <c r="D553" s="170"/>
      <c r="E553" s="155"/>
      <c r="F553" s="155"/>
      <c r="G553" s="155"/>
      <c r="H553" s="155"/>
      <c r="I553" s="155"/>
      <c r="J553" s="155"/>
      <c r="K553" s="155"/>
      <c r="L553" s="155"/>
      <c r="M553" s="155"/>
      <c r="N553" s="155"/>
      <c r="O553" s="155"/>
      <c r="P553" s="155"/>
      <c r="Q553" s="157"/>
    </row>
    <row r="554" spans="1:17" ht="15" thickBot="1" x14ac:dyDescent="0.4">
      <c r="A554" s="168"/>
      <c r="B554" s="171"/>
      <c r="C554" s="148" t="s">
        <v>1138</v>
      </c>
      <c r="D554" s="171"/>
      <c r="E554" s="158"/>
      <c r="F554" s="158"/>
      <c r="G554" s="158"/>
      <c r="H554" s="158"/>
      <c r="I554" s="158"/>
      <c r="J554" s="158"/>
      <c r="K554" s="158"/>
      <c r="L554" s="158"/>
      <c r="M554" s="158"/>
      <c r="N554" s="158"/>
      <c r="O554" s="158"/>
      <c r="P554" s="158"/>
      <c r="Q554" s="159"/>
    </row>
    <row r="555" spans="1:17" x14ac:dyDescent="0.35">
      <c r="A555" s="166"/>
      <c r="B555" s="169">
        <v>185</v>
      </c>
      <c r="C555" s="147"/>
      <c r="D555" s="169"/>
      <c r="E555" s="154">
        <v>0</v>
      </c>
      <c r="F555" s="154">
        <v>0</v>
      </c>
      <c r="G555" s="154">
        <v>0</v>
      </c>
      <c r="H555" s="154">
        <v>0</v>
      </c>
      <c r="I555" s="154">
        <v>0</v>
      </c>
      <c r="J555" s="154">
        <v>0</v>
      </c>
      <c r="K555" s="154">
        <v>0</v>
      </c>
      <c r="L555" s="154">
        <v>0</v>
      </c>
      <c r="M555" s="154">
        <v>0</v>
      </c>
      <c r="N555" s="154">
        <v>0</v>
      </c>
      <c r="O555" s="154">
        <v>0</v>
      </c>
      <c r="P555" s="154">
        <v>0</v>
      </c>
      <c r="Q555" s="156">
        <v>129.69999999999999</v>
      </c>
    </row>
    <row r="556" spans="1:17" x14ac:dyDescent="0.35">
      <c r="A556" s="167"/>
      <c r="B556" s="170"/>
      <c r="C556" s="151" t="s">
        <v>513</v>
      </c>
      <c r="D556" s="170"/>
      <c r="E556" s="155"/>
      <c r="F556" s="155"/>
      <c r="G556" s="155"/>
      <c r="H556" s="155"/>
      <c r="I556" s="155"/>
      <c r="J556" s="155"/>
      <c r="K556" s="155"/>
      <c r="L556" s="155"/>
      <c r="M556" s="155"/>
      <c r="N556" s="155"/>
      <c r="O556" s="155"/>
      <c r="P556" s="155"/>
      <c r="Q556" s="157"/>
    </row>
    <row r="557" spans="1:17" ht="15" thickBot="1" x14ac:dyDescent="0.4">
      <c r="A557" s="168"/>
      <c r="B557" s="171"/>
      <c r="C557" s="148" t="s">
        <v>1160</v>
      </c>
      <c r="D557" s="171"/>
      <c r="E557" s="158"/>
      <c r="F557" s="158"/>
      <c r="G557" s="158"/>
      <c r="H557" s="158"/>
      <c r="I557" s="158"/>
      <c r="J557" s="158"/>
      <c r="K557" s="158"/>
      <c r="L557" s="158"/>
      <c r="M557" s="158"/>
      <c r="N557" s="158"/>
      <c r="O557" s="158"/>
      <c r="P557" s="158"/>
      <c r="Q557" s="159"/>
    </row>
    <row r="558" spans="1:17" x14ac:dyDescent="0.35">
      <c r="A558" s="166"/>
      <c r="B558" s="169">
        <v>186</v>
      </c>
      <c r="C558" s="147"/>
      <c r="D558" s="169"/>
      <c r="E558" s="154">
        <v>0</v>
      </c>
      <c r="F558" s="154">
        <v>0</v>
      </c>
      <c r="G558" s="154">
        <v>0</v>
      </c>
      <c r="H558" s="154">
        <v>0</v>
      </c>
      <c r="I558" s="154">
        <v>0</v>
      </c>
      <c r="J558" s="154">
        <v>0</v>
      </c>
      <c r="K558" s="154">
        <v>0</v>
      </c>
      <c r="L558" s="154">
        <v>0</v>
      </c>
      <c r="M558" s="154">
        <v>0</v>
      </c>
      <c r="N558" s="154">
        <v>0</v>
      </c>
      <c r="O558" s="154">
        <v>0</v>
      </c>
      <c r="P558" s="154">
        <v>0</v>
      </c>
      <c r="Q558" s="156">
        <v>125.3</v>
      </c>
    </row>
    <row r="559" spans="1:17" x14ac:dyDescent="0.35">
      <c r="A559" s="167"/>
      <c r="B559" s="170"/>
      <c r="C559" s="151" t="s">
        <v>564</v>
      </c>
      <c r="D559" s="170"/>
      <c r="E559" s="155"/>
      <c r="F559" s="155"/>
      <c r="G559" s="155"/>
      <c r="H559" s="155"/>
      <c r="I559" s="155"/>
      <c r="J559" s="155"/>
      <c r="K559" s="155"/>
      <c r="L559" s="155"/>
      <c r="M559" s="155"/>
      <c r="N559" s="155"/>
      <c r="O559" s="155"/>
      <c r="P559" s="155"/>
      <c r="Q559" s="157"/>
    </row>
    <row r="560" spans="1:17" ht="15" thickBot="1" x14ac:dyDescent="0.4">
      <c r="A560" s="168"/>
      <c r="B560" s="171"/>
      <c r="C560" s="148" t="s">
        <v>1395</v>
      </c>
      <c r="D560" s="171"/>
      <c r="E560" s="158"/>
      <c r="F560" s="158"/>
      <c r="G560" s="158"/>
      <c r="H560" s="158"/>
      <c r="I560" s="158"/>
      <c r="J560" s="158"/>
      <c r="K560" s="158"/>
      <c r="L560" s="158"/>
      <c r="M560" s="158"/>
      <c r="N560" s="158"/>
      <c r="O560" s="158"/>
      <c r="P560" s="158"/>
      <c r="Q560" s="159"/>
    </row>
    <row r="561" spans="1:17" x14ac:dyDescent="0.35">
      <c r="A561" s="166"/>
      <c r="B561" s="169">
        <v>187</v>
      </c>
      <c r="C561" s="147"/>
      <c r="D561" s="169"/>
      <c r="E561" s="154">
        <v>0</v>
      </c>
      <c r="F561" s="154">
        <v>0</v>
      </c>
      <c r="G561" s="154">
        <v>0</v>
      </c>
      <c r="H561" s="154">
        <v>0</v>
      </c>
      <c r="I561" s="154">
        <v>0</v>
      </c>
      <c r="J561" s="154">
        <v>0</v>
      </c>
      <c r="K561" s="154">
        <v>0</v>
      </c>
      <c r="L561" s="154">
        <v>0</v>
      </c>
      <c r="M561" s="154">
        <v>0</v>
      </c>
      <c r="N561" s="154">
        <v>0</v>
      </c>
      <c r="O561" s="154">
        <v>0</v>
      </c>
      <c r="P561" s="154">
        <v>0</v>
      </c>
      <c r="Q561" s="156">
        <v>121.7</v>
      </c>
    </row>
    <row r="562" spans="1:17" x14ac:dyDescent="0.35">
      <c r="A562" s="167"/>
      <c r="B562" s="170"/>
      <c r="C562" s="151" t="s">
        <v>439</v>
      </c>
      <c r="D562" s="170"/>
      <c r="E562" s="155"/>
      <c r="F562" s="155"/>
      <c r="G562" s="155"/>
      <c r="H562" s="155"/>
      <c r="I562" s="155"/>
      <c r="J562" s="155"/>
      <c r="K562" s="155"/>
      <c r="L562" s="155"/>
      <c r="M562" s="155"/>
      <c r="N562" s="155"/>
      <c r="O562" s="155"/>
      <c r="P562" s="155"/>
      <c r="Q562" s="157"/>
    </row>
    <row r="563" spans="1:17" ht="15" thickBot="1" x14ac:dyDescent="0.4">
      <c r="A563" s="168"/>
      <c r="B563" s="171"/>
      <c r="C563" s="148" t="s">
        <v>1145</v>
      </c>
      <c r="D563" s="171"/>
      <c r="E563" s="158"/>
      <c r="F563" s="158"/>
      <c r="G563" s="158"/>
      <c r="H563" s="158"/>
      <c r="I563" s="158"/>
      <c r="J563" s="158"/>
      <c r="K563" s="158"/>
      <c r="L563" s="158"/>
      <c r="M563" s="158"/>
      <c r="N563" s="158"/>
      <c r="O563" s="158"/>
      <c r="P563" s="158"/>
      <c r="Q563" s="159"/>
    </row>
    <row r="564" spans="1:17" x14ac:dyDescent="0.35">
      <c r="A564" s="166"/>
      <c r="B564" s="169">
        <v>188</v>
      </c>
      <c r="C564" s="147"/>
      <c r="D564" s="169"/>
      <c r="E564" s="154">
        <v>0</v>
      </c>
      <c r="F564" s="154">
        <v>0</v>
      </c>
      <c r="G564" s="154">
        <v>0</v>
      </c>
      <c r="H564" s="154">
        <v>0</v>
      </c>
      <c r="I564" s="154">
        <v>0</v>
      </c>
      <c r="J564" s="154">
        <v>0</v>
      </c>
      <c r="K564" s="154">
        <v>0</v>
      </c>
      <c r="L564" s="154">
        <v>0</v>
      </c>
      <c r="M564" s="154">
        <v>0</v>
      </c>
      <c r="N564" s="154">
        <v>0</v>
      </c>
      <c r="O564" s="154">
        <v>0</v>
      </c>
      <c r="P564" s="154">
        <v>0</v>
      </c>
      <c r="Q564" s="156">
        <v>124.9</v>
      </c>
    </row>
    <row r="565" spans="1:17" x14ac:dyDescent="0.35">
      <c r="A565" s="167"/>
      <c r="B565" s="170"/>
      <c r="C565" s="151" t="s">
        <v>520</v>
      </c>
      <c r="D565" s="170"/>
      <c r="E565" s="155"/>
      <c r="F565" s="155"/>
      <c r="G565" s="155"/>
      <c r="H565" s="155"/>
      <c r="I565" s="155"/>
      <c r="J565" s="155"/>
      <c r="K565" s="155"/>
      <c r="L565" s="155"/>
      <c r="M565" s="155"/>
      <c r="N565" s="155"/>
      <c r="O565" s="155"/>
      <c r="P565" s="155"/>
      <c r="Q565" s="157"/>
    </row>
    <row r="566" spans="1:17" ht="15" thickBot="1" x14ac:dyDescent="0.4">
      <c r="A566" s="168"/>
      <c r="B566" s="171"/>
      <c r="C566" s="148" t="s">
        <v>1142</v>
      </c>
      <c r="D566" s="171"/>
      <c r="E566" s="158"/>
      <c r="F566" s="158"/>
      <c r="G566" s="158"/>
      <c r="H566" s="158"/>
      <c r="I566" s="158"/>
      <c r="J566" s="158"/>
      <c r="K566" s="158"/>
      <c r="L566" s="158"/>
      <c r="M566" s="158"/>
      <c r="N566" s="158"/>
      <c r="O566" s="158"/>
      <c r="P566" s="158"/>
      <c r="Q566" s="159"/>
    </row>
    <row r="567" spans="1:17" x14ac:dyDescent="0.35">
      <c r="A567" s="166"/>
      <c r="B567" s="169">
        <v>189</v>
      </c>
      <c r="C567" s="147"/>
      <c r="D567" s="169"/>
      <c r="E567" s="154">
        <v>0</v>
      </c>
      <c r="F567" s="154">
        <v>0</v>
      </c>
      <c r="G567" s="154">
        <v>0</v>
      </c>
      <c r="H567" s="154">
        <v>0</v>
      </c>
      <c r="I567" s="154">
        <v>0</v>
      </c>
      <c r="J567" s="154">
        <v>0</v>
      </c>
      <c r="K567" s="154">
        <v>0</v>
      </c>
      <c r="L567" s="154">
        <v>0</v>
      </c>
      <c r="M567" s="154">
        <v>0</v>
      </c>
      <c r="N567" s="154">
        <v>0</v>
      </c>
      <c r="O567" s="154">
        <v>0</v>
      </c>
      <c r="P567" s="154">
        <v>0</v>
      </c>
      <c r="Q567" s="156">
        <v>119.4</v>
      </c>
    </row>
    <row r="568" spans="1:17" x14ac:dyDescent="0.35">
      <c r="A568" s="167"/>
      <c r="B568" s="170"/>
      <c r="C568" s="151" t="s">
        <v>783</v>
      </c>
      <c r="D568" s="170"/>
      <c r="E568" s="155"/>
      <c r="F568" s="155"/>
      <c r="G568" s="155"/>
      <c r="H568" s="155"/>
      <c r="I568" s="155"/>
      <c r="J568" s="155"/>
      <c r="K568" s="155"/>
      <c r="L568" s="155"/>
      <c r="M568" s="155"/>
      <c r="N568" s="155"/>
      <c r="O568" s="155"/>
      <c r="P568" s="155"/>
      <c r="Q568" s="157"/>
    </row>
    <row r="569" spans="1:17" ht="15" thickBot="1" x14ac:dyDescent="0.4">
      <c r="A569" s="168"/>
      <c r="B569" s="171"/>
      <c r="C569" s="148" t="s">
        <v>1397</v>
      </c>
      <c r="D569" s="171"/>
      <c r="E569" s="158"/>
      <c r="F569" s="158"/>
      <c r="G569" s="158"/>
      <c r="H569" s="158"/>
      <c r="I569" s="158"/>
      <c r="J569" s="158"/>
      <c r="K569" s="158"/>
      <c r="L569" s="158"/>
      <c r="M569" s="158"/>
      <c r="N569" s="158"/>
      <c r="O569" s="158"/>
      <c r="P569" s="158"/>
      <c r="Q569" s="159"/>
    </row>
    <row r="570" spans="1:17" x14ac:dyDescent="0.35">
      <c r="A570" s="166"/>
      <c r="B570" s="169">
        <v>190</v>
      </c>
      <c r="C570" s="147"/>
      <c r="D570" s="169"/>
      <c r="E570" s="154">
        <v>0</v>
      </c>
      <c r="F570" s="154">
        <v>0</v>
      </c>
      <c r="G570" s="154">
        <v>0</v>
      </c>
      <c r="H570" s="154">
        <v>0</v>
      </c>
      <c r="I570" s="154">
        <v>0</v>
      </c>
      <c r="J570" s="154">
        <v>0</v>
      </c>
      <c r="K570" s="154">
        <v>0</v>
      </c>
      <c r="L570" s="154">
        <v>0</v>
      </c>
      <c r="M570" s="154">
        <v>0</v>
      </c>
      <c r="N570" s="154">
        <v>0</v>
      </c>
      <c r="O570" s="154">
        <v>0</v>
      </c>
      <c r="P570" s="154">
        <v>0</v>
      </c>
      <c r="Q570" s="156">
        <v>122.9</v>
      </c>
    </row>
    <row r="571" spans="1:17" x14ac:dyDescent="0.35">
      <c r="A571" s="167"/>
      <c r="B571" s="170"/>
      <c r="C571" s="151" t="s">
        <v>516</v>
      </c>
      <c r="D571" s="170"/>
      <c r="E571" s="155"/>
      <c r="F571" s="155"/>
      <c r="G571" s="155"/>
      <c r="H571" s="155"/>
      <c r="I571" s="155"/>
      <c r="J571" s="155"/>
      <c r="K571" s="155"/>
      <c r="L571" s="155"/>
      <c r="M571" s="155"/>
      <c r="N571" s="155"/>
      <c r="O571" s="155"/>
      <c r="P571" s="155"/>
      <c r="Q571" s="157"/>
    </row>
    <row r="572" spans="1:17" ht="15" thickBot="1" x14ac:dyDescent="0.4">
      <c r="A572" s="168"/>
      <c r="B572" s="171"/>
      <c r="C572" s="148" t="s">
        <v>1161</v>
      </c>
      <c r="D572" s="171"/>
      <c r="E572" s="158"/>
      <c r="F572" s="158"/>
      <c r="G572" s="158"/>
      <c r="H572" s="158"/>
      <c r="I572" s="158"/>
      <c r="J572" s="158"/>
      <c r="K572" s="158"/>
      <c r="L572" s="158"/>
      <c r="M572" s="158"/>
      <c r="N572" s="158"/>
      <c r="O572" s="158"/>
      <c r="P572" s="158"/>
      <c r="Q572" s="159"/>
    </row>
    <row r="573" spans="1:17" x14ac:dyDescent="0.35">
      <c r="A573" s="166"/>
      <c r="B573" s="169">
        <v>191</v>
      </c>
      <c r="C573" s="147"/>
      <c r="D573" s="169"/>
      <c r="E573" s="154">
        <v>0</v>
      </c>
      <c r="F573" s="154">
        <v>0</v>
      </c>
      <c r="G573" s="154">
        <v>0</v>
      </c>
      <c r="H573" s="154">
        <v>0</v>
      </c>
      <c r="I573" s="154">
        <v>0</v>
      </c>
      <c r="J573" s="154">
        <v>0</v>
      </c>
      <c r="K573" s="154">
        <v>0</v>
      </c>
      <c r="L573" s="154">
        <v>0</v>
      </c>
      <c r="M573" s="154">
        <v>0</v>
      </c>
      <c r="N573" s="154">
        <v>0</v>
      </c>
      <c r="O573" s="154">
        <v>0</v>
      </c>
      <c r="P573" s="154">
        <v>0</v>
      </c>
      <c r="Q573" s="156">
        <v>123.6</v>
      </c>
    </row>
    <row r="574" spans="1:17" x14ac:dyDescent="0.35">
      <c r="A574" s="167"/>
      <c r="B574" s="170"/>
      <c r="C574" s="151" t="s">
        <v>958</v>
      </c>
      <c r="D574" s="170"/>
      <c r="E574" s="155"/>
      <c r="F574" s="155"/>
      <c r="G574" s="155"/>
      <c r="H574" s="155"/>
      <c r="I574" s="155"/>
      <c r="J574" s="155"/>
      <c r="K574" s="155"/>
      <c r="L574" s="155"/>
      <c r="M574" s="155"/>
      <c r="N574" s="155"/>
      <c r="O574" s="155"/>
      <c r="P574" s="155"/>
      <c r="Q574" s="157"/>
    </row>
    <row r="575" spans="1:17" ht="15" thickBot="1" x14ac:dyDescent="0.4">
      <c r="A575" s="168"/>
      <c r="B575" s="171"/>
      <c r="C575" s="148" t="s">
        <v>1398</v>
      </c>
      <c r="D575" s="171"/>
      <c r="E575" s="158"/>
      <c r="F575" s="158"/>
      <c r="G575" s="158"/>
      <c r="H575" s="158"/>
      <c r="I575" s="158"/>
      <c r="J575" s="158"/>
      <c r="K575" s="158"/>
      <c r="L575" s="158"/>
      <c r="M575" s="158"/>
      <c r="N575" s="158"/>
      <c r="O575" s="158"/>
      <c r="P575" s="158"/>
      <c r="Q575" s="159"/>
    </row>
    <row r="576" spans="1:17" x14ac:dyDescent="0.35">
      <c r="A576" s="166"/>
      <c r="B576" s="169">
        <v>192</v>
      </c>
      <c r="C576" s="147"/>
      <c r="D576" s="169"/>
      <c r="E576" s="154">
        <v>0</v>
      </c>
      <c r="F576" s="154">
        <v>0</v>
      </c>
      <c r="G576" s="154">
        <v>0</v>
      </c>
      <c r="H576" s="154">
        <v>0</v>
      </c>
      <c r="I576" s="154">
        <v>0</v>
      </c>
      <c r="J576" s="154">
        <v>0</v>
      </c>
      <c r="K576" s="154">
        <v>0</v>
      </c>
      <c r="L576" s="154">
        <v>0</v>
      </c>
      <c r="M576" s="154">
        <v>0</v>
      </c>
      <c r="N576" s="154">
        <v>0</v>
      </c>
      <c r="O576" s="154">
        <v>0</v>
      </c>
      <c r="P576" s="154">
        <v>0</v>
      </c>
      <c r="Q576" s="156">
        <v>124.2</v>
      </c>
    </row>
    <row r="577" spans="1:17" x14ac:dyDescent="0.35">
      <c r="A577" s="167"/>
      <c r="B577" s="170"/>
      <c r="C577" s="151" t="s">
        <v>1544</v>
      </c>
      <c r="D577" s="170"/>
      <c r="E577" s="155"/>
      <c r="F577" s="155"/>
      <c r="G577" s="155"/>
      <c r="H577" s="155"/>
      <c r="I577" s="155"/>
      <c r="J577" s="155"/>
      <c r="K577" s="155"/>
      <c r="L577" s="155"/>
      <c r="M577" s="155"/>
      <c r="N577" s="155"/>
      <c r="O577" s="155"/>
      <c r="P577" s="155"/>
      <c r="Q577" s="157"/>
    </row>
    <row r="578" spans="1:17" ht="15" thickBot="1" x14ac:dyDescent="0.4">
      <c r="A578" s="168"/>
      <c r="B578" s="171"/>
      <c r="C578" s="148" t="s">
        <v>1144</v>
      </c>
      <c r="D578" s="171"/>
      <c r="E578" s="158"/>
      <c r="F578" s="158"/>
      <c r="G578" s="158"/>
      <c r="H578" s="158"/>
      <c r="I578" s="158"/>
      <c r="J578" s="158"/>
      <c r="K578" s="158"/>
      <c r="L578" s="158"/>
      <c r="M578" s="158"/>
      <c r="N578" s="158"/>
      <c r="O578" s="158"/>
      <c r="P578" s="158"/>
      <c r="Q578" s="159"/>
    </row>
    <row r="579" spans="1:17" x14ac:dyDescent="0.35">
      <c r="A579" s="166"/>
      <c r="B579" s="169">
        <v>193</v>
      </c>
      <c r="C579" s="147"/>
      <c r="D579" s="169"/>
      <c r="E579" s="154">
        <v>0</v>
      </c>
      <c r="F579" s="154">
        <v>0</v>
      </c>
      <c r="G579" s="154">
        <v>0</v>
      </c>
      <c r="H579" s="154">
        <v>0</v>
      </c>
      <c r="I579" s="154">
        <v>0</v>
      </c>
      <c r="J579" s="154">
        <v>0</v>
      </c>
      <c r="K579" s="154">
        <v>0</v>
      </c>
      <c r="L579" s="154">
        <v>0</v>
      </c>
      <c r="M579" s="154">
        <v>0</v>
      </c>
      <c r="N579" s="154">
        <v>0</v>
      </c>
      <c r="O579" s="154">
        <v>0</v>
      </c>
      <c r="P579" s="154">
        <v>0</v>
      </c>
      <c r="Q579" s="156">
        <v>118.8</v>
      </c>
    </row>
    <row r="580" spans="1:17" x14ac:dyDescent="0.35">
      <c r="A580" s="167"/>
      <c r="B580" s="170"/>
      <c r="C580" s="151" t="s">
        <v>518</v>
      </c>
      <c r="D580" s="170"/>
      <c r="E580" s="155"/>
      <c r="F580" s="155"/>
      <c r="G580" s="155"/>
      <c r="H580" s="155"/>
      <c r="I580" s="155"/>
      <c r="J580" s="155"/>
      <c r="K580" s="155"/>
      <c r="L580" s="155"/>
      <c r="M580" s="155"/>
      <c r="N580" s="155"/>
      <c r="O580" s="155"/>
      <c r="P580" s="155"/>
      <c r="Q580" s="157"/>
    </row>
    <row r="581" spans="1:17" ht="15" thickBot="1" x14ac:dyDescent="0.4">
      <c r="A581" s="168"/>
      <c r="B581" s="171"/>
      <c r="C581" s="148" t="s">
        <v>1141</v>
      </c>
      <c r="D581" s="171"/>
      <c r="E581" s="158"/>
      <c r="F581" s="158"/>
      <c r="G581" s="158"/>
      <c r="H581" s="158"/>
      <c r="I581" s="158"/>
      <c r="J581" s="158"/>
      <c r="K581" s="158"/>
      <c r="L581" s="158"/>
      <c r="M581" s="158"/>
      <c r="N581" s="158"/>
      <c r="O581" s="158"/>
      <c r="P581" s="158"/>
      <c r="Q581" s="159"/>
    </row>
    <row r="582" spans="1:17" x14ac:dyDescent="0.35">
      <c r="A582" s="166"/>
      <c r="B582" s="169">
        <v>194</v>
      </c>
      <c r="C582" s="147"/>
      <c r="D582" s="169"/>
      <c r="E582" s="154">
        <v>0</v>
      </c>
      <c r="F582" s="154">
        <v>0</v>
      </c>
      <c r="G582" s="154">
        <v>0</v>
      </c>
      <c r="H582" s="154">
        <v>0</v>
      </c>
      <c r="I582" s="154">
        <v>0</v>
      </c>
      <c r="J582" s="154">
        <v>46</v>
      </c>
      <c r="K582" s="154">
        <v>483</v>
      </c>
      <c r="L582" s="154">
        <v>3</v>
      </c>
      <c r="M582" s="154">
        <v>0</v>
      </c>
      <c r="N582" s="154">
        <v>0</v>
      </c>
      <c r="O582" s="154">
        <v>0</v>
      </c>
      <c r="P582" s="154">
        <v>0</v>
      </c>
      <c r="Q582" s="156">
        <v>88.4</v>
      </c>
    </row>
    <row r="583" spans="1:17" x14ac:dyDescent="0.35">
      <c r="A583" s="167"/>
      <c r="B583" s="170"/>
      <c r="C583" s="151" t="s">
        <v>609</v>
      </c>
      <c r="D583" s="170"/>
      <c r="E583" s="155"/>
      <c r="F583" s="155"/>
      <c r="G583" s="155"/>
      <c r="H583" s="155"/>
      <c r="I583" s="155"/>
      <c r="J583" s="155"/>
      <c r="K583" s="155"/>
      <c r="L583" s="155"/>
      <c r="M583" s="155"/>
      <c r="N583" s="155"/>
      <c r="O583" s="155"/>
      <c r="P583" s="155"/>
      <c r="Q583" s="157"/>
    </row>
    <row r="584" spans="1:17" ht="15" thickBot="1" x14ac:dyDescent="0.4">
      <c r="A584" s="168"/>
      <c r="B584" s="171"/>
      <c r="C584" s="148" t="s">
        <v>1155</v>
      </c>
      <c r="D584" s="171"/>
      <c r="E584" s="158"/>
      <c r="F584" s="158"/>
      <c r="G584" s="158"/>
      <c r="H584" s="158"/>
      <c r="I584" s="158"/>
      <c r="J584" s="158"/>
      <c r="K584" s="158"/>
      <c r="L584" s="158"/>
      <c r="M584" s="158"/>
      <c r="N584" s="158"/>
      <c r="O584" s="158"/>
      <c r="P584" s="158"/>
      <c r="Q584" s="159"/>
    </row>
    <row r="585" spans="1:17" x14ac:dyDescent="0.35">
      <c r="A585" s="166"/>
      <c r="B585" s="169">
        <v>195</v>
      </c>
      <c r="C585" s="147"/>
      <c r="D585" s="169"/>
      <c r="E585" s="154">
        <v>0</v>
      </c>
      <c r="F585" s="154">
        <v>0</v>
      </c>
      <c r="G585" s="154">
        <v>0</v>
      </c>
      <c r="H585" s="154">
        <v>0</v>
      </c>
      <c r="I585" s="154">
        <v>0</v>
      </c>
      <c r="J585" s="154">
        <v>53</v>
      </c>
      <c r="K585" s="154">
        <v>590</v>
      </c>
      <c r="L585" s="154">
        <v>3</v>
      </c>
      <c r="M585" s="154">
        <v>0</v>
      </c>
      <c r="N585" s="154">
        <v>0</v>
      </c>
      <c r="O585" s="154">
        <v>0</v>
      </c>
      <c r="P585" s="154">
        <v>0</v>
      </c>
      <c r="Q585" s="156">
        <v>108.1</v>
      </c>
    </row>
    <row r="586" spans="1:17" x14ac:dyDescent="0.35">
      <c r="A586" s="167"/>
      <c r="B586" s="170"/>
      <c r="C586" s="151" t="s">
        <v>1409</v>
      </c>
      <c r="D586" s="170"/>
      <c r="E586" s="155"/>
      <c r="F586" s="155"/>
      <c r="G586" s="155"/>
      <c r="H586" s="155"/>
      <c r="I586" s="155"/>
      <c r="J586" s="155"/>
      <c r="K586" s="155"/>
      <c r="L586" s="155"/>
      <c r="M586" s="155"/>
      <c r="N586" s="155"/>
      <c r="O586" s="155"/>
      <c r="P586" s="155"/>
      <c r="Q586" s="157"/>
    </row>
    <row r="587" spans="1:17" ht="15" thickBot="1" x14ac:dyDescent="0.4">
      <c r="A587" s="168"/>
      <c r="B587" s="171"/>
      <c r="C587" s="148" t="s">
        <v>1153</v>
      </c>
      <c r="D587" s="171"/>
      <c r="E587" s="158"/>
      <c r="F587" s="158"/>
      <c r="G587" s="158"/>
      <c r="H587" s="158"/>
      <c r="I587" s="158"/>
      <c r="J587" s="158"/>
      <c r="K587" s="158"/>
      <c r="L587" s="158"/>
      <c r="M587" s="158"/>
      <c r="N587" s="158"/>
      <c r="O587" s="158"/>
      <c r="P587" s="158"/>
      <c r="Q587" s="159"/>
    </row>
    <row r="588" spans="1:17" x14ac:dyDescent="0.35">
      <c r="A588" s="166"/>
      <c r="B588" s="169">
        <v>196</v>
      </c>
      <c r="C588" s="147"/>
      <c r="D588" s="169"/>
      <c r="E588" s="154">
        <v>0</v>
      </c>
      <c r="F588" s="154">
        <v>0</v>
      </c>
      <c r="G588" s="154">
        <v>0</v>
      </c>
      <c r="H588" s="154">
        <v>0</v>
      </c>
      <c r="I588" s="154">
        <v>0</v>
      </c>
      <c r="J588" s="154">
        <v>35</v>
      </c>
      <c r="K588" s="154">
        <v>457</v>
      </c>
      <c r="L588" s="154">
        <v>4</v>
      </c>
      <c r="M588" s="154">
        <v>0</v>
      </c>
      <c r="N588" s="154">
        <v>0</v>
      </c>
      <c r="O588" s="154">
        <v>0</v>
      </c>
      <c r="P588" s="154">
        <v>0</v>
      </c>
      <c r="Q588" s="156">
        <v>86.7</v>
      </c>
    </row>
    <row r="589" spans="1:17" x14ac:dyDescent="0.35">
      <c r="A589" s="167"/>
      <c r="B589" s="170"/>
      <c r="C589" s="151" t="s">
        <v>1273</v>
      </c>
      <c r="D589" s="170"/>
      <c r="E589" s="155"/>
      <c r="F589" s="155"/>
      <c r="G589" s="155"/>
      <c r="H589" s="155"/>
      <c r="I589" s="155"/>
      <c r="J589" s="155"/>
      <c r="K589" s="155"/>
      <c r="L589" s="155"/>
      <c r="M589" s="155"/>
      <c r="N589" s="155"/>
      <c r="O589" s="155"/>
      <c r="P589" s="155"/>
      <c r="Q589" s="157"/>
    </row>
    <row r="590" spans="1:17" ht="15" thickBot="1" x14ac:dyDescent="0.4">
      <c r="A590" s="168"/>
      <c r="B590" s="171"/>
      <c r="C590" s="148" t="s">
        <v>1031</v>
      </c>
      <c r="D590" s="171"/>
      <c r="E590" s="158"/>
      <c r="F590" s="158"/>
      <c r="G590" s="158"/>
      <c r="H590" s="158"/>
      <c r="I590" s="158"/>
      <c r="J590" s="158"/>
      <c r="K590" s="158"/>
      <c r="L590" s="158"/>
      <c r="M590" s="158"/>
      <c r="N590" s="158"/>
      <c r="O590" s="158"/>
      <c r="P590" s="158"/>
      <c r="Q590" s="159"/>
    </row>
    <row r="591" spans="1:17" x14ac:dyDescent="0.35">
      <c r="A591" s="166"/>
      <c r="B591" s="169">
        <v>197</v>
      </c>
      <c r="C591" s="147"/>
      <c r="D591" s="169"/>
      <c r="E591" s="154">
        <v>0</v>
      </c>
      <c r="F591" s="154">
        <v>0</v>
      </c>
      <c r="G591" s="154">
        <v>0</v>
      </c>
      <c r="H591" s="154">
        <v>0</v>
      </c>
      <c r="I591" s="154">
        <v>0</v>
      </c>
      <c r="J591" s="154">
        <v>32</v>
      </c>
      <c r="K591" s="154">
        <v>420</v>
      </c>
      <c r="L591" s="154">
        <v>2</v>
      </c>
      <c r="M591" s="154">
        <v>0</v>
      </c>
      <c r="N591" s="154">
        <v>0</v>
      </c>
      <c r="O591" s="154">
        <v>0</v>
      </c>
      <c r="P591" s="154">
        <v>0</v>
      </c>
      <c r="Q591" s="156">
        <v>71</v>
      </c>
    </row>
    <row r="592" spans="1:17" x14ac:dyDescent="0.35">
      <c r="A592" s="167"/>
      <c r="B592" s="170"/>
      <c r="C592" s="151" t="s">
        <v>1325</v>
      </c>
      <c r="D592" s="170"/>
      <c r="E592" s="155"/>
      <c r="F592" s="155"/>
      <c r="G592" s="155"/>
      <c r="H592" s="155"/>
      <c r="I592" s="155"/>
      <c r="J592" s="155"/>
      <c r="K592" s="155"/>
      <c r="L592" s="155"/>
      <c r="M592" s="155"/>
      <c r="N592" s="155"/>
      <c r="O592" s="155"/>
      <c r="P592" s="155"/>
      <c r="Q592" s="157"/>
    </row>
    <row r="593" spans="1:17" ht="15" thickBot="1" x14ac:dyDescent="0.4">
      <c r="A593" s="168"/>
      <c r="B593" s="171"/>
      <c r="C593" s="148" t="s">
        <v>1054</v>
      </c>
      <c r="D593" s="171"/>
      <c r="E593" s="158"/>
      <c r="F593" s="158"/>
      <c r="G593" s="158"/>
      <c r="H593" s="158"/>
      <c r="I593" s="158"/>
      <c r="J593" s="158"/>
      <c r="K593" s="158"/>
      <c r="L593" s="158"/>
      <c r="M593" s="158"/>
      <c r="N593" s="158"/>
      <c r="O593" s="158"/>
      <c r="P593" s="158"/>
      <c r="Q593" s="159"/>
    </row>
    <row r="594" spans="1:17" x14ac:dyDescent="0.35">
      <c r="A594" s="166"/>
      <c r="B594" s="169">
        <v>198</v>
      </c>
      <c r="C594" s="147"/>
      <c r="D594" s="169"/>
      <c r="E594" s="154">
        <v>0</v>
      </c>
      <c r="F594" s="154">
        <v>0</v>
      </c>
      <c r="G594" s="154">
        <v>0</v>
      </c>
      <c r="H594" s="154">
        <v>77</v>
      </c>
      <c r="I594" s="154">
        <v>0</v>
      </c>
      <c r="J594" s="154">
        <v>37</v>
      </c>
      <c r="K594" s="154">
        <v>429</v>
      </c>
      <c r="L594" s="154">
        <v>2</v>
      </c>
      <c r="M594" s="154">
        <v>0</v>
      </c>
      <c r="N594" s="154">
        <v>0</v>
      </c>
      <c r="O594" s="154">
        <v>0</v>
      </c>
      <c r="P594" s="154">
        <v>0</v>
      </c>
      <c r="Q594" s="156">
        <v>82.9</v>
      </c>
    </row>
    <row r="595" spans="1:17" x14ac:dyDescent="0.35">
      <c r="A595" s="167"/>
      <c r="B595" s="170"/>
      <c r="C595" s="151" t="s">
        <v>1249</v>
      </c>
      <c r="D595" s="170"/>
      <c r="E595" s="155"/>
      <c r="F595" s="155"/>
      <c r="G595" s="155"/>
      <c r="H595" s="155"/>
      <c r="I595" s="155"/>
      <c r="J595" s="155"/>
      <c r="K595" s="155"/>
      <c r="L595" s="155"/>
      <c r="M595" s="155"/>
      <c r="N595" s="155"/>
      <c r="O595" s="155"/>
      <c r="P595" s="155"/>
      <c r="Q595" s="157"/>
    </row>
    <row r="596" spans="1:17" ht="15" thickBot="1" x14ac:dyDescent="0.4">
      <c r="A596" s="168"/>
      <c r="B596" s="171"/>
      <c r="C596" s="148" t="s">
        <v>1080</v>
      </c>
      <c r="D596" s="171"/>
      <c r="E596" s="158"/>
      <c r="F596" s="158"/>
      <c r="G596" s="158"/>
      <c r="H596" s="158"/>
      <c r="I596" s="158"/>
      <c r="J596" s="158"/>
      <c r="K596" s="158"/>
      <c r="L596" s="158"/>
      <c r="M596" s="158"/>
      <c r="N596" s="158"/>
      <c r="O596" s="158"/>
      <c r="P596" s="158"/>
      <c r="Q596" s="159"/>
    </row>
    <row r="597" spans="1:17" x14ac:dyDescent="0.35">
      <c r="A597" s="166"/>
      <c r="B597" s="169">
        <v>199</v>
      </c>
      <c r="C597" s="147"/>
      <c r="D597" s="169"/>
      <c r="E597" s="154">
        <v>0</v>
      </c>
      <c r="F597" s="154">
        <v>0</v>
      </c>
      <c r="G597" s="154">
        <v>0</v>
      </c>
      <c r="H597" s="154">
        <v>0</v>
      </c>
      <c r="I597" s="154">
        <v>0</v>
      </c>
      <c r="J597" s="154">
        <v>32</v>
      </c>
      <c r="K597" s="154">
        <v>487</v>
      </c>
      <c r="L597" s="154">
        <v>3</v>
      </c>
      <c r="M597" s="154">
        <v>0</v>
      </c>
      <c r="N597" s="154">
        <v>0</v>
      </c>
      <c r="O597" s="154">
        <v>0</v>
      </c>
      <c r="P597" s="154">
        <v>0</v>
      </c>
      <c r="Q597" s="156">
        <v>81.099999999999994</v>
      </c>
    </row>
    <row r="598" spans="1:17" x14ac:dyDescent="0.35">
      <c r="A598" s="167"/>
      <c r="B598" s="170"/>
      <c r="C598" s="151" t="s">
        <v>312</v>
      </c>
      <c r="D598" s="170"/>
      <c r="E598" s="155"/>
      <c r="F598" s="155"/>
      <c r="G598" s="155"/>
      <c r="H598" s="155"/>
      <c r="I598" s="155"/>
      <c r="J598" s="155"/>
      <c r="K598" s="155"/>
      <c r="L598" s="155"/>
      <c r="M598" s="155"/>
      <c r="N598" s="155"/>
      <c r="O598" s="155"/>
      <c r="P598" s="155"/>
      <c r="Q598" s="157"/>
    </row>
    <row r="599" spans="1:17" ht="15" thickBot="1" x14ac:dyDescent="0.4">
      <c r="A599" s="168"/>
      <c r="B599" s="171"/>
      <c r="C599" s="148" t="s">
        <v>1031</v>
      </c>
      <c r="D599" s="171"/>
      <c r="E599" s="158"/>
      <c r="F599" s="158"/>
      <c r="G599" s="158"/>
      <c r="H599" s="158"/>
      <c r="I599" s="158"/>
      <c r="J599" s="158"/>
      <c r="K599" s="158"/>
      <c r="L599" s="158"/>
      <c r="M599" s="158"/>
      <c r="N599" s="158"/>
      <c r="O599" s="158"/>
      <c r="P599" s="158"/>
      <c r="Q599" s="159"/>
    </row>
    <row r="600" spans="1:17" x14ac:dyDescent="0.35">
      <c r="A600" s="166"/>
      <c r="B600" s="169">
        <v>200</v>
      </c>
      <c r="C600" s="147"/>
      <c r="D600" s="169"/>
      <c r="E600" s="154">
        <v>0</v>
      </c>
      <c r="F600" s="154">
        <v>0</v>
      </c>
      <c r="G600" s="154">
        <v>0</v>
      </c>
      <c r="H600" s="154">
        <v>291</v>
      </c>
      <c r="I600" s="154">
        <v>2</v>
      </c>
      <c r="J600" s="154">
        <v>7</v>
      </c>
      <c r="K600" s="154">
        <v>48</v>
      </c>
      <c r="L600" s="154">
        <v>0</v>
      </c>
      <c r="M600" s="154">
        <v>0</v>
      </c>
      <c r="N600" s="154">
        <v>0</v>
      </c>
      <c r="O600" s="154">
        <v>0</v>
      </c>
      <c r="P600" s="154">
        <v>0</v>
      </c>
      <c r="Q600" s="156">
        <v>50.1</v>
      </c>
    </row>
    <row r="601" spans="1:17" x14ac:dyDescent="0.35">
      <c r="A601" s="167"/>
      <c r="B601" s="170"/>
      <c r="C601" s="151" t="s">
        <v>324</v>
      </c>
      <c r="D601" s="170"/>
      <c r="E601" s="155"/>
      <c r="F601" s="155"/>
      <c r="G601" s="155"/>
      <c r="H601" s="155"/>
      <c r="I601" s="155"/>
      <c r="J601" s="155"/>
      <c r="K601" s="155"/>
      <c r="L601" s="155"/>
      <c r="M601" s="155"/>
      <c r="N601" s="155"/>
      <c r="O601" s="155"/>
      <c r="P601" s="155"/>
      <c r="Q601" s="157"/>
    </row>
    <row r="602" spans="1:17" ht="15" thickBot="1" x14ac:dyDescent="0.4">
      <c r="A602" s="168"/>
      <c r="B602" s="171"/>
      <c r="C602" s="148" t="s">
        <v>1049</v>
      </c>
      <c r="D602" s="171"/>
      <c r="E602" s="158"/>
      <c r="F602" s="158"/>
      <c r="G602" s="158"/>
      <c r="H602" s="158"/>
      <c r="I602" s="158"/>
      <c r="J602" s="158"/>
      <c r="K602" s="158"/>
      <c r="L602" s="158"/>
      <c r="M602" s="158"/>
      <c r="N602" s="158"/>
      <c r="O602" s="158"/>
      <c r="P602" s="158"/>
      <c r="Q602" s="159"/>
    </row>
    <row r="603" spans="1:17" x14ac:dyDescent="0.35">
      <c r="A603" s="166"/>
      <c r="B603" s="169">
        <v>201</v>
      </c>
      <c r="C603" s="147"/>
      <c r="D603" s="169"/>
      <c r="E603" s="154">
        <v>0</v>
      </c>
      <c r="F603" s="154">
        <v>0</v>
      </c>
      <c r="G603" s="154">
        <v>0</v>
      </c>
      <c r="H603" s="154">
        <v>263</v>
      </c>
      <c r="I603" s="154">
        <v>3</v>
      </c>
      <c r="J603" s="154">
        <v>22</v>
      </c>
      <c r="K603" s="154">
        <v>182</v>
      </c>
      <c r="L603" s="154">
        <v>1</v>
      </c>
      <c r="M603" s="154">
        <v>0</v>
      </c>
      <c r="N603" s="154">
        <v>0</v>
      </c>
      <c r="O603" s="154">
        <v>0</v>
      </c>
      <c r="P603" s="154">
        <v>0</v>
      </c>
      <c r="Q603" s="156">
        <v>80.2</v>
      </c>
    </row>
    <row r="604" spans="1:17" x14ac:dyDescent="0.35">
      <c r="A604" s="167"/>
      <c r="B604" s="170"/>
      <c r="C604" s="151" t="s">
        <v>798</v>
      </c>
      <c r="D604" s="170"/>
      <c r="E604" s="155"/>
      <c r="F604" s="155"/>
      <c r="G604" s="155"/>
      <c r="H604" s="155"/>
      <c r="I604" s="155"/>
      <c r="J604" s="155"/>
      <c r="K604" s="155"/>
      <c r="L604" s="155"/>
      <c r="M604" s="155"/>
      <c r="N604" s="155"/>
      <c r="O604" s="155"/>
      <c r="P604" s="155"/>
      <c r="Q604" s="157"/>
    </row>
    <row r="605" spans="1:17" ht="15" thickBot="1" x14ac:dyDescent="0.4">
      <c r="A605" s="168"/>
      <c r="B605" s="171"/>
      <c r="C605" s="148" t="s">
        <v>1057</v>
      </c>
      <c r="D605" s="171"/>
      <c r="E605" s="158"/>
      <c r="F605" s="158"/>
      <c r="G605" s="158"/>
      <c r="H605" s="158"/>
      <c r="I605" s="158"/>
      <c r="J605" s="158"/>
      <c r="K605" s="158"/>
      <c r="L605" s="158"/>
      <c r="M605" s="158"/>
      <c r="N605" s="158"/>
      <c r="O605" s="158"/>
      <c r="P605" s="158"/>
      <c r="Q605" s="159"/>
    </row>
    <row r="606" spans="1:17" x14ac:dyDescent="0.35">
      <c r="A606" s="166"/>
      <c r="B606" s="169">
        <v>202</v>
      </c>
      <c r="C606" s="147"/>
      <c r="D606" s="169"/>
      <c r="E606" s="154">
        <v>0</v>
      </c>
      <c r="F606" s="154">
        <v>0</v>
      </c>
      <c r="G606" s="154">
        <v>0</v>
      </c>
      <c r="H606" s="154">
        <v>324</v>
      </c>
      <c r="I606" s="154">
        <v>2</v>
      </c>
      <c r="J606" s="154">
        <v>12</v>
      </c>
      <c r="K606" s="154">
        <v>92</v>
      </c>
      <c r="L606" s="154">
        <v>0</v>
      </c>
      <c r="M606" s="154">
        <v>0</v>
      </c>
      <c r="N606" s="154">
        <v>0</v>
      </c>
      <c r="O606" s="154">
        <v>0</v>
      </c>
      <c r="P606" s="154">
        <v>0</v>
      </c>
      <c r="Q606" s="156">
        <v>62.1</v>
      </c>
    </row>
    <row r="607" spans="1:17" x14ac:dyDescent="0.35">
      <c r="A607" s="167"/>
      <c r="B607" s="170"/>
      <c r="C607" s="151" t="s">
        <v>678</v>
      </c>
      <c r="D607" s="170"/>
      <c r="E607" s="155"/>
      <c r="F607" s="155"/>
      <c r="G607" s="155"/>
      <c r="H607" s="155"/>
      <c r="I607" s="155"/>
      <c r="J607" s="155"/>
      <c r="K607" s="155"/>
      <c r="L607" s="155"/>
      <c r="M607" s="155"/>
      <c r="N607" s="155"/>
      <c r="O607" s="155"/>
      <c r="P607" s="155"/>
      <c r="Q607" s="157"/>
    </row>
    <row r="608" spans="1:17" ht="15" thickBot="1" x14ac:dyDescent="0.4">
      <c r="A608" s="168"/>
      <c r="B608" s="171"/>
      <c r="C608" s="148" t="s">
        <v>1069</v>
      </c>
      <c r="D608" s="171"/>
      <c r="E608" s="158"/>
      <c r="F608" s="158"/>
      <c r="G608" s="158"/>
      <c r="H608" s="158"/>
      <c r="I608" s="158"/>
      <c r="J608" s="158"/>
      <c r="K608" s="158"/>
      <c r="L608" s="158"/>
      <c r="M608" s="158"/>
      <c r="N608" s="158"/>
      <c r="O608" s="158"/>
      <c r="P608" s="158"/>
      <c r="Q608" s="159"/>
    </row>
    <row r="609" spans="1:17" x14ac:dyDescent="0.35">
      <c r="A609" s="166"/>
      <c r="B609" s="169">
        <v>203</v>
      </c>
      <c r="C609" s="147"/>
      <c r="D609" s="169"/>
      <c r="E609" s="154">
        <v>0</v>
      </c>
      <c r="F609" s="154">
        <v>0</v>
      </c>
      <c r="G609" s="154">
        <v>0</v>
      </c>
      <c r="H609" s="154">
        <v>202</v>
      </c>
      <c r="I609" s="154">
        <v>2</v>
      </c>
      <c r="J609" s="154">
        <v>7</v>
      </c>
      <c r="K609" s="154">
        <v>59</v>
      </c>
      <c r="L609" s="154">
        <v>0</v>
      </c>
      <c r="M609" s="154">
        <v>0</v>
      </c>
      <c r="N609" s="154">
        <v>0</v>
      </c>
      <c r="O609" s="154">
        <v>0</v>
      </c>
      <c r="P609" s="154">
        <v>0</v>
      </c>
      <c r="Q609" s="156">
        <v>43.2</v>
      </c>
    </row>
    <row r="610" spans="1:17" x14ac:dyDescent="0.35">
      <c r="A610" s="167"/>
      <c r="B610" s="170"/>
      <c r="C610" s="151" t="s">
        <v>489</v>
      </c>
      <c r="D610" s="170"/>
      <c r="E610" s="155"/>
      <c r="F610" s="155"/>
      <c r="G610" s="155"/>
      <c r="H610" s="155"/>
      <c r="I610" s="155"/>
      <c r="J610" s="155"/>
      <c r="K610" s="155"/>
      <c r="L610" s="155"/>
      <c r="M610" s="155"/>
      <c r="N610" s="155"/>
      <c r="O610" s="155"/>
      <c r="P610" s="155"/>
      <c r="Q610" s="157"/>
    </row>
    <row r="611" spans="1:17" ht="15" thickBot="1" x14ac:dyDescent="0.4">
      <c r="A611" s="168"/>
      <c r="B611" s="171"/>
      <c r="C611" s="148" t="s">
        <v>1032</v>
      </c>
      <c r="D611" s="171"/>
      <c r="E611" s="158"/>
      <c r="F611" s="158"/>
      <c r="G611" s="158"/>
      <c r="H611" s="158"/>
      <c r="I611" s="158"/>
      <c r="J611" s="158"/>
      <c r="K611" s="158"/>
      <c r="L611" s="158"/>
      <c r="M611" s="158"/>
      <c r="N611" s="158"/>
      <c r="O611" s="158"/>
      <c r="P611" s="158"/>
      <c r="Q611" s="159"/>
    </row>
    <row r="612" spans="1:17" x14ac:dyDescent="0.35">
      <c r="A612" s="166"/>
      <c r="B612" s="169">
        <v>204</v>
      </c>
      <c r="C612" s="147"/>
      <c r="D612" s="169"/>
      <c r="E612" s="154">
        <v>0</v>
      </c>
      <c r="F612" s="154">
        <v>0</v>
      </c>
      <c r="G612" s="154">
        <v>0</v>
      </c>
      <c r="H612" s="154">
        <v>330</v>
      </c>
      <c r="I612" s="154">
        <v>2</v>
      </c>
      <c r="J612" s="154">
        <v>30</v>
      </c>
      <c r="K612" s="154">
        <v>224</v>
      </c>
      <c r="L612" s="154">
        <v>2</v>
      </c>
      <c r="M612" s="154">
        <v>0</v>
      </c>
      <c r="N612" s="154">
        <v>0</v>
      </c>
      <c r="O612" s="154">
        <v>0</v>
      </c>
      <c r="P612" s="154">
        <v>0</v>
      </c>
      <c r="Q612" s="156">
        <v>89.8</v>
      </c>
    </row>
    <row r="613" spans="1:17" x14ac:dyDescent="0.35">
      <c r="A613" s="167"/>
      <c r="B613" s="170"/>
      <c r="C613" s="151" t="s">
        <v>353</v>
      </c>
      <c r="D613" s="170"/>
      <c r="E613" s="155"/>
      <c r="F613" s="155"/>
      <c r="G613" s="155"/>
      <c r="H613" s="155"/>
      <c r="I613" s="155"/>
      <c r="J613" s="155"/>
      <c r="K613" s="155"/>
      <c r="L613" s="155"/>
      <c r="M613" s="155"/>
      <c r="N613" s="155"/>
      <c r="O613" s="155"/>
      <c r="P613" s="155"/>
      <c r="Q613" s="157"/>
    </row>
    <row r="614" spans="1:17" ht="15" thickBot="1" x14ac:dyDescent="0.4">
      <c r="A614" s="168"/>
      <c r="B614" s="171"/>
      <c r="C614" s="148" t="s">
        <v>1051</v>
      </c>
      <c r="D614" s="171"/>
      <c r="E614" s="158"/>
      <c r="F614" s="158"/>
      <c r="G614" s="158"/>
      <c r="H614" s="158"/>
      <c r="I614" s="158"/>
      <c r="J614" s="158"/>
      <c r="K614" s="158"/>
      <c r="L614" s="158"/>
      <c r="M614" s="158"/>
      <c r="N614" s="158"/>
      <c r="O614" s="158"/>
      <c r="P614" s="158"/>
      <c r="Q614" s="159"/>
    </row>
    <row r="615" spans="1:17" x14ac:dyDescent="0.35">
      <c r="A615" s="166"/>
      <c r="B615" s="169">
        <v>205</v>
      </c>
      <c r="C615" s="147"/>
      <c r="D615" s="169"/>
      <c r="E615" s="154">
        <v>0</v>
      </c>
      <c r="F615" s="154">
        <v>0</v>
      </c>
      <c r="G615" s="154">
        <v>0</v>
      </c>
      <c r="H615" s="154">
        <v>16</v>
      </c>
      <c r="I615" s="154">
        <v>0</v>
      </c>
      <c r="J615" s="154">
        <v>8</v>
      </c>
      <c r="K615" s="154">
        <v>76</v>
      </c>
      <c r="L615" s="154">
        <v>0</v>
      </c>
      <c r="M615" s="154">
        <v>0</v>
      </c>
      <c r="N615" s="154">
        <v>0</v>
      </c>
      <c r="O615" s="154">
        <v>0</v>
      </c>
      <c r="P615" s="154">
        <v>0</v>
      </c>
      <c r="Q615" s="156">
        <v>15.5</v>
      </c>
    </row>
    <row r="616" spans="1:17" x14ac:dyDescent="0.35">
      <c r="A616" s="167"/>
      <c r="B616" s="170"/>
      <c r="C616" s="151" t="s">
        <v>1326</v>
      </c>
      <c r="D616" s="170"/>
      <c r="E616" s="155"/>
      <c r="F616" s="155"/>
      <c r="G616" s="155"/>
      <c r="H616" s="155"/>
      <c r="I616" s="155"/>
      <c r="J616" s="155"/>
      <c r="K616" s="155"/>
      <c r="L616" s="155"/>
      <c r="M616" s="155"/>
      <c r="N616" s="155"/>
      <c r="O616" s="155"/>
      <c r="P616" s="155"/>
      <c r="Q616" s="157"/>
    </row>
    <row r="617" spans="1:17" ht="15" thickBot="1" x14ac:dyDescent="0.4">
      <c r="A617" s="168"/>
      <c r="B617" s="171"/>
      <c r="C617" s="148" t="s">
        <v>1066</v>
      </c>
      <c r="D617" s="171"/>
      <c r="E617" s="158"/>
      <c r="F617" s="158"/>
      <c r="G617" s="158"/>
      <c r="H617" s="158"/>
      <c r="I617" s="158"/>
      <c r="J617" s="158"/>
      <c r="K617" s="158"/>
      <c r="L617" s="158"/>
      <c r="M617" s="158"/>
      <c r="N617" s="158"/>
      <c r="O617" s="158"/>
      <c r="P617" s="158"/>
      <c r="Q617" s="159"/>
    </row>
    <row r="618" spans="1:17" x14ac:dyDescent="0.35">
      <c r="A618" s="166"/>
      <c r="B618" s="169">
        <v>206</v>
      </c>
      <c r="C618" s="147"/>
      <c r="D618" s="169"/>
      <c r="E618" s="154">
        <v>0</v>
      </c>
      <c r="F618" s="154">
        <v>0</v>
      </c>
      <c r="G618" s="154">
        <v>0</v>
      </c>
      <c r="H618" s="154">
        <v>255</v>
      </c>
      <c r="I618" s="154">
        <v>1</v>
      </c>
      <c r="J618" s="154">
        <v>16</v>
      </c>
      <c r="K618" s="154">
        <v>131</v>
      </c>
      <c r="L618" s="154">
        <v>1</v>
      </c>
      <c r="M618" s="154">
        <v>0</v>
      </c>
      <c r="N618" s="154">
        <v>0</v>
      </c>
      <c r="O618" s="154">
        <v>0</v>
      </c>
      <c r="P618" s="154">
        <v>0</v>
      </c>
      <c r="Q618" s="156">
        <v>59.3</v>
      </c>
    </row>
    <row r="619" spans="1:17" x14ac:dyDescent="0.35">
      <c r="A619" s="167"/>
      <c r="B619" s="170"/>
      <c r="C619" s="151" t="s">
        <v>785</v>
      </c>
      <c r="D619" s="170"/>
      <c r="E619" s="155"/>
      <c r="F619" s="155"/>
      <c r="G619" s="155"/>
      <c r="H619" s="155"/>
      <c r="I619" s="155"/>
      <c r="J619" s="155"/>
      <c r="K619" s="155"/>
      <c r="L619" s="155"/>
      <c r="M619" s="155"/>
      <c r="N619" s="155"/>
      <c r="O619" s="155"/>
      <c r="P619" s="155"/>
      <c r="Q619" s="157"/>
    </row>
    <row r="620" spans="1:17" ht="15" thickBot="1" x14ac:dyDescent="0.4">
      <c r="A620" s="168"/>
      <c r="B620" s="171"/>
      <c r="C620" s="148" t="s">
        <v>1042</v>
      </c>
      <c r="D620" s="171"/>
      <c r="E620" s="158"/>
      <c r="F620" s="158"/>
      <c r="G620" s="158"/>
      <c r="H620" s="158"/>
      <c r="I620" s="158"/>
      <c r="J620" s="158"/>
      <c r="K620" s="158"/>
      <c r="L620" s="158"/>
      <c r="M620" s="158"/>
      <c r="N620" s="158"/>
      <c r="O620" s="158"/>
      <c r="P620" s="158"/>
      <c r="Q620" s="159"/>
    </row>
    <row r="621" spans="1:17" x14ac:dyDescent="0.35">
      <c r="A621" s="166"/>
      <c r="B621" s="169">
        <v>207</v>
      </c>
      <c r="C621" s="147"/>
      <c r="D621" s="169"/>
      <c r="E621" s="154">
        <v>0</v>
      </c>
      <c r="F621" s="154">
        <v>0</v>
      </c>
      <c r="G621" s="154">
        <v>0</v>
      </c>
      <c r="H621" s="154">
        <v>171</v>
      </c>
      <c r="I621" s="154">
        <v>1</v>
      </c>
      <c r="J621" s="154">
        <v>31</v>
      </c>
      <c r="K621" s="154">
        <v>214</v>
      </c>
      <c r="L621" s="154">
        <v>1</v>
      </c>
      <c r="M621" s="154">
        <v>0</v>
      </c>
      <c r="N621" s="154">
        <v>0</v>
      </c>
      <c r="O621" s="154">
        <v>0</v>
      </c>
      <c r="P621" s="154">
        <v>0</v>
      </c>
      <c r="Q621" s="156">
        <v>70.099999999999994</v>
      </c>
    </row>
    <row r="622" spans="1:17" x14ac:dyDescent="0.35">
      <c r="A622" s="167"/>
      <c r="B622" s="170"/>
      <c r="C622" s="151" t="s">
        <v>240</v>
      </c>
      <c r="D622" s="170"/>
      <c r="E622" s="155"/>
      <c r="F622" s="155"/>
      <c r="G622" s="155"/>
      <c r="H622" s="155"/>
      <c r="I622" s="155"/>
      <c r="J622" s="155"/>
      <c r="K622" s="155"/>
      <c r="L622" s="155"/>
      <c r="M622" s="155"/>
      <c r="N622" s="155"/>
      <c r="O622" s="155"/>
      <c r="P622" s="155"/>
      <c r="Q622" s="157"/>
    </row>
    <row r="623" spans="1:17" ht="15" thickBot="1" x14ac:dyDescent="0.4">
      <c r="A623" s="168"/>
      <c r="B623" s="171"/>
      <c r="C623" s="148" t="s">
        <v>1091</v>
      </c>
      <c r="D623" s="171"/>
      <c r="E623" s="158"/>
      <c r="F623" s="158"/>
      <c r="G623" s="158"/>
      <c r="H623" s="158"/>
      <c r="I623" s="158"/>
      <c r="J623" s="158"/>
      <c r="K623" s="158"/>
      <c r="L623" s="158"/>
      <c r="M623" s="158"/>
      <c r="N623" s="158"/>
      <c r="O623" s="158"/>
      <c r="P623" s="158"/>
      <c r="Q623" s="159"/>
    </row>
    <row r="624" spans="1:17" x14ac:dyDescent="0.35">
      <c r="A624" s="166"/>
      <c r="B624" s="169">
        <v>208</v>
      </c>
      <c r="C624" s="147"/>
      <c r="D624" s="169"/>
      <c r="E624" s="154">
        <v>0</v>
      </c>
      <c r="F624" s="154">
        <v>0</v>
      </c>
      <c r="G624" s="154">
        <v>0</v>
      </c>
      <c r="H624" s="154">
        <v>256</v>
      </c>
      <c r="I624" s="154">
        <v>1</v>
      </c>
      <c r="J624" s="154">
        <v>29</v>
      </c>
      <c r="K624" s="154">
        <v>221</v>
      </c>
      <c r="L624" s="154">
        <v>1</v>
      </c>
      <c r="M624" s="154">
        <v>0</v>
      </c>
      <c r="N624" s="154">
        <v>0</v>
      </c>
      <c r="O624" s="154">
        <v>0</v>
      </c>
      <c r="P624" s="154">
        <v>0</v>
      </c>
      <c r="Q624" s="156">
        <v>73.3</v>
      </c>
    </row>
    <row r="625" spans="1:17" x14ac:dyDescent="0.35">
      <c r="A625" s="167"/>
      <c r="B625" s="170"/>
      <c r="C625" s="151" t="s">
        <v>429</v>
      </c>
      <c r="D625" s="170"/>
      <c r="E625" s="155"/>
      <c r="F625" s="155"/>
      <c r="G625" s="155"/>
      <c r="H625" s="155"/>
      <c r="I625" s="155"/>
      <c r="J625" s="155"/>
      <c r="K625" s="155"/>
      <c r="L625" s="155"/>
      <c r="M625" s="155"/>
      <c r="N625" s="155"/>
      <c r="O625" s="155"/>
      <c r="P625" s="155"/>
      <c r="Q625" s="157"/>
    </row>
    <row r="626" spans="1:17" ht="15" thickBot="1" x14ac:dyDescent="0.4">
      <c r="A626" s="168"/>
      <c r="B626" s="171"/>
      <c r="C626" s="148" t="s">
        <v>1034</v>
      </c>
      <c r="D626" s="171"/>
      <c r="E626" s="158"/>
      <c r="F626" s="158"/>
      <c r="G626" s="158"/>
      <c r="H626" s="158"/>
      <c r="I626" s="158"/>
      <c r="J626" s="158"/>
      <c r="K626" s="158"/>
      <c r="L626" s="158"/>
      <c r="M626" s="158"/>
      <c r="N626" s="158"/>
      <c r="O626" s="158"/>
      <c r="P626" s="158"/>
      <c r="Q626" s="159"/>
    </row>
    <row r="627" spans="1:17" x14ac:dyDescent="0.35">
      <c r="A627" s="166"/>
      <c r="B627" s="169">
        <v>209</v>
      </c>
      <c r="C627" s="147"/>
      <c r="D627" s="169"/>
      <c r="E627" s="154">
        <v>0</v>
      </c>
      <c r="F627" s="154">
        <v>0</v>
      </c>
      <c r="G627" s="154">
        <v>0</v>
      </c>
      <c r="H627" s="154">
        <v>341</v>
      </c>
      <c r="I627" s="154">
        <v>2</v>
      </c>
      <c r="J627" s="154">
        <v>4</v>
      </c>
      <c r="K627" s="154">
        <v>30</v>
      </c>
      <c r="L627" s="154">
        <v>0</v>
      </c>
      <c r="M627" s="154">
        <v>0</v>
      </c>
      <c r="N627" s="154">
        <v>0</v>
      </c>
      <c r="O627" s="154">
        <v>0</v>
      </c>
      <c r="P627" s="154">
        <v>0</v>
      </c>
      <c r="Q627" s="156">
        <v>49.7</v>
      </c>
    </row>
    <row r="628" spans="1:17" x14ac:dyDescent="0.35">
      <c r="A628" s="167"/>
      <c r="B628" s="170"/>
      <c r="C628" s="151" t="s">
        <v>423</v>
      </c>
      <c r="D628" s="170"/>
      <c r="E628" s="155"/>
      <c r="F628" s="155"/>
      <c r="G628" s="155"/>
      <c r="H628" s="155"/>
      <c r="I628" s="155"/>
      <c r="J628" s="155"/>
      <c r="K628" s="155"/>
      <c r="L628" s="155"/>
      <c r="M628" s="155"/>
      <c r="N628" s="155"/>
      <c r="O628" s="155"/>
      <c r="P628" s="155"/>
      <c r="Q628" s="157"/>
    </row>
    <row r="629" spans="1:17" ht="15" thickBot="1" x14ac:dyDescent="0.4">
      <c r="A629" s="168"/>
      <c r="B629" s="171"/>
      <c r="C629" s="148" t="s">
        <v>1058</v>
      </c>
      <c r="D629" s="171"/>
      <c r="E629" s="158"/>
      <c r="F629" s="158"/>
      <c r="G629" s="158"/>
      <c r="H629" s="158"/>
      <c r="I629" s="158"/>
      <c r="J629" s="158"/>
      <c r="K629" s="158"/>
      <c r="L629" s="158"/>
      <c r="M629" s="158"/>
      <c r="N629" s="158"/>
      <c r="O629" s="158"/>
      <c r="P629" s="158"/>
      <c r="Q629" s="159"/>
    </row>
    <row r="630" spans="1:17" x14ac:dyDescent="0.35">
      <c r="A630" s="166"/>
      <c r="B630" s="169">
        <v>210</v>
      </c>
      <c r="C630" s="147"/>
      <c r="D630" s="169"/>
      <c r="E630" s="154">
        <v>0</v>
      </c>
      <c r="F630" s="154">
        <v>0</v>
      </c>
      <c r="G630" s="154">
        <v>0</v>
      </c>
      <c r="H630" s="154">
        <v>226</v>
      </c>
      <c r="I630" s="154">
        <v>1</v>
      </c>
      <c r="J630" s="154">
        <v>10</v>
      </c>
      <c r="K630" s="154">
        <v>82</v>
      </c>
      <c r="L630" s="154">
        <v>0</v>
      </c>
      <c r="M630" s="154">
        <v>0</v>
      </c>
      <c r="N630" s="154">
        <v>0</v>
      </c>
      <c r="O630" s="154">
        <v>0</v>
      </c>
      <c r="P630" s="154">
        <v>0</v>
      </c>
      <c r="Q630" s="156">
        <v>46</v>
      </c>
    </row>
    <row r="631" spans="1:17" x14ac:dyDescent="0.35">
      <c r="A631" s="167"/>
      <c r="B631" s="170"/>
      <c r="C631" s="151" t="s">
        <v>1266</v>
      </c>
      <c r="D631" s="170"/>
      <c r="E631" s="155"/>
      <c r="F631" s="155"/>
      <c r="G631" s="155"/>
      <c r="H631" s="155"/>
      <c r="I631" s="155"/>
      <c r="J631" s="155"/>
      <c r="K631" s="155"/>
      <c r="L631" s="155"/>
      <c r="M631" s="155"/>
      <c r="N631" s="155"/>
      <c r="O631" s="155"/>
      <c r="P631" s="155"/>
      <c r="Q631" s="157"/>
    </row>
    <row r="632" spans="1:17" ht="15" thickBot="1" x14ac:dyDescent="0.4">
      <c r="A632" s="168"/>
      <c r="B632" s="171"/>
      <c r="C632" s="148" t="s">
        <v>1035</v>
      </c>
      <c r="D632" s="171"/>
      <c r="E632" s="158"/>
      <c r="F632" s="158"/>
      <c r="G632" s="158"/>
      <c r="H632" s="158"/>
      <c r="I632" s="158"/>
      <c r="J632" s="158"/>
      <c r="K632" s="158"/>
      <c r="L632" s="158"/>
      <c r="M632" s="158"/>
      <c r="N632" s="158"/>
      <c r="O632" s="158"/>
      <c r="P632" s="158"/>
      <c r="Q632" s="159"/>
    </row>
    <row r="633" spans="1:17" x14ac:dyDescent="0.35">
      <c r="A633" s="166"/>
      <c r="B633" s="169">
        <v>211</v>
      </c>
      <c r="C633" s="147"/>
      <c r="D633" s="169"/>
      <c r="E633" s="154">
        <v>0</v>
      </c>
      <c r="F633" s="154">
        <v>0</v>
      </c>
      <c r="G633" s="154">
        <v>0</v>
      </c>
      <c r="H633" s="154">
        <v>194</v>
      </c>
      <c r="I633" s="154">
        <v>2</v>
      </c>
      <c r="J633" s="154">
        <v>20</v>
      </c>
      <c r="K633" s="154">
        <v>188</v>
      </c>
      <c r="L633" s="154">
        <v>1</v>
      </c>
      <c r="M633" s="154">
        <v>0</v>
      </c>
      <c r="N633" s="154">
        <v>0</v>
      </c>
      <c r="O633" s="154">
        <v>0</v>
      </c>
      <c r="P633" s="154">
        <v>0</v>
      </c>
      <c r="Q633" s="156">
        <v>62.1</v>
      </c>
    </row>
    <row r="634" spans="1:17" x14ac:dyDescent="0.35">
      <c r="A634" s="167"/>
      <c r="B634" s="170"/>
      <c r="C634" s="151" t="s">
        <v>402</v>
      </c>
      <c r="D634" s="170"/>
      <c r="E634" s="155"/>
      <c r="F634" s="155"/>
      <c r="G634" s="155"/>
      <c r="H634" s="155"/>
      <c r="I634" s="155"/>
      <c r="J634" s="155"/>
      <c r="K634" s="155"/>
      <c r="L634" s="155"/>
      <c r="M634" s="155"/>
      <c r="N634" s="155"/>
      <c r="O634" s="155"/>
      <c r="P634" s="155"/>
      <c r="Q634" s="157"/>
    </row>
    <row r="635" spans="1:17" ht="15" thickBot="1" x14ac:dyDescent="0.4">
      <c r="A635" s="168"/>
      <c r="B635" s="171"/>
      <c r="C635" s="148" t="s">
        <v>1065</v>
      </c>
      <c r="D635" s="171"/>
      <c r="E635" s="158"/>
      <c r="F635" s="158"/>
      <c r="G635" s="158"/>
      <c r="H635" s="158"/>
      <c r="I635" s="158"/>
      <c r="J635" s="158"/>
      <c r="K635" s="158"/>
      <c r="L635" s="158"/>
      <c r="M635" s="158"/>
      <c r="N635" s="158"/>
      <c r="O635" s="158"/>
      <c r="P635" s="158"/>
      <c r="Q635" s="159"/>
    </row>
    <row r="636" spans="1:17" x14ac:dyDescent="0.35">
      <c r="A636" s="166"/>
      <c r="B636" s="169">
        <v>212</v>
      </c>
      <c r="C636" s="147"/>
      <c r="D636" s="169"/>
      <c r="E636" s="154">
        <v>0</v>
      </c>
      <c r="F636" s="154">
        <v>0</v>
      </c>
      <c r="G636" s="154">
        <v>0</v>
      </c>
      <c r="H636" s="154">
        <v>0</v>
      </c>
      <c r="I636" s="154">
        <v>0</v>
      </c>
      <c r="J636" s="154">
        <v>50</v>
      </c>
      <c r="K636" s="154">
        <v>509</v>
      </c>
      <c r="L636" s="154">
        <v>4</v>
      </c>
      <c r="M636" s="154">
        <v>0</v>
      </c>
      <c r="N636" s="154">
        <v>0</v>
      </c>
      <c r="O636" s="154">
        <v>0</v>
      </c>
      <c r="P636" s="154">
        <v>0</v>
      </c>
      <c r="Q636" s="156">
        <v>101.2</v>
      </c>
    </row>
    <row r="637" spans="1:17" x14ac:dyDescent="0.35">
      <c r="A637" s="167"/>
      <c r="B637" s="170"/>
      <c r="C637" s="151" t="s">
        <v>437</v>
      </c>
      <c r="D637" s="170"/>
      <c r="E637" s="155"/>
      <c r="F637" s="155"/>
      <c r="G637" s="155"/>
      <c r="H637" s="155"/>
      <c r="I637" s="155"/>
      <c r="J637" s="155"/>
      <c r="K637" s="155"/>
      <c r="L637" s="155"/>
      <c r="M637" s="155"/>
      <c r="N637" s="155"/>
      <c r="O637" s="155"/>
      <c r="P637" s="155"/>
      <c r="Q637" s="157"/>
    </row>
    <row r="638" spans="1:17" ht="15" thickBot="1" x14ac:dyDescent="0.4">
      <c r="A638" s="168"/>
      <c r="B638" s="171"/>
      <c r="C638" s="148" t="s">
        <v>1047</v>
      </c>
      <c r="D638" s="171"/>
      <c r="E638" s="158"/>
      <c r="F638" s="158"/>
      <c r="G638" s="158"/>
      <c r="H638" s="158"/>
      <c r="I638" s="158"/>
      <c r="J638" s="158"/>
      <c r="K638" s="158"/>
      <c r="L638" s="158"/>
      <c r="M638" s="158"/>
      <c r="N638" s="158"/>
      <c r="O638" s="158"/>
      <c r="P638" s="158"/>
      <c r="Q638" s="159"/>
    </row>
    <row r="639" spans="1:17" x14ac:dyDescent="0.35">
      <c r="A639" s="166"/>
      <c r="B639" s="169">
        <v>213</v>
      </c>
      <c r="C639" s="147"/>
      <c r="D639" s="169"/>
      <c r="E639" s="154">
        <v>0</v>
      </c>
      <c r="F639" s="154">
        <v>0</v>
      </c>
      <c r="G639" s="154">
        <v>0</v>
      </c>
      <c r="H639" s="154">
        <v>0</v>
      </c>
      <c r="I639" s="154">
        <v>0</v>
      </c>
      <c r="J639" s="154">
        <v>44</v>
      </c>
      <c r="K639" s="154">
        <v>493</v>
      </c>
      <c r="L639" s="154">
        <v>4</v>
      </c>
      <c r="M639" s="154">
        <v>0</v>
      </c>
      <c r="N639" s="154">
        <v>0</v>
      </c>
      <c r="O639" s="154">
        <v>0</v>
      </c>
      <c r="P639" s="154">
        <v>0</v>
      </c>
      <c r="Q639" s="156">
        <v>92.4</v>
      </c>
    </row>
    <row r="640" spans="1:17" x14ac:dyDescent="0.35">
      <c r="A640" s="167"/>
      <c r="B640" s="170"/>
      <c r="C640" s="151" t="s">
        <v>690</v>
      </c>
      <c r="D640" s="170"/>
      <c r="E640" s="155"/>
      <c r="F640" s="155"/>
      <c r="G640" s="155"/>
      <c r="H640" s="155"/>
      <c r="I640" s="155"/>
      <c r="J640" s="155"/>
      <c r="K640" s="155"/>
      <c r="L640" s="155"/>
      <c r="M640" s="155"/>
      <c r="N640" s="155"/>
      <c r="O640" s="155"/>
      <c r="P640" s="155"/>
      <c r="Q640" s="157"/>
    </row>
    <row r="641" spans="1:17" ht="15" thickBot="1" x14ac:dyDescent="0.4">
      <c r="A641" s="168"/>
      <c r="B641" s="171"/>
      <c r="C641" s="148" t="s">
        <v>1399</v>
      </c>
      <c r="D641" s="171"/>
      <c r="E641" s="158"/>
      <c r="F641" s="158"/>
      <c r="G641" s="158"/>
      <c r="H641" s="158"/>
      <c r="I641" s="158"/>
      <c r="J641" s="158"/>
      <c r="K641" s="158"/>
      <c r="L641" s="158"/>
      <c r="M641" s="158"/>
      <c r="N641" s="158"/>
      <c r="O641" s="158"/>
      <c r="P641" s="158"/>
      <c r="Q641" s="159"/>
    </row>
    <row r="642" spans="1:17" x14ac:dyDescent="0.35">
      <c r="A642" s="166"/>
      <c r="B642" s="169">
        <v>214</v>
      </c>
      <c r="C642" s="147"/>
      <c r="D642" s="169"/>
      <c r="E642" s="154">
        <v>3744</v>
      </c>
      <c r="F642" s="154">
        <v>21</v>
      </c>
      <c r="G642" s="154">
        <v>9</v>
      </c>
      <c r="H642" s="154">
        <v>92</v>
      </c>
      <c r="I642" s="154">
        <v>2</v>
      </c>
      <c r="J642" s="154">
        <v>0</v>
      </c>
      <c r="K642" s="154">
        <v>0</v>
      </c>
      <c r="L642" s="154">
        <v>0</v>
      </c>
      <c r="M642" s="154">
        <v>0</v>
      </c>
      <c r="N642" s="154">
        <v>0</v>
      </c>
      <c r="O642" s="154">
        <v>0</v>
      </c>
      <c r="P642" s="154">
        <v>0</v>
      </c>
      <c r="Q642" s="156">
        <v>230.2</v>
      </c>
    </row>
    <row r="643" spans="1:17" x14ac:dyDescent="0.35">
      <c r="A643" s="167"/>
      <c r="B643" s="170"/>
      <c r="C643" s="151" t="s">
        <v>320</v>
      </c>
      <c r="D643" s="170"/>
      <c r="E643" s="155"/>
      <c r="F643" s="155"/>
      <c r="G643" s="155"/>
      <c r="H643" s="155"/>
      <c r="I643" s="155"/>
      <c r="J643" s="155"/>
      <c r="K643" s="155"/>
      <c r="L643" s="155"/>
      <c r="M643" s="155"/>
      <c r="N643" s="155"/>
      <c r="O643" s="155"/>
      <c r="P643" s="155"/>
      <c r="Q643" s="157"/>
    </row>
    <row r="644" spans="1:17" ht="15" thickBot="1" x14ac:dyDescent="0.4">
      <c r="A644" s="168"/>
      <c r="B644" s="171"/>
      <c r="C644" s="148" t="s">
        <v>1154</v>
      </c>
      <c r="D644" s="171"/>
      <c r="E644" s="158"/>
      <c r="F644" s="158"/>
      <c r="G644" s="158"/>
      <c r="H644" s="158"/>
      <c r="I644" s="158"/>
      <c r="J644" s="158"/>
      <c r="K644" s="158"/>
      <c r="L644" s="158"/>
      <c r="M644" s="158"/>
      <c r="N644" s="158"/>
      <c r="O644" s="158"/>
      <c r="P644" s="158"/>
      <c r="Q644" s="159"/>
    </row>
    <row r="645" spans="1:17" x14ac:dyDescent="0.35">
      <c r="A645" s="166"/>
      <c r="B645" s="169">
        <v>215</v>
      </c>
      <c r="C645" s="147"/>
      <c r="D645" s="169"/>
      <c r="E645" s="154">
        <v>0</v>
      </c>
      <c r="F645" s="154">
        <v>0</v>
      </c>
      <c r="G645" s="154">
        <v>0</v>
      </c>
      <c r="H645" s="154">
        <v>0</v>
      </c>
      <c r="I645" s="154">
        <v>0</v>
      </c>
      <c r="J645" s="154">
        <v>39</v>
      </c>
      <c r="K645" s="154">
        <v>503</v>
      </c>
      <c r="L645" s="154">
        <v>3</v>
      </c>
      <c r="M645" s="154">
        <v>0</v>
      </c>
      <c r="N645" s="154">
        <v>0</v>
      </c>
      <c r="O645" s="154">
        <v>0</v>
      </c>
      <c r="P645" s="154">
        <v>0</v>
      </c>
      <c r="Q645" s="156">
        <v>90</v>
      </c>
    </row>
    <row r="646" spans="1:17" x14ac:dyDescent="0.35">
      <c r="A646" s="167"/>
      <c r="B646" s="170"/>
      <c r="C646" s="151" t="s">
        <v>1267</v>
      </c>
      <c r="D646" s="170"/>
      <c r="E646" s="155"/>
      <c r="F646" s="155"/>
      <c r="G646" s="155"/>
      <c r="H646" s="155"/>
      <c r="I646" s="155"/>
      <c r="J646" s="155"/>
      <c r="K646" s="155"/>
      <c r="L646" s="155"/>
      <c r="M646" s="155"/>
      <c r="N646" s="155"/>
      <c r="O646" s="155"/>
      <c r="P646" s="155"/>
      <c r="Q646" s="157"/>
    </row>
    <row r="647" spans="1:17" ht="15" thickBot="1" x14ac:dyDescent="0.4">
      <c r="A647" s="168"/>
      <c r="B647" s="171"/>
      <c r="C647" s="148" t="s">
        <v>1388</v>
      </c>
      <c r="D647" s="171"/>
      <c r="E647" s="158"/>
      <c r="F647" s="158"/>
      <c r="G647" s="158"/>
      <c r="H647" s="158"/>
      <c r="I647" s="158"/>
      <c r="J647" s="158"/>
      <c r="K647" s="158"/>
      <c r="L647" s="158"/>
      <c r="M647" s="158"/>
      <c r="N647" s="158"/>
      <c r="O647" s="158"/>
      <c r="P647" s="158"/>
      <c r="Q647" s="159"/>
    </row>
    <row r="648" spans="1:17" x14ac:dyDescent="0.35">
      <c r="A648" s="166"/>
      <c r="B648" s="169">
        <v>216</v>
      </c>
      <c r="C648" s="147"/>
      <c r="D648" s="169"/>
      <c r="E648" s="154" t="s">
        <v>1543</v>
      </c>
      <c r="F648" s="154" t="s">
        <v>1543</v>
      </c>
      <c r="G648" s="154" t="s">
        <v>1543</v>
      </c>
      <c r="H648" s="154" t="s">
        <v>1543</v>
      </c>
      <c r="I648" s="154" t="s">
        <v>1543</v>
      </c>
      <c r="J648" s="154" t="s">
        <v>1543</v>
      </c>
      <c r="K648" s="154" t="s">
        <v>1543</v>
      </c>
      <c r="L648" s="154" t="s">
        <v>1543</v>
      </c>
      <c r="M648" s="154" t="s">
        <v>1543</v>
      </c>
      <c r="N648" s="154" t="s">
        <v>1543</v>
      </c>
      <c r="O648" s="154" t="s">
        <v>1543</v>
      </c>
      <c r="P648" s="154" t="s">
        <v>1543</v>
      </c>
      <c r="Q648" s="156" t="s">
        <v>1543</v>
      </c>
    </row>
    <row r="649" spans="1:17" x14ac:dyDescent="0.35">
      <c r="A649" s="167"/>
      <c r="B649" s="170"/>
      <c r="C649" s="151" t="s">
        <v>99</v>
      </c>
      <c r="D649" s="170"/>
      <c r="E649" s="155"/>
      <c r="F649" s="155"/>
      <c r="G649" s="155"/>
      <c r="H649" s="155"/>
      <c r="I649" s="155"/>
      <c r="J649" s="155"/>
      <c r="K649" s="155"/>
      <c r="L649" s="155"/>
      <c r="M649" s="155"/>
      <c r="N649" s="155"/>
      <c r="O649" s="155"/>
      <c r="P649" s="155"/>
      <c r="Q649" s="157"/>
    </row>
    <row r="650" spans="1:17" ht="15" thickBot="1" x14ac:dyDescent="0.4">
      <c r="A650" s="168"/>
      <c r="B650" s="171"/>
      <c r="C650" s="148" t="s">
        <v>1493</v>
      </c>
      <c r="D650" s="171"/>
      <c r="E650" s="158"/>
      <c r="F650" s="158"/>
      <c r="G650" s="158"/>
      <c r="H650" s="158"/>
      <c r="I650" s="158"/>
      <c r="J650" s="158"/>
      <c r="K650" s="158"/>
      <c r="L650" s="158"/>
      <c r="M650" s="158"/>
      <c r="N650" s="158"/>
      <c r="O650" s="158"/>
      <c r="P650" s="158"/>
      <c r="Q650" s="159"/>
    </row>
    <row r="651" spans="1:17" x14ac:dyDescent="0.35">
      <c r="A651" s="166"/>
      <c r="B651" s="169">
        <v>217</v>
      </c>
      <c r="C651" s="147"/>
      <c r="D651" s="169"/>
      <c r="E651" s="154">
        <v>0</v>
      </c>
      <c r="F651" s="154">
        <v>0</v>
      </c>
      <c r="G651" s="154">
        <v>0</v>
      </c>
      <c r="H651" s="154">
        <v>18</v>
      </c>
      <c r="I651" s="154">
        <v>0</v>
      </c>
      <c r="J651" s="154">
        <v>52</v>
      </c>
      <c r="K651" s="154">
        <v>560</v>
      </c>
      <c r="L651" s="154">
        <v>4</v>
      </c>
      <c r="M651" s="154">
        <v>0</v>
      </c>
      <c r="N651" s="154">
        <v>0</v>
      </c>
      <c r="O651" s="154">
        <v>0</v>
      </c>
      <c r="P651" s="154">
        <v>0</v>
      </c>
      <c r="Q651" s="156">
        <v>107.4</v>
      </c>
    </row>
    <row r="652" spans="1:17" x14ac:dyDescent="0.35">
      <c r="A652" s="167"/>
      <c r="B652" s="170"/>
      <c r="C652" s="151" t="s">
        <v>960</v>
      </c>
      <c r="D652" s="170"/>
      <c r="E652" s="155"/>
      <c r="F652" s="155"/>
      <c r="G652" s="155"/>
      <c r="H652" s="155"/>
      <c r="I652" s="155"/>
      <c r="J652" s="155"/>
      <c r="K652" s="155"/>
      <c r="L652" s="155"/>
      <c r="M652" s="155"/>
      <c r="N652" s="155"/>
      <c r="O652" s="155"/>
      <c r="P652" s="155"/>
      <c r="Q652" s="157"/>
    </row>
    <row r="653" spans="1:17" ht="15" thickBot="1" x14ac:dyDescent="0.4">
      <c r="A653" s="168"/>
      <c r="B653" s="171"/>
      <c r="C653" s="148" t="s">
        <v>1028</v>
      </c>
      <c r="D653" s="171"/>
      <c r="E653" s="158"/>
      <c r="F653" s="158"/>
      <c r="G653" s="158"/>
      <c r="H653" s="158"/>
      <c r="I653" s="158"/>
      <c r="J653" s="158"/>
      <c r="K653" s="158"/>
      <c r="L653" s="158"/>
      <c r="M653" s="158"/>
      <c r="N653" s="158"/>
      <c r="O653" s="158"/>
      <c r="P653" s="158"/>
      <c r="Q653" s="159"/>
    </row>
    <row r="654" spans="1:17" x14ac:dyDescent="0.35">
      <c r="A654" s="166"/>
      <c r="B654" s="169">
        <v>218</v>
      </c>
      <c r="C654" s="147"/>
      <c r="D654" s="169"/>
      <c r="E654" s="154">
        <v>0</v>
      </c>
      <c r="F654" s="154">
        <v>0</v>
      </c>
      <c r="G654" s="154">
        <v>0</v>
      </c>
      <c r="H654" s="154">
        <v>0</v>
      </c>
      <c r="I654" s="154">
        <v>0</v>
      </c>
      <c r="J654" s="154">
        <v>58</v>
      </c>
      <c r="K654" s="154">
        <v>636</v>
      </c>
      <c r="L654" s="154">
        <v>3</v>
      </c>
      <c r="M654" s="154">
        <v>0</v>
      </c>
      <c r="N654" s="154">
        <v>0</v>
      </c>
      <c r="O654" s="154">
        <v>0</v>
      </c>
      <c r="P654" s="154">
        <v>0</v>
      </c>
      <c r="Q654" s="156">
        <v>112.4</v>
      </c>
    </row>
    <row r="655" spans="1:17" x14ac:dyDescent="0.35">
      <c r="A655" s="167"/>
      <c r="B655" s="170"/>
      <c r="C655" s="151" t="s">
        <v>568</v>
      </c>
      <c r="D655" s="170"/>
      <c r="E655" s="155"/>
      <c r="F655" s="155"/>
      <c r="G655" s="155"/>
      <c r="H655" s="155"/>
      <c r="I655" s="155"/>
      <c r="J655" s="155"/>
      <c r="K655" s="155"/>
      <c r="L655" s="155"/>
      <c r="M655" s="155"/>
      <c r="N655" s="155"/>
      <c r="O655" s="155"/>
      <c r="P655" s="155"/>
      <c r="Q655" s="157"/>
    </row>
    <row r="656" spans="1:17" ht="15" thickBot="1" x14ac:dyDescent="0.4">
      <c r="A656" s="168"/>
      <c r="B656" s="171"/>
      <c r="C656" s="148" t="s">
        <v>1111</v>
      </c>
      <c r="D656" s="171"/>
      <c r="E656" s="158"/>
      <c r="F656" s="158"/>
      <c r="G656" s="158"/>
      <c r="H656" s="158"/>
      <c r="I656" s="158"/>
      <c r="J656" s="158"/>
      <c r="K656" s="158"/>
      <c r="L656" s="158"/>
      <c r="M656" s="158"/>
      <c r="N656" s="158"/>
      <c r="O656" s="158"/>
      <c r="P656" s="158"/>
      <c r="Q656" s="159"/>
    </row>
    <row r="657" spans="1:17" x14ac:dyDescent="0.35">
      <c r="A657" s="166"/>
      <c r="B657" s="169">
        <v>219</v>
      </c>
      <c r="C657" s="147"/>
      <c r="D657" s="169"/>
      <c r="E657" s="154">
        <v>0</v>
      </c>
      <c r="F657" s="154">
        <v>0</v>
      </c>
      <c r="G657" s="154">
        <v>0</v>
      </c>
      <c r="H657" s="154">
        <v>0</v>
      </c>
      <c r="I657" s="154">
        <v>0</v>
      </c>
      <c r="J657" s="154">
        <v>49</v>
      </c>
      <c r="K657" s="154">
        <v>576</v>
      </c>
      <c r="L657" s="154">
        <v>4</v>
      </c>
      <c r="M657" s="154">
        <v>0</v>
      </c>
      <c r="N657" s="154">
        <v>0</v>
      </c>
      <c r="O657" s="154">
        <v>0</v>
      </c>
      <c r="P657" s="154">
        <v>0</v>
      </c>
      <c r="Q657" s="156">
        <v>105.6</v>
      </c>
    </row>
    <row r="658" spans="1:17" x14ac:dyDescent="0.35">
      <c r="A658" s="167"/>
      <c r="B658" s="170"/>
      <c r="C658" s="151" t="s">
        <v>736</v>
      </c>
      <c r="D658" s="170"/>
      <c r="E658" s="155"/>
      <c r="F658" s="155"/>
      <c r="G658" s="155"/>
      <c r="H658" s="155"/>
      <c r="I658" s="155"/>
      <c r="J658" s="155"/>
      <c r="K658" s="155"/>
      <c r="L658" s="155"/>
      <c r="M658" s="155"/>
      <c r="N658" s="155"/>
      <c r="O658" s="155"/>
      <c r="P658" s="155"/>
      <c r="Q658" s="157"/>
    </row>
    <row r="659" spans="1:17" ht="15" thickBot="1" x14ac:dyDescent="0.4">
      <c r="A659" s="168"/>
      <c r="B659" s="171"/>
      <c r="C659" s="148" t="s">
        <v>1388</v>
      </c>
      <c r="D659" s="171"/>
      <c r="E659" s="158"/>
      <c r="F659" s="158"/>
      <c r="G659" s="158"/>
      <c r="H659" s="158"/>
      <c r="I659" s="158"/>
      <c r="J659" s="158"/>
      <c r="K659" s="158"/>
      <c r="L659" s="158"/>
      <c r="M659" s="158"/>
      <c r="N659" s="158"/>
      <c r="O659" s="158"/>
      <c r="P659" s="158"/>
      <c r="Q659" s="159"/>
    </row>
    <row r="660" spans="1:17" x14ac:dyDescent="0.35">
      <c r="A660" s="166"/>
      <c r="B660" s="169">
        <v>220</v>
      </c>
      <c r="C660" s="147"/>
      <c r="D660" s="169"/>
      <c r="E660" s="154">
        <v>0</v>
      </c>
      <c r="F660" s="154">
        <v>0</v>
      </c>
      <c r="G660" s="154">
        <v>0</v>
      </c>
      <c r="H660" s="154">
        <v>0</v>
      </c>
      <c r="I660" s="154">
        <v>0</v>
      </c>
      <c r="J660" s="154">
        <v>43</v>
      </c>
      <c r="K660" s="154">
        <v>561</v>
      </c>
      <c r="L660" s="154">
        <v>4</v>
      </c>
      <c r="M660" s="154">
        <v>0</v>
      </c>
      <c r="N660" s="154">
        <v>0</v>
      </c>
      <c r="O660" s="154">
        <v>0</v>
      </c>
      <c r="P660" s="154">
        <v>0</v>
      </c>
      <c r="Q660" s="156">
        <v>101.2</v>
      </c>
    </row>
    <row r="661" spans="1:17" x14ac:dyDescent="0.35">
      <c r="A661" s="167"/>
      <c r="B661" s="170"/>
      <c r="C661" s="151" t="s">
        <v>198</v>
      </c>
      <c r="D661" s="170"/>
      <c r="E661" s="155"/>
      <c r="F661" s="155"/>
      <c r="G661" s="155"/>
      <c r="H661" s="155"/>
      <c r="I661" s="155"/>
      <c r="J661" s="155"/>
      <c r="K661" s="155"/>
      <c r="L661" s="155"/>
      <c r="M661" s="155"/>
      <c r="N661" s="155"/>
      <c r="O661" s="155"/>
      <c r="P661" s="155"/>
      <c r="Q661" s="157"/>
    </row>
    <row r="662" spans="1:17" ht="15" thickBot="1" x14ac:dyDescent="0.4">
      <c r="A662" s="168"/>
      <c r="B662" s="171"/>
      <c r="C662" s="148" t="s">
        <v>1090</v>
      </c>
      <c r="D662" s="171"/>
      <c r="E662" s="158"/>
      <c r="F662" s="158"/>
      <c r="G662" s="158"/>
      <c r="H662" s="158"/>
      <c r="I662" s="158"/>
      <c r="J662" s="158"/>
      <c r="K662" s="158"/>
      <c r="L662" s="158"/>
      <c r="M662" s="158"/>
      <c r="N662" s="158"/>
      <c r="O662" s="158"/>
      <c r="P662" s="158"/>
      <c r="Q662" s="159"/>
    </row>
    <row r="663" spans="1:17" x14ac:dyDescent="0.35">
      <c r="A663" s="166"/>
      <c r="B663" s="169">
        <v>221</v>
      </c>
      <c r="C663" s="147"/>
      <c r="D663" s="169"/>
      <c r="E663" s="154">
        <v>3707</v>
      </c>
      <c r="F663" s="154">
        <v>18</v>
      </c>
      <c r="G663" s="154">
        <v>10</v>
      </c>
      <c r="H663" s="154">
        <v>289</v>
      </c>
      <c r="I663" s="154">
        <v>1</v>
      </c>
      <c r="J663" s="154">
        <v>0</v>
      </c>
      <c r="K663" s="154">
        <v>0</v>
      </c>
      <c r="L663" s="154">
        <v>0</v>
      </c>
      <c r="M663" s="154">
        <v>0</v>
      </c>
      <c r="N663" s="154">
        <v>0</v>
      </c>
      <c r="O663" s="154">
        <v>0</v>
      </c>
      <c r="P663" s="154">
        <v>0</v>
      </c>
      <c r="Q663" s="156">
        <v>228.3</v>
      </c>
    </row>
    <row r="664" spans="1:17" x14ac:dyDescent="0.35">
      <c r="A664" s="167"/>
      <c r="B664" s="170"/>
      <c r="C664" s="151" t="s">
        <v>1225</v>
      </c>
      <c r="D664" s="170"/>
      <c r="E664" s="155"/>
      <c r="F664" s="155"/>
      <c r="G664" s="155"/>
      <c r="H664" s="155"/>
      <c r="I664" s="155"/>
      <c r="J664" s="155"/>
      <c r="K664" s="155"/>
      <c r="L664" s="155"/>
      <c r="M664" s="155"/>
      <c r="N664" s="155"/>
      <c r="O664" s="155"/>
      <c r="P664" s="155"/>
      <c r="Q664" s="157"/>
    </row>
    <row r="665" spans="1:17" ht="15" thickBot="1" x14ac:dyDescent="0.4">
      <c r="A665" s="168"/>
      <c r="B665" s="171"/>
      <c r="C665" s="148" t="s">
        <v>1404</v>
      </c>
      <c r="D665" s="171"/>
      <c r="E665" s="158"/>
      <c r="F665" s="158"/>
      <c r="G665" s="158"/>
      <c r="H665" s="158"/>
      <c r="I665" s="158"/>
      <c r="J665" s="158"/>
      <c r="K665" s="158"/>
      <c r="L665" s="158"/>
      <c r="M665" s="158"/>
      <c r="N665" s="158"/>
      <c r="O665" s="158"/>
      <c r="P665" s="158"/>
      <c r="Q665" s="159"/>
    </row>
    <row r="666" spans="1:17" x14ac:dyDescent="0.35">
      <c r="A666" s="166"/>
      <c r="B666" s="169">
        <v>222</v>
      </c>
      <c r="C666" s="147"/>
      <c r="D666" s="169"/>
      <c r="E666" s="154">
        <v>3733</v>
      </c>
      <c r="F666" s="154">
        <v>20</v>
      </c>
      <c r="G666" s="154">
        <v>14</v>
      </c>
      <c r="H666" s="154">
        <v>258</v>
      </c>
      <c r="I666" s="154">
        <v>2</v>
      </c>
      <c r="J666" s="154">
        <v>0</v>
      </c>
      <c r="K666" s="154">
        <v>0</v>
      </c>
      <c r="L666" s="154">
        <v>0</v>
      </c>
      <c r="M666" s="154">
        <v>0</v>
      </c>
      <c r="N666" s="154">
        <v>0</v>
      </c>
      <c r="O666" s="154">
        <v>0</v>
      </c>
      <c r="P666" s="154">
        <v>0</v>
      </c>
      <c r="Q666" s="156">
        <v>232.9</v>
      </c>
    </row>
    <row r="667" spans="1:17" x14ac:dyDescent="0.35">
      <c r="A667" s="167"/>
      <c r="B667" s="170"/>
      <c r="C667" s="151" t="s">
        <v>1239</v>
      </c>
      <c r="D667" s="170"/>
      <c r="E667" s="155"/>
      <c r="F667" s="155"/>
      <c r="G667" s="155"/>
      <c r="H667" s="155"/>
      <c r="I667" s="155"/>
      <c r="J667" s="155"/>
      <c r="K667" s="155"/>
      <c r="L667" s="155"/>
      <c r="M667" s="155"/>
      <c r="N667" s="155"/>
      <c r="O667" s="155"/>
      <c r="P667" s="155"/>
      <c r="Q667" s="157"/>
    </row>
    <row r="668" spans="1:17" ht="15" thickBot="1" x14ac:dyDescent="0.4">
      <c r="A668" s="168"/>
      <c r="B668" s="171"/>
      <c r="C668" s="148" t="s">
        <v>1402</v>
      </c>
      <c r="D668" s="171"/>
      <c r="E668" s="158"/>
      <c r="F668" s="158"/>
      <c r="G668" s="158"/>
      <c r="H668" s="158"/>
      <c r="I668" s="158"/>
      <c r="J668" s="158"/>
      <c r="K668" s="158"/>
      <c r="L668" s="158"/>
      <c r="M668" s="158"/>
      <c r="N668" s="158"/>
      <c r="O668" s="158"/>
      <c r="P668" s="158"/>
      <c r="Q668" s="159"/>
    </row>
    <row r="669" spans="1:17" x14ac:dyDescent="0.35">
      <c r="A669" s="166"/>
      <c r="B669" s="169">
        <v>223</v>
      </c>
      <c r="C669" s="146"/>
      <c r="D669" s="169"/>
      <c r="E669" s="154">
        <v>0</v>
      </c>
      <c r="F669" s="154">
        <v>0</v>
      </c>
      <c r="G669" s="154">
        <v>0</v>
      </c>
      <c r="H669" s="154">
        <v>0</v>
      </c>
      <c r="I669" s="154">
        <v>0</v>
      </c>
      <c r="J669" s="154">
        <v>0</v>
      </c>
      <c r="K669" s="154">
        <v>0</v>
      </c>
      <c r="L669" s="154">
        <v>0</v>
      </c>
      <c r="M669" s="154">
        <v>13</v>
      </c>
      <c r="N669" s="154">
        <v>9</v>
      </c>
      <c r="O669" s="154">
        <v>344</v>
      </c>
      <c r="P669" s="154">
        <v>5604</v>
      </c>
      <c r="Q669" s="156">
        <v>104.2</v>
      </c>
    </row>
    <row r="670" spans="1:17" x14ac:dyDescent="0.35">
      <c r="A670" s="167"/>
      <c r="B670" s="170"/>
      <c r="C670" s="151" t="s">
        <v>1186</v>
      </c>
      <c r="D670" s="170"/>
      <c r="E670" s="155"/>
      <c r="F670" s="155"/>
      <c r="G670" s="155"/>
      <c r="H670" s="155"/>
      <c r="I670" s="155"/>
      <c r="J670" s="155"/>
      <c r="K670" s="155"/>
      <c r="L670" s="155"/>
      <c r="M670" s="155"/>
      <c r="N670" s="155"/>
      <c r="O670" s="155"/>
      <c r="P670" s="155"/>
      <c r="Q670" s="157"/>
    </row>
    <row r="671" spans="1:17" ht="15" thickBot="1" x14ac:dyDescent="0.4">
      <c r="A671" s="168"/>
      <c r="B671" s="171"/>
      <c r="C671" s="148" t="s">
        <v>1394</v>
      </c>
      <c r="D671" s="171"/>
      <c r="E671" s="158"/>
      <c r="F671" s="158"/>
      <c r="G671" s="158"/>
      <c r="H671" s="158"/>
      <c r="I671" s="158"/>
      <c r="J671" s="158"/>
      <c r="K671" s="158"/>
      <c r="L671" s="158"/>
      <c r="M671" s="158"/>
      <c r="N671" s="158"/>
      <c r="O671" s="158"/>
      <c r="P671" s="158"/>
      <c r="Q671" s="159"/>
    </row>
    <row r="672" spans="1:17" x14ac:dyDescent="0.35">
      <c r="A672" s="166"/>
      <c r="B672" s="169">
        <v>224</v>
      </c>
      <c r="C672" s="146"/>
      <c r="D672" s="169"/>
      <c r="E672" s="154">
        <v>0</v>
      </c>
      <c r="F672" s="154">
        <v>0</v>
      </c>
      <c r="G672" s="154">
        <v>0</v>
      </c>
      <c r="H672" s="154">
        <v>0</v>
      </c>
      <c r="I672" s="154">
        <v>0</v>
      </c>
      <c r="J672" s="154">
        <v>0</v>
      </c>
      <c r="K672" s="154">
        <v>0</v>
      </c>
      <c r="L672" s="154">
        <v>0</v>
      </c>
      <c r="M672" s="154">
        <v>13</v>
      </c>
      <c r="N672" s="154">
        <v>10</v>
      </c>
      <c r="O672" s="154">
        <v>338</v>
      </c>
      <c r="P672" s="154">
        <v>5731</v>
      </c>
      <c r="Q672" s="156">
        <v>98.3</v>
      </c>
    </row>
    <row r="673" spans="1:17" x14ac:dyDescent="0.35">
      <c r="A673" s="167"/>
      <c r="B673" s="170"/>
      <c r="C673" s="151" t="s">
        <v>1188</v>
      </c>
      <c r="D673" s="170"/>
      <c r="E673" s="155"/>
      <c r="F673" s="155"/>
      <c r="G673" s="155"/>
      <c r="H673" s="155"/>
      <c r="I673" s="155"/>
      <c r="J673" s="155"/>
      <c r="K673" s="155"/>
      <c r="L673" s="155"/>
      <c r="M673" s="155"/>
      <c r="N673" s="155"/>
      <c r="O673" s="155"/>
      <c r="P673" s="155"/>
      <c r="Q673" s="157"/>
    </row>
    <row r="674" spans="1:17" ht="15" thickBot="1" x14ac:dyDescent="0.4">
      <c r="A674" s="168"/>
      <c r="B674" s="171"/>
      <c r="C674" s="148" t="s">
        <v>1420</v>
      </c>
      <c r="D674" s="171"/>
      <c r="E674" s="158"/>
      <c r="F674" s="158"/>
      <c r="G674" s="158"/>
      <c r="H674" s="158"/>
      <c r="I674" s="158"/>
      <c r="J674" s="158"/>
      <c r="K674" s="158"/>
      <c r="L674" s="158"/>
      <c r="M674" s="158"/>
      <c r="N674" s="158"/>
      <c r="O674" s="158"/>
      <c r="P674" s="158"/>
      <c r="Q674" s="159"/>
    </row>
    <row r="675" spans="1:17" x14ac:dyDescent="0.35">
      <c r="A675" s="166"/>
      <c r="B675" s="169">
        <v>225</v>
      </c>
      <c r="C675" s="147"/>
      <c r="D675" s="169"/>
      <c r="E675" s="154">
        <v>0</v>
      </c>
      <c r="F675" s="154">
        <v>0</v>
      </c>
      <c r="G675" s="154">
        <v>0</v>
      </c>
      <c r="H675" s="154">
        <v>0</v>
      </c>
      <c r="I675" s="154">
        <v>0</v>
      </c>
      <c r="J675" s="154">
        <v>0</v>
      </c>
      <c r="K675" s="154">
        <v>0</v>
      </c>
      <c r="L675" s="154">
        <v>0</v>
      </c>
      <c r="M675" s="154">
        <v>0</v>
      </c>
      <c r="N675" s="154">
        <v>0</v>
      </c>
      <c r="O675" s="154">
        <v>0</v>
      </c>
      <c r="P675" s="154">
        <v>0</v>
      </c>
      <c r="Q675" s="156">
        <v>120.5</v>
      </c>
    </row>
    <row r="676" spans="1:17" x14ac:dyDescent="0.35">
      <c r="A676" s="167"/>
      <c r="B676" s="170"/>
      <c r="C676" s="151" t="s">
        <v>596</v>
      </c>
      <c r="D676" s="170"/>
      <c r="E676" s="155"/>
      <c r="F676" s="155"/>
      <c r="G676" s="155"/>
      <c r="H676" s="155"/>
      <c r="I676" s="155"/>
      <c r="J676" s="155"/>
      <c r="K676" s="155"/>
      <c r="L676" s="155"/>
      <c r="M676" s="155"/>
      <c r="N676" s="155"/>
      <c r="O676" s="155"/>
      <c r="P676" s="155"/>
      <c r="Q676" s="157"/>
    </row>
    <row r="677" spans="1:17" ht="15" thickBot="1" x14ac:dyDescent="0.4">
      <c r="A677" s="168"/>
      <c r="B677" s="171"/>
      <c r="C677" s="148" t="s">
        <v>1430</v>
      </c>
      <c r="D677" s="171"/>
      <c r="E677" s="158"/>
      <c r="F677" s="158"/>
      <c r="G677" s="158"/>
      <c r="H677" s="158"/>
      <c r="I677" s="158"/>
      <c r="J677" s="158"/>
      <c r="K677" s="158"/>
      <c r="L677" s="158"/>
      <c r="M677" s="158"/>
      <c r="N677" s="158"/>
      <c r="O677" s="158"/>
      <c r="P677" s="158"/>
      <c r="Q677" s="159"/>
    </row>
    <row r="678" spans="1:17" x14ac:dyDescent="0.35">
      <c r="A678" s="166"/>
      <c r="B678" s="169">
        <v>226</v>
      </c>
      <c r="C678" s="147"/>
      <c r="D678" s="169"/>
      <c r="E678" s="154" t="s">
        <v>1543</v>
      </c>
      <c r="F678" s="154" t="s">
        <v>1543</v>
      </c>
      <c r="G678" s="154" t="s">
        <v>1543</v>
      </c>
      <c r="H678" s="154" t="s">
        <v>1543</v>
      </c>
      <c r="I678" s="154" t="s">
        <v>1543</v>
      </c>
      <c r="J678" s="154" t="s">
        <v>1543</v>
      </c>
      <c r="K678" s="154" t="s">
        <v>1543</v>
      </c>
      <c r="L678" s="154" t="s">
        <v>1543</v>
      </c>
      <c r="M678" s="154" t="s">
        <v>1543</v>
      </c>
      <c r="N678" s="154" t="s">
        <v>1543</v>
      </c>
      <c r="O678" s="154" t="s">
        <v>1543</v>
      </c>
      <c r="P678" s="154" t="s">
        <v>1543</v>
      </c>
      <c r="Q678" s="156" t="s">
        <v>1543</v>
      </c>
    </row>
    <row r="679" spans="1:17" x14ac:dyDescent="0.35">
      <c r="A679" s="167"/>
      <c r="B679" s="170"/>
      <c r="C679" s="151" t="s">
        <v>1251</v>
      </c>
      <c r="D679" s="170"/>
      <c r="E679" s="155"/>
      <c r="F679" s="155"/>
      <c r="G679" s="155"/>
      <c r="H679" s="155"/>
      <c r="I679" s="155"/>
      <c r="J679" s="155"/>
      <c r="K679" s="155"/>
      <c r="L679" s="155"/>
      <c r="M679" s="155"/>
      <c r="N679" s="155"/>
      <c r="O679" s="155"/>
      <c r="P679" s="155"/>
      <c r="Q679" s="157"/>
    </row>
    <row r="680" spans="1:17" ht="15" thickBot="1" x14ac:dyDescent="0.4">
      <c r="A680" s="168"/>
      <c r="B680" s="171"/>
      <c r="C680" s="148" t="s">
        <v>1545</v>
      </c>
      <c r="D680" s="171"/>
      <c r="E680" s="158"/>
      <c r="F680" s="158"/>
      <c r="G680" s="158"/>
      <c r="H680" s="158"/>
      <c r="I680" s="158"/>
      <c r="J680" s="158"/>
      <c r="K680" s="158"/>
      <c r="L680" s="158"/>
      <c r="M680" s="158"/>
      <c r="N680" s="158"/>
      <c r="O680" s="158"/>
      <c r="P680" s="158"/>
      <c r="Q680" s="159"/>
    </row>
    <row r="681" spans="1:17" x14ac:dyDescent="0.35">
      <c r="A681" s="166"/>
      <c r="B681" s="169">
        <v>227</v>
      </c>
      <c r="C681" s="147"/>
      <c r="D681" s="169"/>
      <c r="E681" s="154">
        <v>0</v>
      </c>
      <c r="F681" s="154">
        <v>0</v>
      </c>
      <c r="G681" s="154">
        <v>0</v>
      </c>
      <c r="H681" s="154">
        <v>0</v>
      </c>
      <c r="I681" s="154">
        <v>0</v>
      </c>
      <c r="J681" s="154">
        <v>0</v>
      </c>
      <c r="K681" s="154">
        <v>0</v>
      </c>
      <c r="L681" s="154">
        <v>0</v>
      </c>
      <c r="M681" s="154">
        <v>0</v>
      </c>
      <c r="N681" s="154">
        <v>0</v>
      </c>
      <c r="O681" s="154">
        <v>0</v>
      </c>
      <c r="P681" s="154">
        <v>0</v>
      </c>
      <c r="Q681" s="156">
        <v>123.9</v>
      </c>
    </row>
    <row r="682" spans="1:17" x14ac:dyDescent="0.35">
      <c r="A682" s="167"/>
      <c r="B682" s="170"/>
      <c r="C682" s="151" t="s">
        <v>1230</v>
      </c>
      <c r="D682" s="170"/>
      <c r="E682" s="155"/>
      <c r="F682" s="155"/>
      <c r="G682" s="155"/>
      <c r="H682" s="155"/>
      <c r="I682" s="155"/>
      <c r="J682" s="155"/>
      <c r="K682" s="155"/>
      <c r="L682" s="155"/>
      <c r="M682" s="155"/>
      <c r="N682" s="155"/>
      <c r="O682" s="155"/>
      <c r="P682" s="155"/>
      <c r="Q682" s="157"/>
    </row>
    <row r="683" spans="1:17" ht="15" thickBot="1" x14ac:dyDescent="0.4">
      <c r="A683" s="168"/>
      <c r="B683" s="171"/>
      <c r="C683" s="148" t="s">
        <v>1406</v>
      </c>
      <c r="D683" s="171"/>
      <c r="E683" s="158"/>
      <c r="F683" s="158"/>
      <c r="G683" s="158"/>
      <c r="H683" s="158"/>
      <c r="I683" s="158"/>
      <c r="J683" s="158"/>
      <c r="K683" s="158"/>
      <c r="L683" s="158"/>
      <c r="M683" s="158"/>
      <c r="N683" s="158"/>
      <c r="O683" s="158"/>
      <c r="P683" s="158"/>
      <c r="Q683" s="159"/>
    </row>
    <row r="684" spans="1:17" x14ac:dyDescent="0.35">
      <c r="A684" s="166"/>
      <c r="B684" s="169">
        <v>228</v>
      </c>
      <c r="C684" s="147"/>
      <c r="D684" s="169"/>
      <c r="E684" s="154">
        <v>0</v>
      </c>
      <c r="F684" s="154">
        <v>0</v>
      </c>
      <c r="G684" s="154">
        <v>0</v>
      </c>
      <c r="H684" s="154">
        <v>0</v>
      </c>
      <c r="I684" s="154">
        <v>0</v>
      </c>
      <c r="J684" s="154">
        <v>56</v>
      </c>
      <c r="K684" s="154">
        <v>625</v>
      </c>
      <c r="L684" s="154">
        <v>3</v>
      </c>
      <c r="M684" s="154">
        <v>0</v>
      </c>
      <c r="N684" s="154">
        <v>0</v>
      </c>
      <c r="O684" s="154">
        <v>0</v>
      </c>
      <c r="P684" s="154">
        <v>0</v>
      </c>
      <c r="Q684" s="156">
        <v>106.8</v>
      </c>
    </row>
    <row r="685" spans="1:17" x14ac:dyDescent="0.35">
      <c r="A685" s="167"/>
      <c r="B685" s="170"/>
      <c r="C685" s="151" t="s">
        <v>555</v>
      </c>
      <c r="D685" s="170"/>
      <c r="E685" s="155"/>
      <c r="F685" s="155"/>
      <c r="G685" s="155"/>
      <c r="H685" s="155"/>
      <c r="I685" s="155"/>
      <c r="J685" s="155"/>
      <c r="K685" s="155"/>
      <c r="L685" s="155"/>
      <c r="M685" s="155"/>
      <c r="N685" s="155"/>
      <c r="O685" s="155"/>
      <c r="P685" s="155"/>
      <c r="Q685" s="157"/>
    </row>
    <row r="686" spans="1:17" ht="15" thickBot="1" x14ac:dyDescent="0.4">
      <c r="A686" s="168"/>
      <c r="B686" s="171"/>
      <c r="C686" s="148" t="s">
        <v>1055</v>
      </c>
      <c r="D686" s="171"/>
      <c r="E686" s="158"/>
      <c r="F686" s="158"/>
      <c r="G686" s="158"/>
      <c r="H686" s="158"/>
      <c r="I686" s="158"/>
      <c r="J686" s="158"/>
      <c r="K686" s="158"/>
      <c r="L686" s="158"/>
      <c r="M686" s="158"/>
      <c r="N686" s="158"/>
      <c r="O686" s="158"/>
      <c r="P686" s="158"/>
      <c r="Q686" s="159"/>
    </row>
    <row r="687" spans="1:17" x14ac:dyDescent="0.35">
      <c r="A687" s="166"/>
      <c r="B687" s="169">
        <v>229</v>
      </c>
      <c r="C687" s="147"/>
      <c r="D687" s="169"/>
      <c r="E687" s="154">
        <v>0</v>
      </c>
      <c r="F687" s="154">
        <v>0</v>
      </c>
      <c r="G687" s="154">
        <v>0</v>
      </c>
      <c r="H687" s="154">
        <v>21</v>
      </c>
      <c r="I687" s="154">
        <v>0</v>
      </c>
      <c r="J687" s="154">
        <v>27</v>
      </c>
      <c r="K687" s="154">
        <v>367</v>
      </c>
      <c r="L687" s="154">
        <v>3</v>
      </c>
      <c r="M687" s="154">
        <v>0</v>
      </c>
      <c r="N687" s="154">
        <v>0</v>
      </c>
      <c r="O687" s="154">
        <v>0</v>
      </c>
      <c r="P687" s="154">
        <v>0</v>
      </c>
      <c r="Q687" s="156">
        <v>69.5</v>
      </c>
    </row>
    <row r="688" spans="1:17" x14ac:dyDescent="0.35">
      <c r="A688" s="167"/>
      <c r="B688" s="170"/>
      <c r="C688" s="151" t="s">
        <v>1419</v>
      </c>
      <c r="D688" s="170"/>
      <c r="E688" s="155"/>
      <c r="F688" s="155"/>
      <c r="G688" s="155"/>
      <c r="H688" s="155"/>
      <c r="I688" s="155"/>
      <c r="J688" s="155"/>
      <c r="K688" s="155"/>
      <c r="L688" s="155"/>
      <c r="M688" s="155"/>
      <c r="N688" s="155"/>
      <c r="O688" s="155"/>
      <c r="P688" s="155"/>
      <c r="Q688" s="157"/>
    </row>
    <row r="689" spans="1:17" ht="15" thickBot="1" x14ac:dyDescent="0.4">
      <c r="A689" s="168"/>
      <c r="B689" s="171"/>
      <c r="C689" s="148" t="s">
        <v>1037</v>
      </c>
      <c r="D689" s="171"/>
      <c r="E689" s="158"/>
      <c r="F689" s="158"/>
      <c r="G689" s="158"/>
      <c r="H689" s="158"/>
      <c r="I689" s="158"/>
      <c r="J689" s="158"/>
      <c r="K689" s="158"/>
      <c r="L689" s="158"/>
      <c r="M689" s="158"/>
      <c r="N689" s="158"/>
      <c r="O689" s="158"/>
      <c r="P689" s="158"/>
      <c r="Q689" s="159"/>
    </row>
    <row r="690" spans="1:17" x14ac:dyDescent="0.35">
      <c r="A690" s="166"/>
      <c r="B690" s="169">
        <v>230</v>
      </c>
      <c r="C690" s="147"/>
      <c r="D690" s="169"/>
      <c r="E690" s="154">
        <v>0</v>
      </c>
      <c r="F690" s="154">
        <v>0</v>
      </c>
      <c r="G690" s="154">
        <v>0</v>
      </c>
      <c r="H690" s="154">
        <v>21</v>
      </c>
      <c r="I690" s="154">
        <v>0</v>
      </c>
      <c r="J690" s="154">
        <v>54</v>
      </c>
      <c r="K690" s="154">
        <v>562</v>
      </c>
      <c r="L690" s="154">
        <v>3</v>
      </c>
      <c r="M690" s="154">
        <v>0</v>
      </c>
      <c r="N690" s="154">
        <v>0</v>
      </c>
      <c r="O690" s="154">
        <v>0</v>
      </c>
      <c r="P690" s="154">
        <v>0</v>
      </c>
      <c r="Q690" s="156">
        <v>103.7</v>
      </c>
    </row>
    <row r="691" spans="1:17" x14ac:dyDescent="0.35">
      <c r="A691" s="167"/>
      <c r="B691" s="170"/>
      <c r="C691" s="151" t="s">
        <v>261</v>
      </c>
      <c r="D691" s="170"/>
      <c r="E691" s="155"/>
      <c r="F691" s="155"/>
      <c r="G691" s="155"/>
      <c r="H691" s="155"/>
      <c r="I691" s="155"/>
      <c r="J691" s="155"/>
      <c r="K691" s="155"/>
      <c r="L691" s="155"/>
      <c r="M691" s="155"/>
      <c r="N691" s="155"/>
      <c r="O691" s="155"/>
      <c r="P691" s="155"/>
      <c r="Q691" s="157"/>
    </row>
    <row r="692" spans="1:17" ht="15" thickBot="1" x14ac:dyDescent="0.4">
      <c r="A692" s="168"/>
      <c r="B692" s="171"/>
      <c r="C692" s="148" t="s">
        <v>1080</v>
      </c>
      <c r="D692" s="171"/>
      <c r="E692" s="158"/>
      <c r="F692" s="158"/>
      <c r="G692" s="158"/>
      <c r="H692" s="158"/>
      <c r="I692" s="158"/>
      <c r="J692" s="158"/>
      <c r="K692" s="158"/>
      <c r="L692" s="158"/>
      <c r="M692" s="158"/>
      <c r="N692" s="158"/>
      <c r="O692" s="158"/>
      <c r="P692" s="158"/>
      <c r="Q692" s="159"/>
    </row>
    <row r="693" spans="1:17" x14ac:dyDescent="0.35">
      <c r="A693" s="166"/>
      <c r="B693" s="169">
        <v>231</v>
      </c>
      <c r="C693" s="147"/>
      <c r="D693" s="169"/>
      <c r="E693" s="154">
        <v>0</v>
      </c>
      <c r="F693" s="154">
        <v>0</v>
      </c>
      <c r="G693" s="154">
        <v>0</v>
      </c>
      <c r="H693" s="154">
        <v>0</v>
      </c>
      <c r="I693" s="154">
        <v>0</v>
      </c>
      <c r="J693" s="154">
        <v>30</v>
      </c>
      <c r="K693" s="154">
        <v>335</v>
      </c>
      <c r="L693" s="154">
        <v>2</v>
      </c>
      <c r="M693" s="154">
        <v>0</v>
      </c>
      <c r="N693" s="154">
        <v>0</v>
      </c>
      <c r="O693" s="154">
        <v>0</v>
      </c>
      <c r="P693" s="154">
        <v>0</v>
      </c>
      <c r="Q693" s="156">
        <v>62.9</v>
      </c>
    </row>
    <row r="694" spans="1:17" x14ac:dyDescent="0.35">
      <c r="A694" s="167"/>
      <c r="B694" s="170"/>
      <c r="C694" s="151" t="s">
        <v>658</v>
      </c>
      <c r="D694" s="170"/>
      <c r="E694" s="155"/>
      <c r="F694" s="155"/>
      <c r="G694" s="155"/>
      <c r="H694" s="155"/>
      <c r="I694" s="155"/>
      <c r="J694" s="155"/>
      <c r="K694" s="155"/>
      <c r="L694" s="155"/>
      <c r="M694" s="155"/>
      <c r="N694" s="155"/>
      <c r="O694" s="155"/>
      <c r="P694" s="155"/>
      <c r="Q694" s="157"/>
    </row>
    <row r="695" spans="1:17" ht="15" thickBot="1" x14ac:dyDescent="0.4">
      <c r="A695" s="168"/>
      <c r="B695" s="171"/>
      <c r="C695" s="148" t="s">
        <v>1093</v>
      </c>
      <c r="D695" s="171"/>
      <c r="E695" s="158"/>
      <c r="F695" s="158"/>
      <c r="G695" s="158"/>
      <c r="H695" s="158"/>
      <c r="I695" s="158"/>
      <c r="J695" s="158"/>
      <c r="K695" s="158"/>
      <c r="L695" s="158"/>
      <c r="M695" s="158"/>
      <c r="N695" s="158"/>
      <c r="O695" s="158"/>
      <c r="P695" s="158"/>
      <c r="Q695" s="159"/>
    </row>
    <row r="696" spans="1:17" x14ac:dyDescent="0.35">
      <c r="A696" s="166"/>
      <c r="B696" s="169">
        <v>232</v>
      </c>
      <c r="C696" s="147"/>
      <c r="D696" s="169"/>
      <c r="E696" s="154">
        <v>0</v>
      </c>
      <c r="F696" s="154">
        <v>0</v>
      </c>
      <c r="G696" s="154">
        <v>0</v>
      </c>
      <c r="H696" s="154">
        <v>15</v>
      </c>
      <c r="I696" s="154">
        <v>0</v>
      </c>
      <c r="J696" s="154">
        <v>19</v>
      </c>
      <c r="K696" s="154">
        <v>214</v>
      </c>
      <c r="L696" s="154">
        <v>1</v>
      </c>
      <c r="M696" s="154">
        <v>0</v>
      </c>
      <c r="N696" s="154">
        <v>0</v>
      </c>
      <c r="O696" s="154">
        <v>0</v>
      </c>
      <c r="P696" s="154">
        <v>0</v>
      </c>
      <c r="Q696" s="156">
        <v>41.3</v>
      </c>
    </row>
    <row r="697" spans="1:17" x14ac:dyDescent="0.35">
      <c r="A697" s="167"/>
      <c r="B697" s="170"/>
      <c r="C697" s="151" t="s">
        <v>1324</v>
      </c>
      <c r="D697" s="170"/>
      <c r="E697" s="155"/>
      <c r="F697" s="155"/>
      <c r="G697" s="155"/>
      <c r="H697" s="155"/>
      <c r="I697" s="155"/>
      <c r="J697" s="155"/>
      <c r="K697" s="155"/>
      <c r="L697" s="155"/>
      <c r="M697" s="155"/>
      <c r="N697" s="155"/>
      <c r="O697" s="155"/>
      <c r="P697" s="155"/>
      <c r="Q697" s="157"/>
    </row>
    <row r="698" spans="1:17" ht="15" thickBot="1" x14ac:dyDescent="0.4">
      <c r="A698" s="168"/>
      <c r="B698" s="171"/>
      <c r="C698" s="148" t="s">
        <v>1152</v>
      </c>
      <c r="D698" s="171"/>
      <c r="E698" s="158"/>
      <c r="F698" s="158"/>
      <c r="G698" s="158"/>
      <c r="H698" s="158"/>
      <c r="I698" s="158"/>
      <c r="J698" s="158"/>
      <c r="K698" s="158"/>
      <c r="L698" s="158"/>
      <c r="M698" s="158"/>
      <c r="N698" s="158"/>
      <c r="O698" s="158"/>
      <c r="P698" s="158"/>
      <c r="Q698" s="159"/>
    </row>
    <row r="699" spans="1:17" x14ac:dyDescent="0.35">
      <c r="A699" s="166"/>
      <c r="B699" s="169">
        <v>233</v>
      </c>
      <c r="C699" s="147"/>
      <c r="D699" s="169"/>
      <c r="E699" s="154">
        <v>0</v>
      </c>
      <c r="F699" s="154">
        <v>0</v>
      </c>
      <c r="G699" s="154">
        <v>0</v>
      </c>
      <c r="H699" s="154">
        <v>38</v>
      </c>
      <c r="I699" s="154">
        <v>0</v>
      </c>
      <c r="J699" s="154">
        <v>45</v>
      </c>
      <c r="K699" s="154">
        <v>536</v>
      </c>
      <c r="L699" s="154">
        <v>2</v>
      </c>
      <c r="M699" s="154">
        <v>0</v>
      </c>
      <c r="N699" s="154">
        <v>0</v>
      </c>
      <c r="O699" s="154">
        <v>0</v>
      </c>
      <c r="P699" s="154">
        <v>0</v>
      </c>
      <c r="Q699" s="156">
        <v>100</v>
      </c>
    </row>
    <row r="700" spans="1:17" x14ac:dyDescent="0.35">
      <c r="A700" s="167"/>
      <c r="B700" s="170"/>
      <c r="C700" s="151" t="s">
        <v>800</v>
      </c>
      <c r="D700" s="170"/>
      <c r="E700" s="155"/>
      <c r="F700" s="155"/>
      <c r="G700" s="155"/>
      <c r="H700" s="155"/>
      <c r="I700" s="155"/>
      <c r="J700" s="155"/>
      <c r="K700" s="155"/>
      <c r="L700" s="155"/>
      <c r="M700" s="155"/>
      <c r="N700" s="155"/>
      <c r="O700" s="155"/>
      <c r="P700" s="155"/>
      <c r="Q700" s="157"/>
    </row>
    <row r="701" spans="1:17" ht="15" thickBot="1" x14ac:dyDescent="0.4">
      <c r="A701" s="168"/>
      <c r="B701" s="171"/>
      <c r="C701" s="148" t="s">
        <v>1106</v>
      </c>
      <c r="D701" s="171"/>
      <c r="E701" s="158"/>
      <c r="F701" s="158"/>
      <c r="G701" s="158"/>
      <c r="H701" s="158"/>
      <c r="I701" s="158"/>
      <c r="J701" s="158"/>
      <c r="K701" s="158"/>
      <c r="L701" s="158"/>
      <c r="M701" s="158"/>
      <c r="N701" s="158"/>
      <c r="O701" s="158"/>
      <c r="P701" s="158"/>
      <c r="Q701" s="159"/>
    </row>
    <row r="702" spans="1:17" x14ac:dyDescent="0.35">
      <c r="A702" s="166"/>
      <c r="B702" s="169">
        <v>234</v>
      </c>
      <c r="C702" s="147"/>
      <c r="D702" s="169"/>
      <c r="E702" s="154">
        <v>0</v>
      </c>
      <c r="F702" s="154">
        <v>0</v>
      </c>
      <c r="G702" s="154">
        <v>0</v>
      </c>
      <c r="H702" s="154">
        <v>0</v>
      </c>
      <c r="I702" s="154">
        <v>0</v>
      </c>
      <c r="J702" s="154">
        <v>34</v>
      </c>
      <c r="K702" s="154">
        <v>515</v>
      </c>
      <c r="L702" s="154">
        <v>3</v>
      </c>
      <c r="M702" s="154">
        <v>0</v>
      </c>
      <c r="N702" s="154">
        <v>0</v>
      </c>
      <c r="O702" s="154">
        <v>0</v>
      </c>
      <c r="P702" s="154">
        <v>0</v>
      </c>
      <c r="Q702" s="156">
        <v>87.4</v>
      </c>
    </row>
    <row r="703" spans="1:17" x14ac:dyDescent="0.35">
      <c r="A703" s="167"/>
      <c r="B703" s="170"/>
      <c r="C703" s="151" t="s">
        <v>345</v>
      </c>
      <c r="D703" s="170"/>
      <c r="E703" s="155"/>
      <c r="F703" s="155"/>
      <c r="G703" s="155"/>
      <c r="H703" s="155"/>
      <c r="I703" s="155"/>
      <c r="J703" s="155"/>
      <c r="K703" s="155"/>
      <c r="L703" s="155"/>
      <c r="M703" s="155"/>
      <c r="N703" s="155"/>
      <c r="O703" s="155"/>
      <c r="P703" s="155"/>
      <c r="Q703" s="157"/>
    </row>
    <row r="704" spans="1:17" ht="15" thickBot="1" x14ac:dyDescent="0.4">
      <c r="A704" s="168"/>
      <c r="B704" s="171"/>
      <c r="C704" s="148" t="s">
        <v>1027</v>
      </c>
      <c r="D704" s="171"/>
      <c r="E704" s="158"/>
      <c r="F704" s="158"/>
      <c r="G704" s="158"/>
      <c r="H704" s="158"/>
      <c r="I704" s="158"/>
      <c r="J704" s="158"/>
      <c r="K704" s="158"/>
      <c r="L704" s="158"/>
      <c r="M704" s="158"/>
      <c r="N704" s="158"/>
      <c r="O704" s="158"/>
      <c r="P704" s="158"/>
      <c r="Q704" s="159"/>
    </row>
    <row r="705" spans="1:17" x14ac:dyDescent="0.35">
      <c r="A705" s="166"/>
      <c r="B705" s="169">
        <v>235</v>
      </c>
      <c r="C705" s="147"/>
      <c r="D705" s="169"/>
      <c r="E705" s="154">
        <v>0</v>
      </c>
      <c r="F705" s="154">
        <v>0</v>
      </c>
      <c r="G705" s="154">
        <v>0</v>
      </c>
      <c r="H705" s="154">
        <v>0</v>
      </c>
      <c r="I705" s="154">
        <v>0</v>
      </c>
      <c r="J705" s="154">
        <v>39</v>
      </c>
      <c r="K705" s="154">
        <v>489</v>
      </c>
      <c r="L705" s="154">
        <v>3</v>
      </c>
      <c r="M705" s="154">
        <v>0</v>
      </c>
      <c r="N705" s="154">
        <v>0</v>
      </c>
      <c r="O705" s="154">
        <v>0</v>
      </c>
      <c r="P705" s="154">
        <v>0</v>
      </c>
      <c r="Q705" s="156">
        <v>85</v>
      </c>
    </row>
    <row r="706" spans="1:17" x14ac:dyDescent="0.35">
      <c r="A706" s="167"/>
      <c r="B706" s="170"/>
      <c r="C706" s="151" t="s">
        <v>1379</v>
      </c>
      <c r="D706" s="170"/>
      <c r="E706" s="155"/>
      <c r="F706" s="155"/>
      <c r="G706" s="155"/>
      <c r="H706" s="155"/>
      <c r="I706" s="155"/>
      <c r="J706" s="155"/>
      <c r="K706" s="155"/>
      <c r="L706" s="155"/>
      <c r="M706" s="155"/>
      <c r="N706" s="155"/>
      <c r="O706" s="155"/>
      <c r="P706" s="155"/>
      <c r="Q706" s="157"/>
    </row>
    <row r="707" spans="1:17" ht="15" thickBot="1" x14ac:dyDescent="0.4">
      <c r="A707" s="168"/>
      <c r="B707" s="171"/>
      <c r="C707" s="148" t="s">
        <v>1052</v>
      </c>
      <c r="D707" s="171"/>
      <c r="E707" s="158"/>
      <c r="F707" s="158"/>
      <c r="G707" s="158"/>
      <c r="H707" s="158"/>
      <c r="I707" s="158"/>
      <c r="J707" s="158"/>
      <c r="K707" s="158"/>
      <c r="L707" s="158"/>
      <c r="M707" s="158"/>
      <c r="N707" s="158"/>
      <c r="O707" s="158"/>
      <c r="P707" s="158"/>
      <c r="Q707" s="159"/>
    </row>
    <row r="708" spans="1:17" x14ac:dyDescent="0.35">
      <c r="A708" s="166"/>
      <c r="B708" s="169">
        <v>236</v>
      </c>
      <c r="C708" s="147"/>
      <c r="D708" s="169"/>
      <c r="E708" s="154">
        <v>0</v>
      </c>
      <c r="F708" s="154">
        <v>0</v>
      </c>
      <c r="G708" s="154">
        <v>0</v>
      </c>
      <c r="H708" s="154">
        <v>42</v>
      </c>
      <c r="I708" s="154">
        <v>0</v>
      </c>
      <c r="J708" s="154">
        <v>35</v>
      </c>
      <c r="K708" s="154">
        <v>495</v>
      </c>
      <c r="L708" s="154">
        <v>2</v>
      </c>
      <c r="M708" s="154">
        <v>0</v>
      </c>
      <c r="N708" s="154">
        <v>0</v>
      </c>
      <c r="O708" s="154">
        <v>0</v>
      </c>
      <c r="P708" s="154">
        <v>0</v>
      </c>
      <c r="Q708" s="156">
        <v>84.8</v>
      </c>
    </row>
    <row r="709" spans="1:17" x14ac:dyDescent="0.35">
      <c r="A709" s="167"/>
      <c r="B709" s="170"/>
      <c r="C709" s="151" t="s">
        <v>1272</v>
      </c>
      <c r="D709" s="170"/>
      <c r="E709" s="155"/>
      <c r="F709" s="155"/>
      <c r="G709" s="155"/>
      <c r="H709" s="155"/>
      <c r="I709" s="155"/>
      <c r="J709" s="155"/>
      <c r="K709" s="155"/>
      <c r="L709" s="155"/>
      <c r="M709" s="155"/>
      <c r="N709" s="155"/>
      <c r="O709" s="155"/>
      <c r="P709" s="155"/>
      <c r="Q709" s="157"/>
    </row>
    <row r="710" spans="1:17" ht="15" thickBot="1" x14ac:dyDescent="0.4">
      <c r="A710" s="168"/>
      <c r="B710" s="171"/>
      <c r="C710" s="148" t="s">
        <v>1153</v>
      </c>
      <c r="D710" s="171"/>
      <c r="E710" s="158"/>
      <c r="F710" s="158"/>
      <c r="G710" s="158"/>
      <c r="H710" s="158"/>
      <c r="I710" s="158"/>
      <c r="J710" s="158"/>
      <c r="K710" s="158"/>
      <c r="L710" s="158"/>
      <c r="M710" s="158"/>
      <c r="N710" s="158"/>
      <c r="O710" s="158"/>
      <c r="P710" s="158"/>
      <c r="Q710" s="159"/>
    </row>
    <row r="711" spans="1:17" x14ac:dyDescent="0.35">
      <c r="A711" s="166"/>
      <c r="B711" s="169">
        <v>237</v>
      </c>
      <c r="C711" s="147"/>
      <c r="D711" s="169"/>
      <c r="E711" s="154">
        <v>0</v>
      </c>
      <c r="F711" s="154">
        <v>0</v>
      </c>
      <c r="G711" s="154">
        <v>0</v>
      </c>
      <c r="H711" s="154">
        <v>46</v>
      </c>
      <c r="I711" s="154">
        <v>0</v>
      </c>
      <c r="J711" s="154">
        <v>22</v>
      </c>
      <c r="K711" s="154">
        <v>305</v>
      </c>
      <c r="L711" s="154">
        <v>2</v>
      </c>
      <c r="M711" s="154">
        <v>0</v>
      </c>
      <c r="N711" s="154">
        <v>0</v>
      </c>
      <c r="O711" s="154">
        <v>0</v>
      </c>
      <c r="P711" s="154">
        <v>0</v>
      </c>
      <c r="Q711" s="156">
        <v>59.5</v>
      </c>
    </row>
    <row r="712" spans="1:17" x14ac:dyDescent="0.35">
      <c r="A712" s="167"/>
      <c r="B712" s="170"/>
      <c r="C712" s="151" t="s">
        <v>494</v>
      </c>
      <c r="D712" s="170"/>
      <c r="E712" s="155"/>
      <c r="F712" s="155"/>
      <c r="G712" s="155"/>
      <c r="H712" s="155"/>
      <c r="I712" s="155"/>
      <c r="J712" s="155"/>
      <c r="K712" s="155"/>
      <c r="L712" s="155"/>
      <c r="M712" s="155"/>
      <c r="N712" s="155"/>
      <c r="O712" s="155"/>
      <c r="P712" s="155"/>
      <c r="Q712" s="157"/>
    </row>
    <row r="713" spans="1:17" ht="15" thickBot="1" x14ac:dyDescent="0.4">
      <c r="A713" s="168"/>
      <c r="B713" s="171"/>
      <c r="C713" s="148" t="s">
        <v>1054</v>
      </c>
      <c r="D713" s="171"/>
      <c r="E713" s="158"/>
      <c r="F713" s="158"/>
      <c r="G713" s="158"/>
      <c r="H713" s="158"/>
      <c r="I713" s="158"/>
      <c r="J713" s="158"/>
      <c r="K713" s="158"/>
      <c r="L713" s="158"/>
      <c r="M713" s="158"/>
      <c r="N713" s="158"/>
      <c r="O713" s="158"/>
      <c r="P713" s="158"/>
      <c r="Q713" s="159"/>
    </row>
    <row r="714" spans="1:17" x14ac:dyDescent="0.35">
      <c r="A714" s="166"/>
      <c r="B714" s="169">
        <v>238</v>
      </c>
      <c r="C714" s="147"/>
      <c r="D714" s="169"/>
      <c r="E714" s="154">
        <v>0</v>
      </c>
      <c r="F714" s="154">
        <v>0</v>
      </c>
      <c r="G714" s="154">
        <v>0</v>
      </c>
      <c r="H714" s="154">
        <v>87</v>
      </c>
      <c r="I714" s="154">
        <v>1</v>
      </c>
      <c r="J714" s="154">
        <v>7</v>
      </c>
      <c r="K714" s="154">
        <v>53</v>
      </c>
      <c r="L714" s="154">
        <v>0</v>
      </c>
      <c r="M714" s="154">
        <v>0</v>
      </c>
      <c r="N714" s="154">
        <v>0</v>
      </c>
      <c r="O714" s="154">
        <v>0</v>
      </c>
      <c r="P714" s="154">
        <v>0</v>
      </c>
      <c r="Q714" s="156">
        <v>23.6</v>
      </c>
    </row>
    <row r="715" spans="1:17" x14ac:dyDescent="0.35">
      <c r="A715" s="167"/>
      <c r="B715" s="170"/>
      <c r="C715" s="151" t="s">
        <v>1256</v>
      </c>
      <c r="D715" s="170"/>
      <c r="E715" s="155"/>
      <c r="F715" s="155"/>
      <c r="G715" s="155"/>
      <c r="H715" s="155"/>
      <c r="I715" s="155"/>
      <c r="J715" s="155"/>
      <c r="K715" s="155"/>
      <c r="L715" s="155"/>
      <c r="M715" s="155"/>
      <c r="N715" s="155"/>
      <c r="O715" s="155"/>
      <c r="P715" s="155"/>
      <c r="Q715" s="157"/>
    </row>
    <row r="716" spans="1:17" ht="15" thickBot="1" x14ac:dyDescent="0.4">
      <c r="A716" s="168"/>
      <c r="B716" s="171"/>
      <c r="C716" s="148" t="s">
        <v>1091</v>
      </c>
      <c r="D716" s="171"/>
      <c r="E716" s="158"/>
      <c r="F716" s="158"/>
      <c r="G716" s="158"/>
      <c r="H716" s="158"/>
      <c r="I716" s="158"/>
      <c r="J716" s="158"/>
      <c r="K716" s="158"/>
      <c r="L716" s="158"/>
      <c r="M716" s="158"/>
      <c r="N716" s="158"/>
      <c r="O716" s="158"/>
      <c r="P716" s="158"/>
      <c r="Q716" s="159"/>
    </row>
    <row r="717" spans="1:17" x14ac:dyDescent="0.35">
      <c r="A717" s="166"/>
      <c r="B717" s="169">
        <v>239</v>
      </c>
      <c r="C717" s="147"/>
      <c r="D717" s="169"/>
      <c r="E717" s="154">
        <v>0</v>
      </c>
      <c r="F717" s="154">
        <v>0</v>
      </c>
      <c r="G717" s="154">
        <v>0</v>
      </c>
      <c r="H717" s="154">
        <v>185</v>
      </c>
      <c r="I717" s="154">
        <v>1</v>
      </c>
      <c r="J717" s="154">
        <v>15</v>
      </c>
      <c r="K717" s="154">
        <v>120</v>
      </c>
      <c r="L717" s="154">
        <v>1</v>
      </c>
      <c r="M717" s="154">
        <v>0</v>
      </c>
      <c r="N717" s="154">
        <v>0</v>
      </c>
      <c r="O717" s="154">
        <v>0</v>
      </c>
      <c r="P717" s="154">
        <v>0</v>
      </c>
      <c r="Q717" s="156">
        <v>46.8</v>
      </c>
    </row>
    <row r="718" spans="1:17" x14ac:dyDescent="0.35">
      <c r="A718" s="167"/>
      <c r="B718" s="170"/>
      <c r="C718" s="151" t="s">
        <v>1401</v>
      </c>
      <c r="D718" s="170"/>
      <c r="E718" s="155"/>
      <c r="F718" s="155"/>
      <c r="G718" s="155"/>
      <c r="H718" s="155"/>
      <c r="I718" s="155"/>
      <c r="J718" s="155"/>
      <c r="K718" s="155"/>
      <c r="L718" s="155"/>
      <c r="M718" s="155"/>
      <c r="N718" s="155"/>
      <c r="O718" s="155"/>
      <c r="P718" s="155"/>
      <c r="Q718" s="157"/>
    </row>
    <row r="719" spans="1:17" ht="15" thickBot="1" x14ac:dyDescent="0.4">
      <c r="A719" s="168"/>
      <c r="B719" s="171"/>
      <c r="C719" s="148" t="s">
        <v>1024</v>
      </c>
      <c r="D719" s="171"/>
      <c r="E719" s="158"/>
      <c r="F719" s="158"/>
      <c r="G719" s="158"/>
      <c r="H719" s="158"/>
      <c r="I719" s="158"/>
      <c r="J719" s="158"/>
      <c r="K719" s="158"/>
      <c r="L719" s="158"/>
      <c r="M719" s="158"/>
      <c r="N719" s="158"/>
      <c r="O719" s="158"/>
      <c r="P719" s="158"/>
      <c r="Q719" s="159"/>
    </row>
    <row r="720" spans="1:17" x14ac:dyDescent="0.35">
      <c r="A720" s="166"/>
      <c r="B720" s="169">
        <v>240</v>
      </c>
      <c r="C720" s="147"/>
      <c r="D720" s="169"/>
      <c r="E720" s="154">
        <v>0</v>
      </c>
      <c r="F720" s="154">
        <v>0</v>
      </c>
      <c r="G720" s="154">
        <v>0</v>
      </c>
      <c r="H720" s="154">
        <v>142</v>
      </c>
      <c r="I720" s="154">
        <v>1</v>
      </c>
      <c r="J720" s="154">
        <v>8</v>
      </c>
      <c r="K720" s="154">
        <v>66</v>
      </c>
      <c r="L720" s="154">
        <v>0</v>
      </c>
      <c r="M720" s="154">
        <v>0</v>
      </c>
      <c r="N720" s="154">
        <v>0</v>
      </c>
      <c r="O720" s="154">
        <v>0</v>
      </c>
      <c r="P720" s="154">
        <v>0</v>
      </c>
      <c r="Q720" s="156">
        <v>31.3</v>
      </c>
    </row>
    <row r="721" spans="1:17" x14ac:dyDescent="0.35">
      <c r="A721" s="167"/>
      <c r="B721" s="170"/>
      <c r="C721" s="151" t="s">
        <v>1377</v>
      </c>
      <c r="D721" s="170"/>
      <c r="E721" s="155"/>
      <c r="F721" s="155"/>
      <c r="G721" s="155"/>
      <c r="H721" s="155"/>
      <c r="I721" s="155"/>
      <c r="J721" s="155"/>
      <c r="K721" s="155"/>
      <c r="L721" s="155"/>
      <c r="M721" s="155"/>
      <c r="N721" s="155"/>
      <c r="O721" s="155"/>
      <c r="P721" s="155"/>
      <c r="Q721" s="157"/>
    </row>
    <row r="722" spans="1:17" ht="15" thickBot="1" x14ac:dyDescent="0.4">
      <c r="A722" s="168"/>
      <c r="B722" s="171"/>
      <c r="C722" s="148" t="s">
        <v>1041</v>
      </c>
      <c r="D722" s="171"/>
      <c r="E722" s="158"/>
      <c r="F722" s="158"/>
      <c r="G722" s="158"/>
      <c r="H722" s="158"/>
      <c r="I722" s="158"/>
      <c r="J722" s="158"/>
      <c r="K722" s="158"/>
      <c r="L722" s="158"/>
      <c r="M722" s="158"/>
      <c r="N722" s="158"/>
      <c r="O722" s="158"/>
      <c r="P722" s="158"/>
      <c r="Q722" s="159"/>
    </row>
    <row r="723" spans="1:17" x14ac:dyDescent="0.35">
      <c r="A723" s="166"/>
      <c r="B723" s="169">
        <v>241</v>
      </c>
      <c r="C723" s="147"/>
      <c r="D723" s="169"/>
      <c r="E723" s="154">
        <v>0</v>
      </c>
      <c r="F723" s="154">
        <v>0</v>
      </c>
      <c r="G723" s="154">
        <v>0</v>
      </c>
      <c r="H723" s="154">
        <v>180</v>
      </c>
      <c r="I723" s="154">
        <v>1</v>
      </c>
      <c r="J723" s="154">
        <v>33</v>
      </c>
      <c r="K723" s="154">
        <v>285</v>
      </c>
      <c r="L723" s="154">
        <v>1</v>
      </c>
      <c r="M723" s="154">
        <v>0</v>
      </c>
      <c r="N723" s="154">
        <v>0</v>
      </c>
      <c r="O723" s="154">
        <v>0</v>
      </c>
      <c r="P723" s="154">
        <v>0</v>
      </c>
      <c r="Q723" s="156">
        <v>74.3</v>
      </c>
    </row>
    <row r="724" spans="1:17" x14ac:dyDescent="0.35">
      <c r="A724" s="167"/>
      <c r="B724" s="170"/>
      <c r="C724" s="151" t="s">
        <v>461</v>
      </c>
      <c r="D724" s="170"/>
      <c r="E724" s="155"/>
      <c r="F724" s="155"/>
      <c r="G724" s="155"/>
      <c r="H724" s="155"/>
      <c r="I724" s="155"/>
      <c r="J724" s="155"/>
      <c r="K724" s="155"/>
      <c r="L724" s="155"/>
      <c r="M724" s="155"/>
      <c r="N724" s="155"/>
      <c r="O724" s="155"/>
      <c r="P724" s="155"/>
      <c r="Q724" s="157"/>
    </row>
    <row r="725" spans="1:17" ht="15" thickBot="1" x14ac:dyDescent="0.4">
      <c r="A725" s="168"/>
      <c r="B725" s="171"/>
      <c r="C725" s="148" t="s">
        <v>1382</v>
      </c>
      <c r="D725" s="171"/>
      <c r="E725" s="158"/>
      <c r="F725" s="158"/>
      <c r="G725" s="158"/>
      <c r="H725" s="158"/>
      <c r="I725" s="158"/>
      <c r="J725" s="158"/>
      <c r="K725" s="158"/>
      <c r="L725" s="158"/>
      <c r="M725" s="158"/>
      <c r="N725" s="158"/>
      <c r="O725" s="158"/>
      <c r="P725" s="158"/>
      <c r="Q725" s="159"/>
    </row>
    <row r="726" spans="1:17" x14ac:dyDescent="0.35">
      <c r="A726" s="166"/>
      <c r="B726" s="169">
        <v>242</v>
      </c>
      <c r="C726" s="147"/>
      <c r="D726" s="169"/>
      <c r="E726" s="154">
        <v>0</v>
      </c>
      <c r="F726" s="154">
        <v>0</v>
      </c>
      <c r="G726" s="154">
        <v>0</v>
      </c>
      <c r="H726" s="154">
        <v>188</v>
      </c>
      <c r="I726" s="154">
        <v>1</v>
      </c>
      <c r="J726" s="154">
        <v>15</v>
      </c>
      <c r="K726" s="154">
        <v>109</v>
      </c>
      <c r="L726" s="154">
        <v>1</v>
      </c>
      <c r="M726" s="154">
        <v>0</v>
      </c>
      <c r="N726" s="154">
        <v>0</v>
      </c>
      <c r="O726" s="154">
        <v>0</v>
      </c>
      <c r="P726" s="154">
        <v>0</v>
      </c>
      <c r="Q726" s="156">
        <v>48.8</v>
      </c>
    </row>
    <row r="727" spans="1:17" x14ac:dyDescent="0.35">
      <c r="A727" s="167"/>
      <c r="B727" s="170"/>
      <c r="C727" s="151" t="s">
        <v>288</v>
      </c>
      <c r="D727" s="170"/>
      <c r="E727" s="155"/>
      <c r="F727" s="155"/>
      <c r="G727" s="155"/>
      <c r="H727" s="155"/>
      <c r="I727" s="155"/>
      <c r="J727" s="155"/>
      <c r="K727" s="155"/>
      <c r="L727" s="155"/>
      <c r="M727" s="155"/>
      <c r="N727" s="155"/>
      <c r="O727" s="155"/>
      <c r="P727" s="155"/>
      <c r="Q727" s="157"/>
    </row>
    <row r="728" spans="1:17" ht="15" thickBot="1" x14ac:dyDescent="0.4">
      <c r="A728" s="168"/>
      <c r="B728" s="171"/>
      <c r="C728" s="148" t="s">
        <v>1042</v>
      </c>
      <c r="D728" s="171"/>
      <c r="E728" s="158"/>
      <c r="F728" s="158"/>
      <c r="G728" s="158"/>
      <c r="H728" s="158"/>
      <c r="I728" s="158"/>
      <c r="J728" s="158"/>
      <c r="K728" s="158"/>
      <c r="L728" s="158"/>
      <c r="M728" s="158"/>
      <c r="N728" s="158"/>
      <c r="O728" s="158"/>
      <c r="P728" s="158"/>
      <c r="Q728" s="159"/>
    </row>
    <row r="729" spans="1:17" x14ac:dyDescent="0.35">
      <c r="A729" s="166"/>
      <c r="B729" s="169">
        <v>243</v>
      </c>
      <c r="C729" s="147"/>
      <c r="D729" s="169"/>
      <c r="E729" s="154">
        <v>0</v>
      </c>
      <c r="F729" s="154">
        <v>0</v>
      </c>
      <c r="G729" s="154">
        <v>0</v>
      </c>
      <c r="H729" s="154">
        <v>330</v>
      </c>
      <c r="I729" s="154">
        <v>2</v>
      </c>
      <c r="J729" s="154">
        <v>13</v>
      </c>
      <c r="K729" s="154">
        <v>98</v>
      </c>
      <c r="L729" s="154">
        <v>0</v>
      </c>
      <c r="M729" s="154">
        <v>0</v>
      </c>
      <c r="N729" s="154">
        <v>0</v>
      </c>
      <c r="O729" s="154">
        <v>0</v>
      </c>
      <c r="P729" s="154">
        <v>0</v>
      </c>
      <c r="Q729" s="156">
        <v>61.1</v>
      </c>
    </row>
    <row r="730" spans="1:17" x14ac:dyDescent="0.35">
      <c r="A730" s="167"/>
      <c r="B730" s="170"/>
      <c r="C730" s="151" t="s">
        <v>447</v>
      </c>
      <c r="D730" s="170"/>
      <c r="E730" s="155"/>
      <c r="F730" s="155"/>
      <c r="G730" s="155"/>
      <c r="H730" s="155"/>
      <c r="I730" s="155"/>
      <c r="J730" s="155"/>
      <c r="K730" s="155"/>
      <c r="L730" s="155"/>
      <c r="M730" s="155"/>
      <c r="N730" s="155"/>
      <c r="O730" s="155"/>
      <c r="P730" s="155"/>
      <c r="Q730" s="157"/>
    </row>
    <row r="731" spans="1:17" ht="15" thickBot="1" x14ac:dyDescent="0.4">
      <c r="A731" s="168"/>
      <c r="B731" s="171"/>
      <c r="C731" s="148" t="s">
        <v>1024</v>
      </c>
      <c r="D731" s="171"/>
      <c r="E731" s="158"/>
      <c r="F731" s="158"/>
      <c r="G731" s="158"/>
      <c r="H731" s="158"/>
      <c r="I731" s="158"/>
      <c r="J731" s="158"/>
      <c r="K731" s="158"/>
      <c r="L731" s="158"/>
      <c r="M731" s="158"/>
      <c r="N731" s="158"/>
      <c r="O731" s="158"/>
      <c r="P731" s="158"/>
      <c r="Q731" s="159"/>
    </row>
    <row r="732" spans="1:17" x14ac:dyDescent="0.35">
      <c r="A732" s="166"/>
      <c r="B732" s="169">
        <v>244</v>
      </c>
      <c r="C732" s="147"/>
      <c r="D732" s="169"/>
      <c r="E732" s="154">
        <v>0</v>
      </c>
      <c r="F732" s="154">
        <v>0</v>
      </c>
      <c r="G732" s="154">
        <v>0</v>
      </c>
      <c r="H732" s="154">
        <v>223</v>
      </c>
      <c r="I732" s="154">
        <v>1</v>
      </c>
      <c r="J732" s="154">
        <v>13</v>
      </c>
      <c r="K732" s="154">
        <v>96</v>
      </c>
      <c r="L732" s="154">
        <v>0</v>
      </c>
      <c r="M732" s="154">
        <v>0</v>
      </c>
      <c r="N732" s="154">
        <v>0</v>
      </c>
      <c r="O732" s="154">
        <v>0</v>
      </c>
      <c r="P732" s="154">
        <v>0</v>
      </c>
      <c r="Q732" s="156">
        <v>48.5</v>
      </c>
    </row>
    <row r="733" spans="1:17" x14ac:dyDescent="0.35">
      <c r="A733" s="167"/>
      <c r="B733" s="170"/>
      <c r="C733" s="151" t="s">
        <v>370</v>
      </c>
      <c r="D733" s="170"/>
      <c r="E733" s="155"/>
      <c r="F733" s="155"/>
      <c r="G733" s="155"/>
      <c r="H733" s="155"/>
      <c r="I733" s="155"/>
      <c r="J733" s="155"/>
      <c r="K733" s="155"/>
      <c r="L733" s="155"/>
      <c r="M733" s="155"/>
      <c r="N733" s="155"/>
      <c r="O733" s="155"/>
      <c r="P733" s="155"/>
      <c r="Q733" s="157"/>
    </row>
    <row r="734" spans="1:17" ht="15" thickBot="1" x14ac:dyDescent="0.4">
      <c r="A734" s="168"/>
      <c r="B734" s="171"/>
      <c r="C734" s="148" t="s">
        <v>1020</v>
      </c>
      <c r="D734" s="171"/>
      <c r="E734" s="158"/>
      <c r="F734" s="158"/>
      <c r="G734" s="158"/>
      <c r="H734" s="158"/>
      <c r="I734" s="158"/>
      <c r="J734" s="158"/>
      <c r="K734" s="158"/>
      <c r="L734" s="158"/>
      <c r="M734" s="158"/>
      <c r="N734" s="158"/>
      <c r="O734" s="158"/>
      <c r="P734" s="158"/>
      <c r="Q734" s="159"/>
    </row>
    <row r="735" spans="1:17" x14ac:dyDescent="0.35">
      <c r="A735" s="166"/>
      <c r="B735" s="169">
        <v>245</v>
      </c>
      <c r="C735" s="147"/>
      <c r="D735" s="169"/>
      <c r="E735" s="154">
        <v>0</v>
      </c>
      <c r="F735" s="154">
        <v>0</v>
      </c>
      <c r="G735" s="154">
        <v>0</v>
      </c>
      <c r="H735" s="154">
        <v>297</v>
      </c>
      <c r="I735" s="154">
        <v>2</v>
      </c>
      <c r="J735" s="154">
        <v>14</v>
      </c>
      <c r="K735" s="154">
        <v>112</v>
      </c>
      <c r="L735" s="154">
        <v>1</v>
      </c>
      <c r="M735" s="154">
        <v>0</v>
      </c>
      <c r="N735" s="154">
        <v>0</v>
      </c>
      <c r="O735" s="154">
        <v>0</v>
      </c>
      <c r="P735" s="154">
        <v>0</v>
      </c>
      <c r="Q735" s="156">
        <v>63.2</v>
      </c>
    </row>
    <row r="736" spans="1:17" x14ac:dyDescent="0.35">
      <c r="A736" s="167"/>
      <c r="B736" s="170"/>
      <c r="C736" s="151" t="s">
        <v>232</v>
      </c>
      <c r="D736" s="170"/>
      <c r="E736" s="155"/>
      <c r="F736" s="155"/>
      <c r="G736" s="155"/>
      <c r="H736" s="155"/>
      <c r="I736" s="155"/>
      <c r="J736" s="155"/>
      <c r="K736" s="155"/>
      <c r="L736" s="155"/>
      <c r="M736" s="155"/>
      <c r="N736" s="155"/>
      <c r="O736" s="155"/>
      <c r="P736" s="155"/>
      <c r="Q736" s="157"/>
    </row>
    <row r="737" spans="1:17" ht="15" thickBot="1" x14ac:dyDescent="0.4">
      <c r="A737" s="168"/>
      <c r="B737" s="171"/>
      <c r="C737" s="148" t="s">
        <v>1049</v>
      </c>
      <c r="D737" s="171"/>
      <c r="E737" s="158"/>
      <c r="F737" s="158"/>
      <c r="G737" s="158"/>
      <c r="H737" s="158"/>
      <c r="I737" s="158"/>
      <c r="J737" s="158"/>
      <c r="K737" s="158"/>
      <c r="L737" s="158"/>
      <c r="M737" s="158"/>
      <c r="N737" s="158"/>
      <c r="O737" s="158"/>
      <c r="P737" s="158"/>
      <c r="Q737" s="159"/>
    </row>
    <row r="738" spans="1:17" x14ac:dyDescent="0.35">
      <c r="A738" s="166"/>
      <c r="B738" s="169">
        <v>246</v>
      </c>
      <c r="C738" s="147"/>
      <c r="D738" s="169"/>
      <c r="E738" s="154">
        <v>3636</v>
      </c>
      <c r="F738" s="154">
        <v>22</v>
      </c>
      <c r="G738" s="154">
        <v>12</v>
      </c>
      <c r="H738" s="154">
        <v>221</v>
      </c>
      <c r="I738" s="154">
        <v>1</v>
      </c>
      <c r="J738" s="154">
        <v>0</v>
      </c>
      <c r="K738" s="154">
        <v>0</v>
      </c>
      <c r="L738" s="154">
        <v>0</v>
      </c>
      <c r="M738" s="154">
        <v>0</v>
      </c>
      <c r="N738" s="154">
        <v>0</v>
      </c>
      <c r="O738" s="154">
        <v>0</v>
      </c>
      <c r="P738" s="154">
        <v>0</v>
      </c>
      <c r="Q738" s="156">
        <v>231.4</v>
      </c>
    </row>
    <row r="739" spans="1:17" x14ac:dyDescent="0.35">
      <c r="A739" s="167"/>
      <c r="B739" s="170"/>
      <c r="C739" s="151" t="s">
        <v>738</v>
      </c>
      <c r="D739" s="170"/>
      <c r="E739" s="155"/>
      <c r="F739" s="155"/>
      <c r="G739" s="155"/>
      <c r="H739" s="155"/>
      <c r="I739" s="155"/>
      <c r="J739" s="155"/>
      <c r="K739" s="155"/>
      <c r="L739" s="155"/>
      <c r="M739" s="155"/>
      <c r="N739" s="155"/>
      <c r="O739" s="155"/>
      <c r="P739" s="155"/>
      <c r="Q739" s="157"/>
    </row>
    <row r="740" spans="1:17" ht="15" thickBot="1" x14ac:dyDescent="0.4">
      <c r="A740" s="168"/>
      <c r="B740" s="171"/>
      <c r="C740" s="148" t="s">
        <v>1403</v>
      </c>
      <c r="D740" s="171"/>
      <c r="E740" s="158"/>
      <c r="F740" s="158"/>
      <c r="G740" s="158"/>
      <c r="H740" s="158"/>
      <c r="I740" s="158"/>
      <c r="J740" s="158"/>
      <c r="K740" s="158"/>
      <c r="L740" s="158"/>
      <c r="M740" s="158"/>
      <c r="N740" s="158"/>
      <c r="O740" s="158"/>
      <c r="P740" s="158"/>
      <c r="Q740" s="159"/>
    </row>
    <row r="741" spans="1:17" x14ac:dyDescent="0.35">
      <c r="A741" s="166"/>
      <c r="B741" s="169">
        <v>247</v>
      </c>
      <c r="C741" s="147"/>
      <c r="D741" s="169"/>
      <c r="E741" s="154">
        <v>3580</v>
      </c>
      <c r="F741" s="154">
        <v>22</v>
      </c>
      <c r="G741" s="154">
        <v>9</v>
      </c>
      <c r="H741" s="154">
        <v>76</v>
      </c>
      <c r="I741" s="154">
        <v>1</v>
      </c>
      <c r="J741" s="154">
        <v>0</v>
      </c>
      <c r="K741" s="154">
        <v>0</v>
      </c>
      <c r="L741" s="154">
        <v>0</v>
      </c>
      <c r="M741" s="154">
        <v>0</v>
      </c>
      <c r="N741" s="154">
        <v>0</v>
      </c>
      <c r="O741" s="154">
        <v>0</v>
      </c>
      <c r="P741" s="154">
        <v>0</v>
      </c>
      <c r="Q741" s="156">
        <v>223.9</v>
      </c>
    </row>
    <row r="742" spans="1:17" x14ac:dyDescent="0.35">
      <c r="A742" s="167"/>
      <c r="B742" s="170"/>
      <c r="C742" s="151" t="s">
        <v>360</v>
      </c>
      <c r="D742" s="170"/>
      <c r="E742" s="155"/>
      <c r="F742" s="155"/>
      <c r="G742" s="155"/>
      <c r="H742" s="155"/>
      <c r="I742" s="155"/>
      <c r="J742" s="155"/>
      <c r="K742" s="155"/>
      <c r="L742" s="155"/>
      <c r="M742" s="155"/>
      <c r="N742" s="155"/>
      <c r="O742" s="155"/>
      <c r="P742" s="155"/>
      <c r="Q742" s="157"/>
    </row>
    <row r="743" spans="1:17" ht="15" thickBot="1" x14ac:dyDescent="0.4">
      <c r="A743" s="168"/>
      <c r="B743" s="171"/>
      <c r="C743" s="148" t="s">
        <v>1410</v>
      </c>
      <c r="D743" s="171"/>
      <c r="E743" s="158"/>
      <c r="F743" s="158"/>
      <c r="G743" s="158"/>
      <c r="H743" s="158"/>
      <c r="I743" s="158"/>
      <c r="J743" s="158"/>
      <c r="K743" s="158"/>
      <c r="L743" s="158"/>
      <c r="M743" s="158"/>
      <c r="N743" s="158"/>
      <c r="O743" s="158"/>
      <c r="P743" s="158"/>
      <c r="Q743" s="159"/>
    </row>
    <row r="744" spans="1:17" x14ac:dyDescent="0.35">
      <c r="A744" s="166"/>
      <c r="B744" s="169">
        <v>248</v>
      </c>
      <c r="C744" s="147"/>
      <c r="D744" s="169"/>
      <c r="E744" s="154">
        <v>3771</v>
      </c>
      <c r="F744" s="154">
        <v>26</v>
      </c>
      <c r="G744" s="154">
        <v>14</v>
      </c>
      <c r="H744" s="154">
        <v>30</v>
      </c>
      <c r="I744" s="154">
        <v>0</v>
      </c>
      <c r="J744" s="154">
        <v>0</v>
      </c>
      <c r="K744" s="154">
        <v>0</v>
      </c>
      <c r="L744" s="154">
        <v>0</v>
      </c>
      <c r="M744" s="154">
        <v>0</v>
      </c>
      <c r="N744" s="154">
        <v>0</v>
      </c>
      <c r="O744" s="154">
        <v>0</v>
      </c>
      <c r="P744" s="154">
        <v>0</v>
      </c>
      <c r="Q744" s="156">
        <v>225.1</v>
      </c>
    </row>
    <row r="745" spans="1:17" x14ac:dyDescent="0.35">
      <c r="A745" s="167"/>
      <c r="B745" s="170"/>
      <c r="C745" s="151" t="s">
        <v>271</v>
      </c>
      <c r="D745" s="170"/>
      <c r="E745" s="155"/>
      <c r="F745" s="155"/>
      <c r="G745" s="155"/>
      <c r="H745" s="155"/>
      <c r="I745" s="155"/>
      <c r="J745" s="155"/>
      <c r="K745" s="155"/>
      <c r="L745" s="155"/>
      <c r="M745" s="155"/>
      <c r="N745" s="155"/>
      <c r="O745" s="155"/>
      <c r="P745" s="155"/>
      <c r="Q745" s="157"/>
    </row>
    <row r="746" spans="1:17" ht="15" thickBot="1" x14ac:dyDescent="0.4">
      <c r="A746" s="168"/>
      <c r="B746" s="171"/>
      <c r="C746" s="148" t="s">
        <v>1089</v>
      </c>
      <c r="D746" s="171"/>
      <c r="E746" s="158"/>
      <c r="F746" s="158"/>
      <c r="G746" s="158"/>
      <c r="H746" s="158"/>
      <c r="I746" s="158"/>
      <c r="J746" s="158"/>
      <c r="K746" s="158"/>
      <c r="L746" s="158"/>
      <c r="M746" s="158"/>
      <c r="N746" s="158"/>
      <c r="O746" s="158"/>
      <c r="P746" s="158"/>
      <c r="Q746" s="159"/>
    </row>
    <row r="747" spans="1:17" x14ac:dyDescent="0.35">
      <c r="A747" s="166"/>
      <c r="B747" s="169">
        <v>249</v>
      </c>
      <c r="C747" s="147"/>
      <c r="D747" s="169"/>
      <c r="E747" s="154">
        <v>0</v>
      </c>
      <c r="F747" s="154">
        <v>0</v>
      </c>
      <c r="G747" s="154">
        <v>0</v>
      </c>
      <c r="H747" s="154">
        <v>0</v>
      </c>
      <c r="I747" s="154">
        <v>0</v>
      </c>
      <c r="J747" s="154">
        <v>42</v>
      </c>
      <c r="K747" s="154">
        <v>471</v>
      </c>
      <c r="L747" s="154">
        <v>3</v>
      </c>
      <c r="M747" s="154">
        <v>0</v>
      </c>
      <c r="N747" s="154">
        <v>0</v>
      </c>
      <c r="O747" s="154">
        <v>0</v>
      </c>
      <c r="P747" s="154">
        <v>0</v>
      </c>
      <c r="Q747" s="156">
        <v>86.5</v>
      </c>
    </row>
    <row r="748" spans="1:17" x14ac:dyDescent="0.35">
      <c r="A748" s="167"/>
      <c r="B748" s="170"/>
      <c r="C748" s="151" t="s">
        <v>498</v>
      </c>
      <c r="D748" s="170"/>
      <c r="E748" s="155"/>
      <c r="F748" s="155"/>
      <c r="G748" s="155"/>
      <c r="H748" s="155"/>
      <c r="I748" s="155"/>
      <c r="J748" s="155"/>
      <c r="K748" s="155"/>
      <c r="L748" s="155"/>
      <c r="M748" s="155"/>
      <c r="N748" s="155"/>
      <c r="O748" s="155"/>
      <c r="P748" s="155"/>
      <c r="Q748" s="157"/>
    </row>
    <row r="749" spans="1:17" ht="15" thickBot="1" x14ac:dyDescent="0.4">
      <c r="A749" s="168"/>
      <c r="B749" s="171"/>
      <c r="C749" s="148" t="s">
        <v>1422</v>
      </c>
      <c r="D749" s="171"/>
      <c r="E749" s="158"/>
      <c r="F749" s="158"/>
      <c r="G749" s="158"/>
      <c r="H749" s="158"/>
      <c r="I749" s="158"/>
      <c r="J749" s="158"/>
      <c r="K749" s="158"/>
      <c r="L749" s="158"/>
      <c r="M749" s="158"/>
      <c r="N749" s="158"/>
      <c r="O749" s="158"/>
      <c r="P749" s="158"/>
      <c r="Q749" s="159"/>
    </row>
    <row r="750" spans="1:17" x14ac:dyDescent="0.35">
      <c r="A750" s="166"/>
      <c r="B750" s="169">
        <v>250</v>
      </c>
      <c r="C750" s="147"/>
      <c r="D750" s="169"/>
      <c r="E750" s="154">
        <v>0</v>
      </c>
      <c r="F750" s="154">
        <v>0</v>
      </c>
      <c r="G750" s="154">
        <v>0</v>
      </c>
      <c r="H750" s="154">
        <v>0</v>
      </c>
      <c r="I750" s="154">
        <v>0</v>
      </c>
      <c r="J750" s="154">
        <v>42</v>
      </c>
      <c r="K750" s="154">
        <v>497</v>
      </c>
      <c r="L750" s="154">
        <v>3</v>
      </c>
      <c r="M750" s="154">
        <v>0</v>
      </c>
      <c r="N750" s="154">
        <v>0</v>
      </c>
      <c r="O750" s="154">
        <v>0</v>
      </c>
      <c r="P750" s="154">
        <v>0</v>
      </c>
      <c r="Q750" s="156">
        <v>88.9</v>
      </c>
    </row>
    <row r="751" spans="1:17" x14ac:dyDescent="0.35">
      <c r="A751" s="167"/>
      <c r="B751" s="170"/>
      <c r="C751" s="151" t="s">
        <v>364</v>
      </c>
      <c r="D751" s="170"/>
      <c r="E751" s="155"/>
      <c r="F751" s="155"/>
      <c r="G751" s="155"/>
      <c r="H751" s="155"/>
      <c r="I751" s="155"/>
      <c r="J751" s="155"/>
      <c r="K751" s="155"/>
      <c r="L751" s="155"/>
      <c r="M751" s="155"/>
      <c r="N751" s="155"/>
      <c r="O751" s="155"/>
      <c r="P751" s="155"/>
      <c r="Q751" s="157"/>
    </row>
    <row r="752" spans="1:17" ht="15" thickBot="1" x14ac:dyDescent="0.4">
      <c r="A752" s="168"/>
      <c r="B752" s="171"/>
      <c r="C752" s="148" t="s">
        <v>1109</v>
      </c>
      <c r="D752" s="171"/>
      <c r="E752" s="158"/>
      <c r="F752" s="158"/>
      <c r="G752" s="158"/>
      <c r="H752" s="158"/>
      <c r="I752" s="158"/>
      <c r="J752" s="158"/>
      <c r="K752" s="158"/>
      <c r="L752" s="158"/>
      <c r="M752" s="158"/>
      <c r="N752" s="158"/>
      <c r="O752" s="158"/>
      <c r="P752" s="158"/>
      <c r="Q752" s="159"/>
    </row>
    <row r="753" spans="1:17" x14ac:dyDescent="0.35">
      <c r="A753" s="166"/>
      <c r="B753" s="169">
        <v>251</v>
      </c>
      <c r="C753" s="147"/>
      <c r="D753" s="169"/>
      <c r="E753" s="154">
        <v>0</v>
      </c>
      <c r="F753" s="154">
        <v>0</v>
      </c>
      <c r="G753" s="154">
        <v>0</v>
      </c>
      <c r="H753" s="154">
        <v>0</v>
      </c>
      <c r="I753" s="154">
        <v>0</v>
      </c>
      <c r="J753" s="154">
        <v>43</v>
      </c>
      <c r="K753" s="154">
        <v>424</v>
      </c>
      <c r="L753" s="154">
        <v>2</v>
      </c>
      <c r="M753" s="154">
        <v>0</v>
      </c>
      <c r="N753" s="154">
        <v>0</v>
      </c>
      <c r="O753" s="154">
        <v>0</v>
      </c>
      <c r="P753" s="154">
        <v>0</v>
      </c>
      <c r="Q753" s="156">
        <v>78.2</v>
      </c>
    </row>
    <row r="754" spans="1:17" x14ac:dyDescent="0.35">
      <c r="A754" s="167"/>
      <c r="B754" s="170"/>
      <c r="C754" s="151" t="s">
        <v>551</v>
      </c>
      <c r="D754" s="170"/>
      <c r="E754" s="155"/>
      <c r="F754" s="155"/>
      <c r="G754" s="155"/>
      <c r="H754" s="155"/>
      <c r="I754" s="155"/>
      <c r="J754" s="155"/>
      <c r="K754" s="155"/>
      <c r="L754" s="155"/>
      <c r="M754" s="155"/>
      <c r="N754" s="155"/>
      <c r="O754" s="155"/>
      <c r="P754" s="155"/>
      <c r="Q754" s="157"/>
    </row>
    <row r="755" spans="1:17" ht="15" thickBot="1" x14ac:dyDescent="0.4">
      <c r="A755" s="168"/>
      <c r="B755" s="171"/>
      <c r="C755" s="148" t="s">
        <v>1146</v>
      </c>
      <c r="D755" s="171"/>
      <c r="E755" s="158"/>
      <c r="F755" s="158"/>
      <c r="G755" s="158"/>
      <c r="H755" s="158"/>
      <c r="I755" s="158"/>
      <c r="J755" s="158"/>
      <c r="K755" s="158"/>
      <c r="L755" s="158"/>
      <c r="M755" s="158"/>
      <c r="N755" s="158"/>
      <c r="O755" s="158"/>
      <c r="P755" s="158"/>
      <c r="Q755" s="159"/>
    </row>
    <row r="756" spans="1:17" x14ac:dyDescent="0.35">
      <c r="A756" s="166"/>
      <c r="B756" s="169">
        <v>252</v>
      </c>
      <c r="C756" s="147"/>
      <c r="D756" s="169"/>
      <c r="E756" s="154">
        <v>0</v>
      </c>
      <c r="F756" s="154">
        <v>0</v>
      </c>
      <c r="G756" s="154">
        <v>0</v>
      </c>
      <c r="H756" s="154">
        <v>0</v>
      </c>
      <c r="I756" s="154">
        <v>0</v>
      </c>
      <c r="J756" s="154">
        <v>37</v>
      </c>
      <c r="K756" s="154">
        <v>443</v>
      </c>
      <c r="L756" s="154">
        <v>3</v>
      </c>
      <c r="M756" s="154">
        <v>0</v>
      </c>
      <c r="N756" s="154">
        <v>0</v>
      </c>
      <c r="O756" s="154">
        <v>0</v>
      </c>
      <c r="P756" s="154">
        <v>0</v>
      </c>
      <c r="Q756" s="156">
        <v>80</v>
      </c>
    </row>
    <row r="757" spans="1:17" x14ac:dyDescent="0.35">
      <c r="A757" s="167"/>
      <c r="B757" s="170"/>
      <c r="C757" s="151" t="s">
        <v>768</v>
      </c>
      <c r="D757" s="170"/>
      <c r="E757" s="155"/>
      <c r="F757" s="155"/>
      <c r="G757" s="155"/>
      <c r="H757" s="155"/>
      <c r="I757" s="155"/>
      <c r="J757" s="155"/>
      <c r="K757" s="155"/>
      <c r="L757" s="155"/>
      <c r="M757" s="155"/>
      <c r="N757" s="155"/>
      <c r="O757" s="155"/>
      <c r="P757" s="155"/>
      <c r="Q757" s="157"/>
    </row>
    <row r="758" spans="1:17" ht="15" thickBot="1" x14ac:dyDescent="0.4">
      <c r="A758" s="168"/>
      <c r="B758" s="171"/>
      <c r="C758" s="148" t="s">
        <v>1411</v>
      </c>
      <c r="D758" s="171"/>
      <c r="E758" s="158"/>
      <c r="F758" s="158"/>
      <c r="G758" s="158"/>
      <c r="H758" s="158"/>
      <c r="I758" s="158"/>
      <c r="J758" s="158"/>
      <c r="K758" s="158"/>
      <c r="L758" s="158"/>
      <c r="M758" s="158"/>
      <c r="N758" s="158"/>
      <c r="O758" s="158"/>
      <c r="P758" s="158"/>
      <c r="Q758" s="159"/>
    </row>
    <row r="759" spans="1:17" x14ac:dyDescent="0.35">
      <c r="A759" s="166"/>
      <c r="B759" s="169">
        <v>253</v>
      </c>
      <c r="C759" s="147"/>
      <c r="D759" s="169"/>
      <c r="E759" s="154">
        <v>0</v>
      </c>
      <c r="F759" s="154">
        <v>0</v>
      </c>
      <c r="G759" s="154">
        <v>0</v>
      </c>
      <c r="H759" s="154">
        <v>103</v>
      </c>
      <c r="I759" s="154">
        <v>1</v>
      </c>
      <c r="J759" s="154">
        <v>4</v>
      </c>
      <c r="K759" s="154">
        <v>29</v>
      </c>
      <c r="L759" s="154">
        <v>0</v>
      </c>
      <c r="M759" s="154">
        <v>0</v>
      </c>
      <c r="N759" s="154">
        <v>0</v>
      </c>
      <c r="O759" s="154">
        <v>0</v>
      </c>
      <c r="P759" s="154">
        <v>0</v>
      </c>
      <c r="Q759" s="156">
        <v>21</v>
      </c>
    </row>
    <row r="760" spans="1:17" x14ac:dyDescent="0.35">
      <c r="A760" s="167"/>
      <c r="B760" s="170"/>
      <c r="C760" s="151" t="s">
        <v>638</v>
      </c>
      <c r="D760" s="170"/>
      <c r="E760" s="155"/>
      <c r="F760" s="155"/>
      <c r="G760" s="155"/>
      <c r="H760" s="155"/>
      <c r="I760" s="155"/>
      <c r="J760" s="155"/>
      <c r="K760" s="155"/>
      <c r="L760" s="155"/>
      <c r="M760" s="155"/>
      <c r="N760" s="155"/>
      <c r="O760" s="155"/>
      <c r="P760" s="155"/>
      <c r="Q760" s="157"/>
    </row>
    <row r="761" spans="1:17" ht="15" thickBot="1" x14ac:dyDescent="0.4">
      <c r="A761" s="168"/>
      <c r="B761" s="171"/>
      <c r="C761" s="148" t="s">
        <v>1019</v>
      </c>
      <c r="D761" s="171"/>
      <c r="E761" s="158"/>
      <c r="F761" s="158"/>
      <c r="G761" s="158"/>
      <c r="H761" s="158"/>
      <c r="I761" s="158"/>
      <c r="J761" s="158"/>
      <c r="K761" s="158"/>
      <c r="L761" s="158"/>
      <c r="M761" s="158"/>
      <c r="N761" s="158"/>
      <c r="O761" s="158"/>
      <c r="P761" s="158"/>
      <c r="Q761" s="159"/>
    </row>
    <row r="762" spans="1:17" x14ac:dyDescent="0.35">
      <c r="A762" s="166"/>
      <c r="B762" s="169">
        <v>254</v>
      </c>
      <c r="C762" s="147"/>
      <c r="D762" s="169"/>
      <c r="E762" s="154">
        <v>0</v>
      </c>
      <c r="F762" s="154">
        <v>0</v>
      </c>
      <c r="G762" s="154">
        <v>0</v>
      </c>
      <c r="H762" s="154">
        <v>0</v>
      </c>
      <c r="I762" s="154">
        <v>0</v>
      </c>
      <c r="J762" s="154">
        <v>46</v>
      </c>
      <c r="K762" s="154">
        <v>476</v>
      </c>
      <c r="L762" s="154">
        <v>3</v>
      </c>
      <c r="M762" s="154">
        <v>0</v>
      </c>
      <c r="N762" s="154">
        <v>0</v>
      </c>
      <c r="O762" s="154">
        <v>0</v>
      </c>
      <c r="P762" s="154">
        <v>0</v>
      </c>
      <c r="Q762" s="156">
        <v>86.3</v>
      </c>
    </row>
    <row r="763" spans="1:17" x14ac:dyDescent="0.35">
      <c r="A763" s="167"/>
      <c r="B763" s="170"/>
      <c r="C763" s="151" t="s">
        <v>349</v>
      </c>
      <c r="D763" s="170"/>
      <c r="E763" s="155"/>
      <c r="F763" s="155"/>
      <c r="G763" s="155"/>
      <c r="H763" s="155"/>
      <c r="I763" s="155"/>
      <c r="J763" s="155"/>
      <c r="K763" s="155"/>
      <c r="L763" s="155"/>
      <c r="M763" s="155"/>
      <c r="N763" s="155"/>
      <c r="O763" s="155"/>
      <c r="P763" s="155"/>
      <c r="Q763" s="157"/>
    </row>
    <row r="764" spans="1:17" ht="15" thickBot="1" x14ac:dyDescent="0.4">
      <c r="A764" s="168"/>
      <c r="B764" s="171"/>
      <c r="C764" s="148" t="s">
        <v>1090</v>
      </c>
      <c r="D764" s="171"/>
      <c r="E764" s="158"/>
      <c r="F764" s="158"/>
      <c r="G764" s="158"/>
      <c r="H764" s="158"/>
      <c r="I764" s="158"/>
      <c r="J764" s="158"/>
      <c r="K764" s="158"/>
      <c r="L764" s="158"/>
      <c r="M764" s="158"/>
      <c r="N764" s="158"/>
      <c r="O764" s="158"/>
      <c r="P764" s="158"/>
      <c r="Q764" s="159"/>
    </row>
    <row r="765" spans="1:17" x14ac:dyDescent="0.35">
      <c r="A765" s="166"/>
      <c r="B765" s="169">
        <v>255</v>
      </c>
      <c r="C765" s="147"/>
      <c r="D765" s="169"/>
      <c r="E765" s="154">
        <v>0</v>
      </c>
      <c r="F765" s="154">
        <v>0</v>
      </c>
      <c r="G765" s="154">
        <v>0</v>
      </c>
      <c r="H765" s="154">
        <v>0</v>
      </c>
      <c r="I765" s="154">
        <v>0</v>
      </c>
      <c r="J765" s="154">
        <v>38</v>
      </c>
      <c r="K765" s="154">
        <v>556</v>
      </c>
      <c r="L765" s="154">
        <v>3</v>
      </c>
      <c r="M765" s="154">
        <v>0</v>
      </c>
      <c r="N765" s="154">
        <v>0</v>
      </c>
      <c r="O765" s="154">
        <v>0</v>
      </c>
      <c r="P765" s="154">
        <v>0</v>
      </c>
      <c r="Q765" s="156">
        <v>89.6</v>
      </c>
    </row>
    <row r="766" spans="1:17" x14ac:dyDescent="0.35">
      <c r="A766" s="167"/>
      <c r="B766" s="170"/>
      <c r="C766" s="151" t="s">
        <v>573</v>
      </c>
      <c r="D766" s="170"/>
      <c r="E766" s="155"/>
      <c r="F766" s="155"/>
      <c r="G766" s="155"/>
      <c r="H766" s="155"/>
      <c r="I766" s="155"/>
      <c r="J766" s="155"/>
      <c r="K766" s="155"/>
      <c r="L766" s="155"/>
      <c r="M766" s="155"/>
      <c r="N766" s="155"/>
      <c r="O766" s="155"/>
      <c r="P766" s="155"/>
      <c r="Q766" s="157"/>
    </row>
    <row r="767" spans="1:17" ht="15" thickBot="1" x14ac:dyDescent="0.4">
      <c r="A767" s="168"/>
      <c r="B767" s="171"/>
      <c r="C767" s="148" t="s">
        <v>1080</v>
      </c>
      <c r="D767" s="171"/>
      <c r="E767" s="158"/>
      <c r="F767" s="158"/>
      <c r="G767" s="158"/>
      <c r="H767" s="158"/>
      <c r="I767" s="158"/>
      <c r="J767" s="158"/>
      <c r="K767" s="158"/>
      <c r="L767" s="158"/>
      <c r="M767" s="158"/>
      <c r="N767" s="158"/>
      <c r="O767" s="158"/>
      <c r="P767" s="158"/>
      <c r="Q767" s="159"/>
    </row>
    <row r="768" spans="1:17" x14ac:dyDescent="0.35">
      <c r="A768" s="166"/>
      <c r="B768" s="169">
        <v>256</v>
      </c>
      <c r="C768" s="146"/>
      <c r="D768" s="169"/>
      <c r="E768" s="154">
        <v>0</v>
      </c>
      <c r="F768" s="154">
        <v>0</v>
      </c>
      <c r="G768" s="154">
        <v>0</v>
      </c>
      <c r="H768" s="154">
        <v>0</v>
      </c>
      <c r="I768" s="154">
        <v>0</v>
      </c>
      <c r="J768" s="154">
        <v>0</v>
      </c>
      <c r="K768" s="154">
        <v>0</v>
      </c>
      <c r="L768" s="154">
        <v>0</v>
      </c>
      <c r="M768" s="154">
        <v>13</v>
      </c>
      <c r="N768" s="154">
        <v>7</v>
      </c>
      <c r="O768" s="154">
        <v>327</v>
      </c>
      <c r="P768" s="154">
        <v>5687</v>
      </c>
      <c r="Q768" s="156">
        <v>96.8</v>
      </c>
    </row>
    <row r="769" spans="1:17" x14ac:dyDescent="0.35">
      <c r="A769" s="167"/>
      <c r="B769" s="170"/>
      <c r="C769" s="151" t="s">
        <v>1130</v>
      </c>
      <c r="D769" s="170"/>
      <c r="E769" s="155"/>
      <c r="F769" s="155"/>
      <c r="G769" s="155"/>
      <c r="H769" s="155"/>
      <c r="I769" s="155"/>
      <c r="J769" s="155"/>
      <c r="K769" s="155"/>
      <c r="L769" s="155"/>
      <c r="M769" s="155"/>
      <c r="N769" s="155"/>
      <c r="O769" s="155"/>
      <c r="P769" s="155"/>
      <c r="Q769" s="157"/>
    </row>
    <row r="770" spans="1:17" ht="15" thickBot="1" x14ac:dyDescent="0.4">
      <c r="A770" s="168"/>
      <c r="B770" s="171"/>
      <c r="C770" s="148" t="s">
        <v>1131</v>
      </c>
      <c r="D770" s="171"/>
      <c r="E770" s="158"/>
      <c r="F770" s="158"/>
      <c r="G770" s="158"/>
      <c r="H770" s="158"/>
      <c r="I770" s="158"/>
      <c r="J770" s="158"/>
      <c r="K770" s="158"/>
      <c r="L770" s="158"/>
      <c r="M770" s="158"/>
      <c r="N770" s="158"/>
      <c r="O770" s="158"/>
      <c r="P770" s="158"/>
      <c r="Q770" s="159"/>
    </row>
    <row r="771" spans="1:17" x14ac:dyDescent="0.35">
      <c r="A771" s="166"/>
      <c r="B771" s="169">
        <v>257</v>
      </c>
      <c r="C771" s="146"/>
      <c r="D771" s="169"/>
      <c r="E771" s="154">
        <v>0</v>
      </c>
      <c r="F771" s="154">
        <v>0</v>
      </c>
      <c r="G771" s="154">
        <v>0</v>
      </c>
      <c r="H771" s="154">
        <v>0</v>
      </c>
      <c r="I771" s="154">
        <v>0</v>
      </c>
      <c r="J771" s="154">
        <v>0</v>
      </c>
      <c r="K771" s="154">
        <v>0</v>
      </c>
      <c r="L771" s="154">
        <v>0</v>
      </c>
      <c r="M771" s="154">
        <v>12</v>
      </c>
      <c r="N771" s="154">
        <v>9</v>
      </c>
      <c r="O771" s="154">
        <v>367</v>
      </c>
      <c r="P771" s="154">
        <v>5657</v>
      </c>
      <c r="Q771" s="156">
        <v>92.1</v>
      </c>
    </row>
    <row r="772" spans="1:17" x14ac:dyDescent="0.35">
      <c r="A772" s="167"/>
      <c r="B772" s="170"/>
      <c r="C772" s="151" t="s">
        <v>1118</v>
      </c>
      <c r="D772" s="170"/>
      <c r="E772" s="155"/>
      <c r="F772" s="155"/>
      <c r="G772" s="155"/>
      <c r="H772" s="155"/>
      <c r="I772" s="155"/>
      <c r="J772" s="155"/>
      <c r="K772" s="155"/>
      <c r="L772" s="155"/>
      <c r="M772" s="155"/>
      <c r="N772" s="155"/>
      <c r="O772" s="155"/>
      <c r="P772" s="155"/>
      <c r="Q772" s="157"/>
    </row>
    <row r="773" spans="1:17" ht="15" thickBot="1" x14ac:dyDescent="0.4">
      <c r="A773" s="168"/>
      <c r="B773" s="171"/>
      <c r="C773" s="148" t="s">
        <v>1119</v>
      </c>
      <c r="D773" s="171"/>
      <c r="E773" s="158"/>
      <c r="F773" s="158"/>
      <c r="G773" s="158"/>
      <c r="H773" s="158"/>
      <c r="I773" s="158"/>
      <c r="J773" s="158"/>
      <c r="K773" s="158"/>
      <c r="L773" s="158"/>
      <c r="M773" s="158"/>
      <c r="N773" s="158"/>
      <c r="O773" s="158"/>
      <c r="P773" s="158"/>
      <c r="Q773" s="159"/>
    </row>
    <row r="774" spans="1:17" x14ac:dyDescent="0.35">
      <c r="A774" s="166"/>
      <c r="B774" s="169">
        <v>258</v>
      </c>
      <c r="C774" s="147"/>
      <c r="D774" s="169"/>
      <c r="E774" s="154">
        <v>0</v>
      </c>
      <c r="F774" s="154">
        <v>0</v>
      </c>
      <c r="G774" s="154">
        <v>0</v>
      </c>
      <c r="H774" s="154">
        <v>0</v>
      </c>
      <c r="I774" s="154">
        <v>0</v>
      </c>
      <c r="J774" s="154">
        <v>0</v>
      </c>
      <c r="K774" s="154">
        <v>0</v>
      </c>
      <c r="L774" s="154">
        <v>0</v>
      </c>
      <c r="M774" s="154">
        <v>0</v>
      </c>
      <c r="N774" s="154">
        <v>0</v>
      </c>
      <c r="O774" s="154">
        <v>0</v>
      </c>
      <c r="P774" s="154">
        <v>0</v>
      </c>
      <c r="Q774" s="156">
        <v>122.4</v>
      </c>
    </row>
    <row r="775" spans="1:17" x14ac:dyDescent="0.35">
      <c r="A775" s="167"/>
      <c r="B775" s="170"/>
      <c r="C775" s="151" t="s">
        <v>1372</v>
      </c>
      <c r="D775" s="170"/>
      <c r="E775" s="155"/>
      <c r="F775" s="155"/>
      <c r="G775" s="155"/>
      <c r="H775" s="155"/>
      <c r="I775" s="155"/>
      <c r="J775" s="155"/>
      <c r="K775" s="155"/>
      <c r="L775" s="155"/>
      <c r="M775" s="155"/>
      <c r="N775" s="155"/>
      <c r="O775" s="155"/>
      <c r="P775" s="155"/>
      <c r="Q775" s="157"/>
    </row>
    <row r="776" spans="1:17" ht="15" thickBot="1" x14ac:dyDescent="0.4">
      <c r="A776" s="168"/>
      <c r="B776" s="171"/>
      <c r="C776" s="148" t="s">
        <v>1136</v>
      </c>
      <c r="D776" s="171"/>
      <c r="E776" s="158"/>
      <c r="F776" s="158"/>
      <c r="G776" s="158"/>
      <c r="H776" s="158"/>
      <c r="I776" s="158"/>
      <c r="J776" s="158"/>
      <c r="K776" s="158"/>
      <c r="L776" s="158"/>
      <c r="M776" s="158"/>
      <c r="N776" s="158"/>
      <c r="O776" s="158"/>
      <c r="P776" s="158"/>
      <c r="Q776" s="159"/>
    </row>
    <row r="777" spans="1:17" x14ac:dyDescent="0.35">
      <c r="A777" s="166"/>
      <c r="B777" s="169">
        <v>259</v>
      </c>
      <c r="C777" s="147"/>
      <c r="D777" s="169"/>
      <c r="E777" s="154">
        <v>0</v>
      </c>
      <c r="F777" s="154">
        <v>0</v>
      </c>
      <c r="G777" s="154">
        <v>0</v>
      </c>
      <c r="H777" s="154">
        <v>0</v>
      </c>
      <c r="I777" s="154">
        <v>0</v>
      </c>
      <c r="J777" s="154">
        <v>0</v>
      </c>
      <c r="K777" s="154">
        <v>0</v>
      </c>
      <c r="L777" s="154">
        <v>0</v>
      </c>
      <c r="M777" s="154">
        <v>0</v>
      </c>
      <c r="N777" s="154">
        <v>0</v>
      </c>
      <c r="O777" s="154">
        <v>0</v>
      </c>
      <c r="P777" s="154">
        <v>0</v>
      </c>
      <c r="Q777" s="156">
        <v>119</v>
      </c>
    </row>
    <row r="778" spans="1:17" x14ac:dyDescent="0.35">
      <c r="A778" s="167"/>
      <c r="B778" s="170"/>
      <c r="C778" s="151" t="s">
        <v>571</v>
      </c>
      <c r="D778" s="170"/>
      <c r="E778" s="155"/>
      <c r="F778" s="155"/>
      <c r="G778" s="155"/>
      <c r="H778" s="155"/>
      <c r="I778" s="155"/>
      <c r="J778" s="155"/>
      <c r="K778" s="155"/>
      <c r="L778" s="155"/>
      <c r="M778" s="155"/>
      <c r="N778" s="155"/>
      <c r="O778" s="155"/>
      <c r="P778" s="155"/>
      <c r="Q778" s="157"/>
    </row>
    <row r="779" spans="1:17" ht="15" thickBot="1" x14ac:dyDescent="0.4">
      <c r="A779" s="168"/>
      <c r="B779" s="171"/>
      <c r="C779" s="148" t="s">
        <v>1415</v>
      </c>
      <c r="D779" s="171"/>
      <c r="E779" s="158"/>
      <c r="F779" s="158"/>
      <c r="G779" s="158"/>
      <c r="H779" s="158"/>
      <c r="I779" s="158"/>
      <c r="J779" s="158"/>
      <c r="K779" s="158"/>
      <c r="L779" s="158"/>
      <c r="M779" s="158"/>
      <c r="N779" s="158"/>
      <c r="O779" s="158"/>
      <c r="P779" s="158"/>
      <c r="Q779" s="159"/>
    </row>
    <row r="780" spans="1:17" x14ac:dyDescent="0.35">
      <c r="A780" s="166"/>
      <c r="B780" s="169">
        <v>260</v>
      </c>
      <c r="C780" s="147"/>
      <c r="D780" s="169"/>
      <c r="E780" s="154">
        <v>0</v>
      </c>
      <c r="F780" s="154">
        <v>0</v>
      </c>
      <c r="G780" s="154">
        <v>0</v>
      </c>
      <c r="H780" s="154">
        <v>0</v>
      </c>
      <c r="I780" s="154">
        <v>0</v>
      </c>
      <c r="J780" s="154">
        <v>33</v>
      </c>
      <c r="K780" s="154">
        <v>389</v>
      </c>
      <c r="L780" s="154">
        <v>4</v>
      </c>
      <c r="M780" s="154">
        <v>0</v>
      </c>
      <c r="N780" s="154">
        <v>0</v>
      </c>
      <c r="O780" s="154">
        <v>0</v>
      </c>
      <c r="P780" s="154">
        <v>0</v>
      </c>
      <c r="Q780" s="156">
        <v>77.5</v>
      </c>
    </row>
    <row r="781" spans="1:17" x14ac:dyDescent="0.35">
      <c r="A781" s="167"/>
      <c r="B781" s="170"/>
      <c r="C781" s="151" t="s">
        <v>652</v>
      </c>
      <c r="D781" s="170"/>
      <c r="E781" s="155"/>
      <c r="F781" s="155"/>
      <c r="G781" s="155"/>
      <c r="H781" s="155"/>
      <c r="I781" s="155"/>
      <c r="J781" s="155"/>
      <c r="K781" s="155"/>
      <c r="L781" s="155"/>
      <c r="M781" s="155"/>
      <c r="N781" s="155"/>
      <c r="O781" s="155"/>
      <c r="P781" s="155"/>
      <c r="Q781" s="157"/>
    </row>
    <row r="782" spans="1:17" ht="15" thickBot="1" x14ac:dyDescent="0.4">
      <c r="A782" s="168"/>
      <c r="B782" s="171"/>
      <c r="C782" s="148" t="s">
        <v>1182</v>
      </c>
      <c r="D782" s="171"/>
      <c r="E782" s="158"/>
      <c r="F782" s="158"/>
      <c r="G782" s="158"/>
      <c r="H782" s="158"/>
      <c r="I782" s="158"/>
      <c r="J782" s="158"/>
      <c r="K782" s="158"/>
      <c r="L782" s="158"/>
      <c r="M782" s="158"/>
      <c r="N782" s="158"/>
      <c r="O782" s="158"/>
      <c r="P782" s="158"/>
      <c r="Q782" s="159"/>
    </row>
    <row r="783" spans="1:17" x14ac:dyDescent="0.35">
      <c r="A783" s="166"/>
      <c r="B783" s="169">
        <v>261</v>
      </c>
      <c r="C783" s="147"/>
      <c r="D783" s="169"/>
      <c r="E783" s="154">
        <v>0</v>
      </c>
      <c r="F783" s="154">
        <v>0</v>
      </c>
      <c r="G783" s="154">
        <v>0</v>
      </c>
      <c r="H783" s="154">
        <v>0</v>
      </c>
      <c r="I783" s="154">
        <v>0</v>
      </c>
      <c r="J783" s="154">
        <v>32</v>
      </c>
      <c r="K783" s="154">
        <v>323</v>
      </c>
      <c r="L783" s="154">
        <v>3</v>
      </c>
      <c r="M783" s="154">
        <v>0</v>
      </c>
      <c r="N783" s="154">
        <v>0</v>
      </c>
      <c r="O783" s="154">
        <v>0</v>
      </c>
      <c r="P783" s="154">
        <v>0</v>
      </c>
      <c r="Q783" s="156">
        <v>68.099999999999994</v>
      </c>
    </row>
    <row r="784" spans="1:17" x14ac:dyDescent="0.35">
      <c r="A784" s="167"/>
      <c r="B784" s="170"/>
      <c r="C784" s="151" t="s">
        <v>358</v>
      </c>
      <c r="D784" s="170"/>
      <c r="E784" s="155"/>
      <c r="F784" s="155"/>
      <c r="G784" s="155"/>
      <c r="H784" s="155"/>
      <c r="I784" s="155"/>
      <c r="J784" s="155"/>
      <c r="K784" s="155"/>
      <c r="L784" s="155"/>
      <c r="M784" s="155"/>
      <c r="N784" s="155"/>
      <c r="O784" s="155"/>
      <c r="P784" s="155"/>
      <c r="Q784" s="157"/>
    </row>
    <row r="785" spans="1:17" ht="15" thickBot="1" x14ac:dyDescent="0.4">
      <c r="A785" s="168"/>
      <c r="B785" s="171"/>
      <c r="C785" s="148" t="s">
        <v>1155</v>
      </c>
      <c r="D785" s="171"/>
      <c r="E785" s="158"/>
      <c r="F785" s="158"/>
      <c r="G785" s="158"/>
      <c r="H785" s="158"/>
      <c r="I785" s="158"/>
      <c r="J785" s="158"/>
      <c r="K785" s="158"/>
      <c r="L785" s="158"/>
      <c r="M785" s="158"/>
      <c r="N785" s="158"/>
      <c r="O785" s="158"/>
      <c r="P785" s="158"/>
      <c r="Q785" s="159"/>
    </row>
    <row r="786" spans="1:17" x14ac:dyDescent="0.35">
      <c r="A786" s="166"/>
      <c r="B786" s="169">
        <v>262</v>
      </c>
      <c r="C786" s="147"/>
      <c r="D786" s="169"/>
      <c r="E786" s="154">
        <v>0</v>
      </c>
      <c r="F786" s="154">
        <v>0</v>
      </c>
      <c r="G786" s="154">
        <v>0</v>
      </c>
      <c r="H786" s="154">
        <v>0</v>
      </c>
      <c r="I786" s="154">
        <v>0</v>
      </c>
      <c r="J786" s="154">
        <v>27</v>
      </c>
      <c r="K786" s="154">
        <v>325</v>
      </c>
      <c r="L786" s="154">
        <v>3</v>
      </c>
      <c r="M786" s="154">
        <v>0</v>
      </c>
      <c r="N786" s="154">
        <v>0</v>
      </c>
      <c r="O786" s="154">
        <v>0</v>
      </c>
      <c r="P786" s="154">
        <v>0</v>
      </c>
      <c r="Q786" s="156">
        <v>65</v>
      </c>
    </row>
    <row r="787" spans="1:17" x14ac:dyDescent="0.35">
      <c r="A787" s="167"/>
      <c r="B787" s="170"/>
      <c r="C787" s="151" t="s">
        <v>343</v>
      </c>
      <c r="D787" s="170"/>
      <c r="E787" s="155"/>
      <c r="F787" s="155"/>
      <c r="G787" s="155"/>
      <c r="H787" s="155"/>
      <c r="I787" s="155"/>
      <c r="J787" s="155"/>
      <c r="K787" s="155"/>
      <c r="L787" s="155"/>
      <c r="M787" s="155"/>
      <c r="N787" s="155"/>
      <c r="O787" s="155"/>
      <c r="P787" s="155"/>
      <c r="Q787" s="157"/>
    </row>
    <row r="788" spans="1:17" ht="15" thickBot="1" x14ac:dyDescent="0.4">
      <c r="A788" s="168"/>
      <c r="B788" s="171"/>
      <c r="C788" s="148" t="s">
        <v>1182</v>
      </c>
      <c r="D788" s="171"/>
      <c r="E788" s="158"/>
      <c r="F788" s="158"/>
      <c r="G788" s="158"/>
      <c r="H788" s="158"/>
      <c r="I788" s="158"/>
      <c r="J788" s="158"/>
      <c r="K788" s="158"/>
      <c r="L788" s="158"/>
      <c r="M788" s="158"/>
      <c r="N788" s="158"/>
      <c r="O788" s="158"/>
      <c r="P788" s="158"/>
      <c r="Q788" s="159"/>
    </row>
    <row r="789" spans="1:17" x14ac:dyDescent="0.35">
      <c r="A789" s="166"/>
      <c r="B789" s="169">
        <v>263</v>
      </c>
      <c r="C789" s="147"/>
      <c r="D789" s="169"/>
      <c r="E789" s="154">
        <v>0</v>
      </c>
      <c r="F789" s="154">
        <v>0</v>
      </c>
      <c r="G789" s="154">
        <v>0</v>
      </c>
      <c r="H789" s="154">
        <v>22</v>
      </c>
      <c r="I789" s="154">
        <v>0</v>
      </c>
      <c r="J789" s="154">
        <v>30</v>
      </c>
      <c r="K789" s="154">
        <v>434</v>
      </c>
      <c r="L789" s="154">
        <v>2</v>
      </c>
      <c r="M789" s="154">
        <v>0</v>
      </c>
      <c r="N789" s="154">
        <v>0</v>
      </c>
      <c r="O789" s="154">
        <v>0</v>
      </c>
      <c r="P789" s="154">
        <v>0</v>
      </c>
      <c r="Q789" s="156">
        <v>71.599999999999994</v>
      </c>
    </row>
    <row r="790" spans="1:17" x14ac:dyDescent="0.35">
      <c r="A790" s="167"/>
      <c r="B790" s="170"/>
      <c r="C790" s="151" t="s">
        <v>1166</v>
      </c>
      <c r="D790" s="170"/>
      <c r="E790" s="155"/>
      <c r="F790" s="155"/>
      <c r="G790" s="155"/>
      <c r="H790" s="155"/>
      <c r="I790" s="155"/>
      <c r="J790" s="155"/>
      <c r="K790" s="155"/>
      <c r="L790" s="155"/>
      <c r="M790" s="155"/>
      <c r="N790" s="155"/>
      <c r="O790" s="155"/>
      <c r="P790" s="155"/>
      <c r="Q790" s="157"/>
    </row>
    <row r="791" spans="1:17" ht="15" thickBot="1" x14ac:dyDescent="0.4">
      <c r="A791" s="168"/>
      <c r="B791" s="171"/>
      <c r="C791" s="148" t="s">
        <v>1064</v>
      </c>
      <c r="D791" s="171"/>
      <c r="E791" s="158"/>
      <c r="F791" s="158"/>
      <c r="G791" s="158"/>
      <c r="H791" s="158"/>
      <c r="I791" s="158"/>
      <c r="J791" s="158"/>
      <c r="K791" s="158"/>
      <c r="L791" s="158"/>
      <c r="M791" s="158"/>
      <c r="N791" s="158"/>
      <c r="O791" s="158"/>
      <c r="P791" s="158"/>
      <c r="Q791" s="159"/>
    </row>
    <row r="792" spans="1:17" x14ac:dyDescent="0.35">
      <c r="A792" s="166"/>
      <c r="B792" s="169">
        <v>264</v>
      </c>
      <c r="C792" s="147"/>
      <c r="D792" s="169"/>
      <c r="E792" s="154">
        <v>0</v>
      </c>
      <c r="F792" s="154">
        <v>0</v>
      </c>
      <c r="G792" s="154">
        <v>0</v>
      </c>
      <c r="H792" s="154">
        <v>0</v>
      </c>
      <c r="I792" s="154">
        <v>0</v>
      </c>
      <c r="J792" s="154">
        <v>26</v>
      </c>
      <c r="K792" s="154">
        <v>373</v>
      </c>
      <c r="L792" s="154">
        <v>3</v>
      </c>
      <c r="M792" s="154">
        <v>0</v>
      </c>
      <c r="N792" s="154">
        <v>0</v>
      </c>
      <c r="O792" s="154">
        <v>0</v>
      </c>
      <c r="P792" s="154">
        <v>0</v>
      </c>
      <c r="Q792" s="156">
        <v>66.400000000000006</v>
      </c>
    </row>
    <row r="793" spans="1:17" x14ac:dyDescent="0.35">
      <c r="A793" s="167"/>
      <c r="B793" s="170"/>
      <c r="C793" s="151" t="s">
        <v>314</v>
      </c>
      <c r="D793" s="170"/>
      <c r="E793" s="155"/>
      <c r="F793" s="155"/>
      <c r="G793" s="155"/>
      <c r="H793" s="155"/>
      <c r="I793" s="155"/>
      <c r="J793" s="155"/>
      <c r="K793" s="155"/>
      <c r="L793" s="155"/>
      <c r="M793" s="155"/>
      <c r="N793" s="155"/>
      <c r="O793" s="155"/>
      <c r="P793" s="155"/>
      <c r="Q793" s="157"/>
    </row>
    <row r="794" spans="1:17" ht="15" thickBot="1" x14ac:dyDescent="0.4">
      <c r="A794" s="168"/>
      <c r="B794" s="171"/>
      <c r="C794" s="148" t="s">
        <v>1025</v>
      </c>
      <c r="D794" s="171"/>
      <c r="E794" s="158"/>
      <c r="F794" s="158"/>
      <c r="G794" s="158"/>
      <c r="H794" s="158"/>
      <c r="I794" s="158"/>
      <c r="J794" s="158"/>
      <c r="K794" s="158"/>
      <c r="L794" s="158"/>
      <c r="M794" s="158"/>
      <c r="N794" s="158"/>
      <c r="O794" s="158"/>
      <c r="P794" s="158"/>
      <c r="Q794" s="159"/>
    </row>
    <row r="795" spans="1:17" x14ac:dyDescent="0.35">
      <c r="A795" s="166"/>
      <c r="B795" s="169">
        <v>265</v>
      </c>
      <c r="C795" s="147"/>
      <c r="D795" s="169"/>
      <c r="E795" s="154">
        <v>0</v>
      </c>
      <c r="F795" s="154">
        <v>0</v>
      </c>
      <c r="G795" s="154">
        <v>0</v>
      </c>
      <c r="H795" s="154">
        <v>22</v>
      </c>
      <c r="I795" s="154">
        <v>0</v>
      </c>
      <c r="J795" s="154">
        <v>22</v>
      </c>
      <c r="K795" s="154">
        <v>318</v>
      </c>
      <c r="L795" s="154">
        <v>2</v>
      </c>
      <c r="M795" s="154">
        <v>0</v>
      </c>
      <c r="N795" s="154">
        <v>0</v>
      </c>
      <c r="O795" s="154">
        <v>0</v>
      </c>
      <c r="P795" s="154">
        <v>0</v>
      </c>
      <c r="Q795" s="156">
        <v>56.9</v>
      </c>
    </row>
    <row r="796" spans="1:17" x14ac:dyDescent="0.35">
      <c r="A796" s="167"/>
      <c r="B796" s="170"/>
      <c r="C796" s="151" t="s">
        <v>1215</v>
      </c>
      <c r="D796" s="170"/>
      <c r="E796" s="155"/>
      <c r="F796" s="155"/>
      <c r="G796" s="155"/>
      <c r="H796" s="155"/>
      <c r="I796" s="155"/>
      <c r="J796" s="155"/>
      <c r="K796" s="155"/>
      <c r="L796" s="155"/>
      <c r="M796" s="155"/>
      <c r="N796" s="155"/>
      <c r="O796" s="155"/>
      <c r="P796" s="155"/>
      <c r="Q796" s="157"/>
    </row>
    <row r="797" spans="1:17" ht="15" thickBot="1" x14ac:dyDescent="0.4">
      <c r="A797" s="168"/>
      <c r="B797" s="171"/>
      <c r="C797" s="148" t="s">
        <v>1063</v>
      </c>
      <c r="D797" s="171"/>
      <c r="E797" s="158"/>
      <c r="F797" s="158"/>
      <c r="G797" s="158"/>
      <c r="H797" s="158"/>
      <c r="I797" s="158"/>
      <c r="J797" s="158"/>
      <c r="K797" s="158"/>
      <c r="L797" s="158"/>
      <c r="M797" s="158"/>
      <c r="N797" s="158"/>
      <c r="O797" s="158"/>
      <c r="P797" s="158"/>
      <c r="Q797" s="159"/>
    </row>
    <row r="798" spans="1:17" x14ac:dyDescent="0.35">
      <c r="A798" s="166"/>
      <c r="B798" s="169">
        <v>266</v>
      </c>
      <c r="C798" s="147"/>
      <c r="D798" s="169"/>
      <c r="E798" s="154">
        <v>0</v>
      </c>
      <c r="F798" s="154">
        <v>0</v>
      </c>
      <c r="G798" s="154">
        <v>0</v>
      </c>
      <c r="H798" s="154">
        <v>0</v>
      </c>
      <c r="I798" s="154">
        <v>0</v>
      </c>
      <c r="J798" s="154">
        <v>13</v>
      </c>
      <c r="K798" s="154">
        <v>168</v>
      </c>
      <c r="L798" s="154">
        <v>1</v>
      </c>
      <c r="M798" s="154">
        <v>0</v>
      </c>
      <c r="N798" s="154">
        <v>0</v>
      </c>
      <c r="O798" s="154">
        <v>0</v>
      </c>
      <c r="P798" s="154">
        <v>0</v>
      </c>
      <c r="Q798" s="156">
        <v>30.2</v>
      </c>
    </row>
    <row r="799" spans="1:17" x14ac:dyDescent="0.35">
      <c r="A799" s="167"/>
      <c r="B799" s="170"/>
      <c r="C799" s="151" t="s">
        <v>1546</v>
      </c>
      <c r="D799" s="170"/>
      <c r="E799" s="155"/>
      <c r="F799" s="155"/>
      <c r="G799" s="155"/>
      <c r="H799" s="155"/>
      <c r="I799" s="155"/>
      <c r="J799" s="155"/>
      <c r="K799" s="155"/>
      <c r="L799" s="155"/>
      <c r="M799" s="155"/>
      <c r="N799" s="155"/>
      <c r="O799" s="155"/>
      <c r="P799" s="155"/>
      <c r="Q799" s="157"/>
    </row>
    <row r="800" spans="1:17" ht="15" thickBot="1" x14ac:dyDescent="0.4">
      <c r="A800" s="168"/>
      <c r="B800" s="171"/>
      <c r="C800" s="148" t="s">
        <v>1052</v>
      </c>
      <c r="D800" s="171"/>
      <c r="E800" s="158"/>
      <c r="F800" s="158"/>
      <c r="G800" s="158"/>
      <c r="H800" s="158"/>
      <c r="I800" s="158"/>
      <c r="J800" s="158"/>
      <c r="K800" s="158"/>
      <c r="L800" s="158"/>
      <c r="M800" s="158"/>
      <c r="N800" s="158"/>
      <c r="O800" s="158"/>
      <c r="P800" s="158"/>
      <c r="Q800" s="159"/>
    </row>
    <row r="801" spans="1:17" x14ac:dyDescent="0.35">
      <c r="A801" s="166"/>
      <c r="B801" s="169">
        <v>267</v>
      </c>
      <c r="C801" s="147"/>
      <c r="D801" s="169"/>
      <c r="E801" s="154">
        <v>0</v>
      </c>
      <c r="F801" s="154">
        <v>0</v>
      </c>
      <c r="G801" s="154">
        <v>0</v>
      </c>
      <c r="H801" s="154">
        <v>149</v>
      </c>
      <c r="I801" s="154">
        <v>1</v>
      </c>
      <c r="J801" s="154">
        <v>13</v>
      </c>
      <c r="K801" s="154">
        <v>85</v>
      </c>
      <c r="L801" s="154">
        <v>0</v>
      </c>
      <c r="M801" s="154">
        <v>0</v>
      </c>
      <c r="N801" s="154">
        <v>0</v>
      </c>
      <c r="O801" s="154">
        <v>0</v>
      </c>
      <c r="P801" s="154">
        <v>0</v>
      </c>
      <c r="Q801" s="156">
        <v>35.9</v>
      </c>
    </row>
    <row r="802" spans="1:17" x14ac:dyDescent="0.35">
      <c r="A802" s="167"/>
      <c r="B802" s="170"/>
      <c r="C802" s="151" t="s">
        <v>280</v>
      </c>
      <c r="D802" s="170"/>
      <c r="E802" s="155"/>
      <c r="F802" s="155"/>
      <c r="G802" s="155"/>
      <c r="H802" s="155"/>
      <c r="I802" s="155"/>
      <c r="J802" s="155"/>
      <c r="K802" s="155"/>
      <c r="L802" s="155"/>
      <c r="M802" s="155"/>
      <c r="N802" s="155"/>
      <c r="O802" s="155"/>
      <c r="P802" s="155"/>
      <c r="Q802" s="157"/>
    </row>
    <row r="803" spans="1:17" ht="15" thickBot="1" x14ac:dyDescent="0.4">
      <c r="A803" s="168"/>
      <c r="B803" s="171"/>
      <c r="C803" s="148" t="s">
        <v>1019</v>
      </c>
      <c r="D803" s="171"/>
      <c r="E803" s="158"/>
      <c r="F803" s="158"/>
      <c r="G803" s="158"/>
      <c r="H803" s="158"/>
      <c r="I803" s="158"/>
      <c r="J803" s="158"/>
      <c r="K803" s="158"/>
      <c r="L803" s="158"/>
      <c r="M803" s="158"/>
      <c r="N803" s="158"/>
      <c r="O803" s="158"/>
      <c r="P803" s="158"/>
      <c r="Q803" s="159"/>
    </row>
    <row r="804" spans="1:17" x14ac:dyDescent="0.35">
      <c r="A804" s="166"/>
      <c r="B804" s="169">
        <v>268</v>
      </c>
      <c r="C804" s="147"/>
      <c r="D804" s="169"/>
      <c r="E804" s="154">
        <v>0</v>
      </c>
      <c r="F804" s="154">
        <v>0</v>
      </c>
      <c r="G804" s="154">
        <v>0</v>
      </c>
      <c r="H804" s="154">
        <v>121</v>
      </c>
      <c r="I804" s="154">
        <v>1</v>
      </c>
      <c r="J804" s="154">
        <v>28</v>
      </c>
      <c r="K804" s="154">
        <v>221</v>
      </c>
      <c r="L804" s="154">
        <v>1</v>
      </c>
      <c r="M804" s="154">
        <v>0</v>
      </c>
      <c r="N804" s="154">
        <v>0</v>
      </c>
      <c r="O804" s="154">
        <v>0</v>
      </c>
      <c r="P804" s="154">
        <v>0</v>
      </c>
      <c r="Q804" s="156">
        <v>57.7</v>
      </c>
    </row>
    <row r="805" spans="1:17" x14ac:dyDescent="0.35">
      <c r="A805" s="167"/>
      <c r="B805" s="170"/>
      <c r="C805" s="151" t="s">
        <v>912</v>
      </c>
      <c r="D805" s="170"/>
      <c r="E805" s="155"/>
      <c r="F805" s="155"/>
      <c r="G805" s="155"/>
      <c r="H805" s="155"/>
      <c r="I805" s="155"/>
      <c r="J805" s="155"/>
      <c r="K805" s="155"/>
      <c r="L805" s="155"/>
      <c r="M805" s="155"/>
      <c r="N805" s="155"/>
      <c r="O805" s="155"/>
      <c r="P805" s="155"/>
      <c r="Q805" s="157"/>
    </row>
    <row r="806" spans="1:17" ht="15" thickBot="1" x14ac:dyDescent="0.4">
      <c r="A806" s="168"/>
      <c r="B806" s="171"/>
      <c r="C806" s="148" t="s">
        <v>1069</v>
      </c>
      <c r="D806" s="171"/>
      <c r="E806" s="158"/>
      <c r="F806" s="158"/>
      <c r="G806" s="158"/>
      <c r="H806" s="158"/>
      <c r="I806" s="158"/>
      <c r="J806" s="158"/>
      <c r="K806" s="158"/>
      <c r="L806" s="158"/>
      <c r="M806" s="158"/>
      <c r="N806" s="158"/>
      <c r="O806" s="158"/>
      <c r="P806" s="158"/>
      <c r="Q806" s="159"/>
    </row>
    <row r="807" spans="1:17" x14ac:dyDescent="0.35">
      <c r="A807" s="166"/>
      <c r="B807" s="169">
        <v>269</v>
      </c>
      <c r="C807" s="147"/>
      <c r="D807" s="169"/>
      <c r="E807" s="154">
        <v>3750</v>
      </c>
      <c r="F807" s="154">
        <v>22</v>
      </c>
      <c r="G807" s="154">
        <v>15</v>
      </c>
      <c r="H807" s="154">
        <v>106</v>
      </c>
      <c r="I807" s="154">
        <v>2</v>
      </c>
      <c r="J807" s="154">
        <v>0</v>
      </c>
      <c r="K807" s="154">
        <v>0</v>
      </c>
      <c r="L807" s="154">
        <v>0</v>
      </c>
      <c r="M807" s="154">
        <v>0</v>
      </c>
      <c r="N807" s="154">
        <v>0</v>
      </c>
      <c r="O807" s="154">
        <v>0</v>
      </c>
      <c r="P807" s="154">
        <v>0</v>
      </c>
      <c r="Q807" s="156">
        <v>222.6</v>
      </c>
    </row>
    <row r="808" spans="1:17" x14ac:dyDescent="0.35">
      <c r="A808" s="167"/>
      <c r="B808" s="170"/>
      <c r="C808" s="151" t="s">
        <v>362</v>
      </c>
      <c r="D808" s="170"/>
      <c r="E808" s="155"/>
      <c r="F808" s="155"/>
      <c r="G808" s="155"/>
      <c r="H808" s="155"/>
      <c r="I808" s="155"/>
      <c r="J808" s="155"/>
      <c r="K808" s="155"/>
      <c r="L808" s="155"/>
      <c r="M808" s="155"/>
      <c r="N808" s="155"/>
      <c r="O808" s="155"/>
      <c r="P808" s="155"/>
      <c r="Q808" s="157"/>
    </row>
    <row r="809" spans="1:17" ht="15" thickBot="1" x14ac:dyDescent="0.4">
      <c r="A809" s="168"/>
      <c r="B809" s="171"/>
      <c r="C809" s="148" t="s">
        <v>1168</v>
      </c>
      <c r="D809" s="171"/>
      <c r="E809" s="158"/>
      <c r="F809" s="158"/>
      <c r="G809" s="158"/>
      <c r="H809" s="158"/>
      <c r="I809" s="158"/>
      <c r="J809" s="158"/>
      <c r="K809" s="158"/>
      <c r="L809" s="158"/>
      <c r="M809" s="158"/>
      <c r="N809" s="158"/>
      <c r="O809" s="158"/>
      <c r="P809" s="158"/>
      <c r="Q809" s="159"/>
    </row>
    <row r="810" spans="1:17" x14ac:dyDescent="0.35">
      <c r="A810" s="166"/>
      <c r="B810" s="169">
        <v>270</v>
      </c>
      <c r="C810" s="147"/>
      <c r="D810" s="169"/>
      <c r="E810" s="154">
        <v>3615</v>
      </c>
      <c r="F810" s="154">
        <v>17</v>
      </c>
      <c r="G810" s="154">
        <v>10</v>
      </c>
      <c r="H810" s="154">
        <v>75</v>
      </c>
      <c r="I810" s="154">
        <v>1</v>
      </c>
      <c r="J810" s="154">
        <v>0</v>
      </c>
      <c r="K810" s="154">
        <v>0</v>
      </c>
      <c r="L810" s="154">
        <v>0</v>
      </c>
      <c r="M810" s="154">
        <v>0</v>
      </c>
      <c r="N810" s="154">
        <v>0</v>
      </c>
      <c r="O810" s="154">
        <v>0</v>
      </c>
      <c r="P810" s="154">
        <v>0</v>
      </c>
      <c r="Q810" s="156">
        <v>206.1</v>
      </c>
    </row>
    <row r="811" spans="1:17" x14ac:dyDescent="0.35">
      <c r="A811" s="167"/>
      <c r="B811" s="170"/>
      <c r="C811" s="151" t="s">
        <v>709</v>
      </c>
      <c r="D811" s="170"/>
      <c r="E811" s="155"/>
      <c r="F811" s="155"/>
      <c r="G811" s="155"/>
      <c r="H811" s="155"/>
      <c r="I811" s="155"/>
      <c r="J811" s="155"/>
      <c r="K811" s="155"/>
      <c r="L811" s="155"/>
      <c r="M811" s="155"/>
      <c r="N811" s="155"/>
      <c r="O811" s="155"/>
      <c r="P811" s="155"/>
      <c r="Q811" s="157"/>
    </row>
    <row r="812" spans="1:17" ht="15" thickBot="1" x14ac:dyDescent="0.4">
      <c r="A812" s="168"/>
      <c r="B812" s="171"/>
      <c r="C812" s="148" t="s">
        <v>1086</v>
      </c>
      <c r="D812" s="171"/>
      <c r="E812" s="158"/>
      <c r="F812" s="158"/>
      <c r="G812" s="158"/>
      <c r="H812" s="158"/>
      <c r="I812" s="158"/>
      <c r="J812" s="158"/>
      <c r="K812" s="158"/>
      <c r="L812" s="158"/>
      <c r="M812" s="158"/>
      <c r="N812" s="158"/>
      <c r="O812" s="158"/>
      <c r="P812" s="158"/>
      <c r="Q812" s="159"/>
    </row>
    <row r="813" spans="1:17" x14ac:dyDescent="0.35">
      <c r="A813" s="166"/>
      <c r="B813" s="169">
        <v>271</v>
      </c>
      <c r="C813" s="147"/>
      <c r="D813" s="169"/>
      <c r="E813" s="154">
        <v>3722</v>
      </c>
      <c r="F813" s="154">
        <v>17</v>
      </c>
      <c r="G813" s="154">
        <v>14</v>
      </c>
      <c r="H813" s="154">
        <v>190</v>
      </c>
      <c r="I813" s="154">
        <v>1</v>
      </c>
      <c r="J813" s="154">
        <v>0</v>
      </c>
      <c r="K813" s="154">
        <v>0</v>
      </c>
      <c r="L813" s="154">
        <v>0</v>
      </c>
      <c r="M813" s="154">
        <v>0</v>
      </c>
      <c r="N813" s="154">
        <v>0</v>
      </c>
      <c r="O813" s="154">
        <v>0</v>
      </c>
      <c r="P813" s="154">
        <v>0</v>
      </c>
      <c r="Q813" s="156">
        <v>207.7</v>
      </c>
    </row>
    <row r="814" spans="1:17" x14ac:dyDescent="0.35">
      <c r="A814" s="167"/>
      <c r="B814" s="170"/>
      <c r="C814" s="151" t="s">
        <v>1416</v>
      </c>
      <c r="D814" s="170"/>
      <c r="E814" s="155"/>
      <c r="F814" s="155"/>
      <c r="G814" s="155"/>
      <c r="H814" s="155"/>
      <c r="I814" s="155"/>
      <c r="J814" s="155"/>
      <c r="K814" s="155"/>
      <c r="L814" s="155"/>
      <c r="M814" s="155"/>
      <c r="N814" s="155"/>
      <c r="O814" s="155"/>
      <c r="P814" s="155"/>
      <c r="Q814" s="157"/>
    </row>
    <row r="815" spans="1:17" ht="15" thickBot="1" x14ac:dyDescent="0.4">
      <c r="A815" s="168"/>
      <c r="B815" s="171"/>
      <c r="C815" s="148" t="s">
        <v>1417</v>
      </c>
      <c r="D815" s="171"/>
      <c r="E815" s="158"/>
      <c r="F815" s="158"/>
      <c r="G815" s="158"/>
      <c r="H815" s="158"/>
      <c r="I815" s="158"/>
      <c r="J815" s="158"/>
      <c r="K815" s="158"/>
      <c r="L815" s="158"/>
      <c r="M815" s="158"/>
      <c r="N815" s="158"/>
      <c r="O815" s="158"/>
      <c r="P815" s="158"/>
      <c r="Q815" s="159"/>
    </row>
    <row r="816" spans="1:17" x14ac:dyDescent="0.35">
      <c r="A816" s="166"/>
      <c r="B816" s="169">
        <v>272</v>
      </c>
      <c r="C816" s="147"/>
      <c r="D816" s="169"/>
      <c r="E816" s="154">
        <v>1272</v>
      </c>
      <c r="F816" s="154">
        <v>7</v>
      </c>
      <c r="G816" s="154">
        <v>3</v>
      </c>
      <c r="H816" s="154">
        <v>130</v>
      </c>
      <c r="I816" s="154">
        <v>1</v>
      </c>
      <c r="J816" s="154">
        <v>0</v>
      </c>
      <c r="K816" s="154">
        <v>0</v>
      </c>
      <c r="L816" s="154">
        <v>0</v>
      </c>
      <c r="M816" s="154">
        <v>0</v>
      </c>
      <c r="N816" s="154">
        <v>0</v>
      </c>
      <c r="O816" s="154">
        <v>0</v>
      </c>
      <c r="P816" s="154">
        <v>0</v>
      </c>
      <c r="Q816" s="156">
        <v>89.9</v>
      </c>
    </row>
    <row r="817" spans="1:17" x14ac:dyDescent="0.35">
      <c r="A817" s="167"/>
      <c r="B817" s="170"/>
      <c r="C817" s="151" t="s">
        <v>714</v>
      </c>
      <c r="D817" s="170"/>
      <c r="E817" s="155"/>
      <c r="F817" s="155"/>
      <c r="G817" s="155"/>
      <c r="H817" s="155"/>
      <c r="I817" s="155"/>
      <c r="J817" s="155"/>
      <c r="K817" s="155"/>
      <c r="L817" s="155"/>
      <c r="M817" s="155"/>
      <c r="N817" s="155"/>
      <c r="O817" s="155"/>
      <c r="P817" s="155"/>
      <c r="Q817" s="157"/>
    </row>
    <row r="818" spans="1:17" ht="15" thickBot="1" x14ac:dyDescent="0.4">
      <c r="A818" s="168"/>
      <c r="B818" s="171"/>
      <c r="C818" s="148" t="s">
        <v>1151</v>
      </c>
      <c r="D818" s="171"/>
      <c r="E818" s="158"/>
      <c r="F818" s="158"/>
      <c r="G818" s="158"/>
      <c r="H818" s="158"/>
      <c r="I818" s="158"/>
      <c r="J818" s="158"/>
      <c r="K818" s="158"/>
      <c r="L818" s="158"/>
      <c r="M818" s="158"/>
      <c r="N818" s="158"/>
      <c r="O818" s="158"/>
      <c r="P818" s="158"/>
      <c r="Q818" s="159"/>
    </row>
    <row r="819" spans="1:17" x14ac:dyDescent="0.35">
      <c r="A819" s="166"/>
      <c r="B819" s="169">
        <v>273</v>
      </c>
      <c r="C819" s="147"/>
      <c r="D819" s="169"/>
      <c r="E819" s="154">
        <v>3014</v>
      </c>
      <c r="F819" s="154">
        <v>16</v>
      </c>
      <c r="G819" s="154">
        <v>11</v>
      </c>
      <c r="H819" s="154">
        <v>129</v>
      </c>
      <c r="I819" s="154">
        <v>1</v>
      </c>
      <c r="J819" s="154">
        <v>0</v>
      </c>
      <c r="K819" s="154">
        <v>0</v>
      </c>
      <c r="L819" s="154">
        <v>0</v>
      </c>
      <c r="M819" s="154">
        <v>0</v>
      </c>
      <c r="N819" s="154">
        <v>0</v>
      </c>
      <c r="O819" s="154">
        <v>0</v>
      </c>
      <c r="P819" s="154">
        <v>0</v>
      </c>
      <c r="Q819" s="156">
        <v>180.1</v>
      </c>
    </row>
    <row r="820" spans="1:17" x14ac:dyDescent="0.35">
      <c r="A820" s="167"/>
      <c r="B820" s="170"/>
      <c r="C820" s="151" t="s">
        <v>1253</v>
      </c>
      <c r="D820" s="170"/>
      <c r="E820" s="155"/>
      <c r="F820" s="155"/>
      <c r="G820" s="155"/>
      <c r="H820" s="155"/>
      <c r="I820" s="155"/>
      <c r="J820" s="155"/>
      <c r="K820" s="155"/>
      <c r="L820" s="155"/>
      <c r="M820" s="155"/>
      <c r="N820" s="155"/>
      <c r="O820" s="155"/>
      <c r="P820" s="155"/>
      <c r="Q820" s="157"/>
    </row>
    <row r="821" spans="1:17" ht="15" thickBot="1" x14ac:dyDescent="0.4">
      <c r="A821" s="168"/>
      <c r="B821" s="171"/>
      <c r="C821" s="148" t="s">
        <v>1418</v>
      </c>
      <c r="D821" s="171"/>
      <c r="E821" s="158"/>
      <c r="F821" s="158"/>
      <c r="G821" s="158"/>
      <c r="H821" s="158"/>
      <c r="I821" s="158"/>
      <c r="J821" s="158"/>
      <c r="K821" s="158"/>
      <c r="L821" s="158"/>
      <c r="M821" s="158"/>
      <c r="N821" s="158"/>
      <c r="O821" s="158"/>
      <c r="P821" s="158"/>
      <c r="Q821" s="159"/>
    </row>
    <row r="822" spans="1:17" x14ac:dyDescent="0.35">
      <c r="A822" s="166"/>
      <c r="B822" s="169">
        <v>274</v>
      </c>
      <c r="C822" s="147"/>
      <c r="D822" s="169"/>
      <c r="E822" s="154">
        <v>0</v>
      </c>
      <c r="F822" s="154">
        <v>0</v>
      </c>
      <c r="G822" s="154">
        <v>0</v>
      </c>
      <c r="H822" s="154">
        <v>20</v>
      </c>
      <c r="I822" s="154">
        <v>0</v>
      </c>
      <c r="J822" s="154">
        <v>24</v>
      </c>
      <c r="K822" s="154">
        <v>313</v>
      </c>
      <c r="L822" s="154">
        <v>2</v>
      </c>
      <c r="M822" s="154">
        <v>0</v>
      </c>
      <c r="N822" s="154">
        <v>0</v>
      </c>
      <c r="O822" s="154">
        <v>0</v>
      </c>
      <c r="P822" s="154">
        <v>0</v>
      </c>
      <c r="Q822" s="156">
        <v>59.9</v>
      </c>
    </row>
    <row r="823" spans="1:17" x14ac:dyDescent="0.35">
      <c r="A823" s="167"/>
      <c r="B823" s="170"/>
      <c r="C823" s="151" t="s">
        <v>453</v>
      </c>
      <c r="D823" s="170"/>
      <c r="E823" s="155"/>
      <c r="F823" s="155"/>
      <c r="G823" s="155"/>
      <c r="H823" s="155"/>
      <c r="I823" s="155"/>
      <c r="J823" s="155"/>
      <c r="K823" s="155"/>
      <c r="L823" s="155"/>
      <c r="M823" s="155"/>
      <c r="N823" s="155"/>
      <c r="O823" s="155"/>
      <c r="P823" s="155"/>
      <c r="Q823" s="157"/>
    </row>
    <row r="824" spans="1:17" ht="15" thickBot="1" x14ac:dyDescent="0.4">
      <c r="A824" s="168"/>
      <c r="B824" s="171"/>
      <c r="C824" s="148" t="s">
        <v>1082</v>
      </c>
      <c r="D824" s="171"/>
      <c r="E824" s="158"/>
      <c r="F824" s="158"/>
      <c r="G824" s="158"/>
      <c r="H824" s="158"/>
      <c r="I824" s="158"/>
      <c r="J824" s="158"/>
      <c r="K824" s="158"/>
      <c r="L824" s="158"/>
      <c r="M824" s="158"/>
      <c r="N824" s="158"/>
      <c r="O824" s="158"/>
      <c r="P824" s="158"/>
      <c r="Q824" s="159"/>
    </row>
    <row r="825" spans="1:17" x14ac:dyDescent="0.35">
      <c r="A825" s="166"/>
      <c r="B825" s="169">
        <v>275</v>
      </c>
      <c r="C825" s="147"/>
      <c r="D825" s="169"/>
      <c r="E825" s="154">
        <v>0</v>
      </c>
      <c r="F825" s="154">
        <v>0</v>
      </c>
      <c r="G825" s="154">
        <v>0</v>
      </c>
      <c r="H825" s="154">
        <v>10</v>
      </c>
      <c r="I825" s="154">
        <v>0</v>
      </c>
      <c r="J825" s="154">
        <v>26</v>
      </c>
      <c r="K825" s="154">
        <v>324</v>
      </c>
      <c r="L825" s="154">
        <v>2</v>
      </c>
      <c r="M825" s="154">
        <v>0</v>
      </c>
      <c r="N825" s="154">
        <v>0</v>
      </c>
      <c r="O825" s="154">
        <v>0</v>
      </c>
      <c r="P825" s="154">
        <v>0</v>
      </c>
      <c r="Q825" s="156">
        <v>57.8</v>
      </c>
    </row>
    <row r="826" spans="1:17" x14ac:dyDescent="0.35">
      <c r="A826" s="167"/>
      <c r="B826" s="170"/>
      <c r="C826" s="151" t="s">
        <v>1263</v>
      </c>
      <c r="D826" s="170"/>
      <c r="E826" s="155"/>
      <c r="F826" s="155"/>
      <c r="G826" s="155"/>
      <c r="H826" s="155"/>
      <c r="I826" s="155"/>
      <c r="J826" s="155"/>
      <c r="K826" s="155"/>
      <c r="L826" s="155"/>
      <c r="M826" s="155"/>
      <c r="N826" s="155"/>
      <c r="O826" s="155"/>
      <c r="P826" s="155"/>
      <c r="Q826" s="157"/>
    </row>
    <row r="827" spans="1:17" ht="15" thickBot="1" x14ac:dyDescent="0.4">
      <c r="A827" s="168"/>
      <c r="B827" s="171"/>
      <c r="C827" s="148" t="s">
        <v>1083</v>
      </c>
      <c r="D827" s="171"/>
      <c r="E827" s="158"/>
      <c r="F827" s="158"/>
      <c r="G827" s="158"/>
      <c r="H827" s="158"/>
      <c r="I827" s="158"/>
      <c r="J827" s="158"/>
      <c r="K827" s="158"/>
      <c r="L827" s="158"/>
      <c r="M827" s="158"/>
      <c r="N827" s="158"/>
      <c r="O827" s="158"/>
      <c r="P827" s="158"/>
      <c r="Q827" s="159"/>
    </row>
    <row r="828" spans="1:17" x14ac:dyDescent="0.35">
      <c r="A828" s="166"/>
      <c r="B828" s="169">
        <v>276</v>
      </c>
      <c r="C828" s="147"/>
      <c r="D828" s="169"/>
      <c r="E828" s="154">
        <v>0</v>
      </c>
      <c r="F828" s="154">
        <v>0</v>
      </c>
      <c r="G828" s="154">
        <v>0</v>
      </c>
      <c r="H828" s="154">
        <v>0</v>
      </c>
      <c r="I828" s="154">
        <v>0</v>
      </c>
      <c r="J828" s="154">
        <v>12</v>
      </c>
      <c r="K828" s="154">
        <v>153</v>
      </c>
      <c r="L828" s="154">
        <v>1</v>
      </c>
      <c r="M828" s="154">
        <v>0</v>
      </c>
      <c r="N828" s="154">
        <v>0</v>
      </c>
      <c r="O828" s="154">
        <v>0</v>
      </c>
      <c r="P828" s="154">
        <v>0</v>
      </c>
      <c r="Q828" s="156">
        <v>26.1</v>
      </c>
    </row>
    <row r="829" spans="1:17" x14ac:dyDescent="0.35">
      <c r="A829" s="167"/>
      <c r="B829" s="170"/>
      <c r="C829" s="151" t="s">
        <v>1547</v>
      </c>
      <c r="D829" s="170"/>
      <c r="E829" s="155"/>
      <c r="F829" s="155"/>
      <c r="G829" s="155"/>
      <c r="H829" s="155"/>
      <c r="I829" s="155"/>
      <c r="J829" s="155"/>
      <c r="K829" s="155"/>
      <c r="L829" s="155"/>
      <c r="M829" s="155"/>
      <c r="N829" s="155"/>
      <c r="O829" s="155"/>
      <c r="P829" s="155"/>
      <c r="Q829" s="157"/>
    </row>
    <row r="830" spans="1:17" ht="15" thickBot="1" x14ac:dyDescent="0.4">
      <c r="A830" s="168"/>
      <c r="B830" s="171"/>
      <c r="C830" s="148" t="s">
        <v>1038</v>
      </c>
      <c r="D830" s="171"/>
      <c r="E830" s="158"/>
      <c r="F830" s="158"/>
      <c r="G830" s="158"/>
      <c r="H830" s="158"/>
      <c r="I830" s="158"/>
      <c r="J830" s="158"/>
      <c r="K830" s="158"/>
      <c r="L830" s="158"/>
      <c r="M830" s="158"/>
      <c r="N830" s="158"/>
      <c r="O830" s="158"/>
      <c r="P830" s="158"/>
      <c r="Q830" s="159"/>
    </row>
    <row r="831" spans="1:17" x14ac:dyDescent="0.35">
      <c r="A831" s="166"/>
      <c r="B831" s="169">
        <v>277</v>
      </c>
      <c r="C831" s="147"/>
      <c r="D831" s="169"/>
      <c r="E831" s="154">
        <v>0</v>
      </c>
      <c r="F831" s="154">
        <v>0</v>
      </c>
      <c r="G831" s="154">
        <v>0</v>
      </c>
      <c r="H831" s="154">
        <v>0</v>
      </c>
      <c r="I831" s="154">
        <v>0</v>
      </c>
      <c r="J831" s="154">
        <v>27</v>
      </c>
      <c r="K831" s="154">
        <v>380</v>
      </c>
      <c r="L831" s="154">
        <v>3</v>
      </c>
      <c r="M831" s="154">
        <v>0</v>
      </c>
      <c r="N831" s="154">
        <v>0</v>
      </c>
      <c r="O831" s="154">
        <v>0</v>
      </c>
      <c r="P831" s="154">
        <v>0</v>
      </c>
      <c r="Q831" s="156">
        <v>68.900000000000006</v>
      </c>
    </row>
    <row r="832" spans="1:17" x14ac:dyDescent="0.35">
      <c r="A832" s="167"/>
      <c r="B832" s="170"/>
      <c r="C832" s="151" t="s">
        <v>670</v>
      </c>
      <c r="D832" s="170"/>
      <c r="E832" s="155"/>
      <c r="F832" s="155"/>
      <c r="G832" s="155"/>
      <c r="H832" s="155"/>
      <c r="I832" s="155"/>
      <c r="J832" s="155"/>
      <c r="K832" s="155"/>
      <c r="L832" s="155"/>
      <c r="M832" s="155"/>
      <c r="N832" s="155"/>
      <c r="O832" s="155"/>
      <c r="P832" s="155"/>
      <c r="Q832" s="157"/>
    </row>
    <row r="833" spans="1:17" ht="15" thickBot="1" x14ac:dyDescent="0.4">
      <c r="A833" s="168"/>
      <c r="B833" s="171"/>
      <c r="C833" s="148" t="s">
        <v>1152</v>
      </c>
      <c r="D833" s="171"/>
      <c r="E833" s="158"/>
      <c r="F833" s="158"/>
      <c r="G833" s="158"/>
      <c r="H833" s="158"/>
      <c r="I833" s="158"/>
      <c r="J833" s="158"/>
      <c r="K833" s="158"/>
      <c r="L833" s="158"/>
      <c r="M833" s="158"/>
      <c r="N833" s="158"/>
      <c r="O833" s="158"/>
      <c r="P833" s="158"/>
      <c r="Q833" s="159"/>
    </row>
    <row r="834" spans="1:17" x14ac:dyDescent="0.35">
      <c r="A834" s="166"/>
      <c r="B834" s="169">
        <v>278</v>
      </c>
      <c r="C834" s="147"/>
      <c r="D834" s="169"/>
      <c r="E834" s="154">
        <v>0</v>
      </c>
      <c r="F834" s="154">
        <v>0</v>
      </c>
      <c r="G834" s="154">
        <v>0</v>
      </c>
      <c r="H834" s="154">
        <v>0</v>
      </c>
      <c r="I834" s="154">
        <v>0</v>
      </c>
      <c r="J834" s="154">
        <v>14</v>
      </c>
      <c r="K834" s="154">
        <v>201</v>
      </c>
      <c r="L834" s="154">
        <v>1</v>
      </c>
      <c r="M834" s="154">
        <v>0</v>
      </c>
      <c r="N834" s="154">
        <v>0</v>
      </c>
      <c r="O834" s="154">
        <v>0</v>
      </c>
      <c r="P834" s="154">
        <v>0</v>
      </c>
      <c r="Q834" s="156">
        <v>34</v>
      </c>
    </row>
    <row r="835" spans="1:17" x14ac:dyDescent="0.35">
      <c r="A835" s="167"/>
      <c r="B835" s="170"/>
      <c r="C835" s="151" t="s">
        <v>1548</v>
      </c>
      <c r="D835" s="170"/>
      <c r="E835" s="155"/>
      <c r="F835" s="155"/>
      <c r="G835" s="155"/>
      <c r="H835" s="155"/>
      <c r="I835" s="155"/>
      <c r="J835" s="155"/>
      <c r="K835" s="155"/>
      <c r="L835" s="155"/>
      <c r="M835" s="155"/>
      <c r="N835" s="155"/>
      <c r="O835" s="155"/>
      <c r="P835" s="155"/>
      <c r="Q835" s="157"/>
    </row>
    <row r="836" spans="1:17" ht="15" thickBot="1" x14ac:dyDescent="0.4">
      <c r="A836" s="168"/>
      <c r="B836" s="171"/>
      <c r="C836" s="148" t="s">
        <v>1079</v>
      </c>
      <c r="D836" s="171"/>
      <c r="E836" s="158"/>
      <c r="F836" s="158"/>
      <c r="G836" s="158"/>
      <c r="H836" s="158"/>
      <c r="I836" s="158"/>
      <c r="J836" s="158"/>
      <c r="K836" s="158"/>
      <c r="L836" s="158"/>
      <c r="M836" s="158"/>
      <c r="N836" s="158"/>
      <c r="O836" s="158"/>
      <c r="P836" s="158"/>
      <c r="Q836" s="159"/>
    </row>
    <row r="837" spans="1:17" x14ac:dyDescent="0.35">
      <c r="A837" s="166"/>
      <c r="B837" s="169">
        <v>279</v>
      </c>
      <c r="C837" s="147"/>
      <c r="D837" s="169"/>
      <c r="E837" s="154">
        <v>0</v>
      </c>
      <c r="F837" s="154">
        <v>0</v>
      </c>
      <c r="G837" s="154">
        <v>0</v>
      </c>
      <c r="H837" s="154">
        <v>0</v>
      </c>
      <c r="I837" s="154">
        <v>0</v>
      </c>
      <c r="J837" s="154">
        <v>26</v>
      </c>
      <c r="K837" s="154">
        <v>336</v>
      </c>
      <c r="L837" s="154">
        <v>2</v>
      </c>
      <c r="M837" s="154">
        <v>0</v>
      </c>
      <c r="N837" s="154">
        <v>0</v>
      </c>
      <c r="O837" s="154">
        <v>0</v>
      </c>
      <c r="P837" s="154">
        <v>0</v>
      </c>
      <c r="Q837" s="156">
        <v>57.5</v>
      </c>
    </row>
    <row r="838" spans="1:17" x14ac:dyDescent="0.35">
      <c r="A838" s="167"/>
      <c r="B838" s="170"/>
      <c r="C838" s="151" t="s">
        <v>1000</v>
      </c>
      <c r="D838" s="170"/>
      <c r="E838" s="155"/>
      <c r="F838" s="155"/>
      <c r="G838" s="155"/>
      <c r="H838" s="155"/>
      <c r="I838" s="155"/>
      <c r="J838" s="155"/>
      <c r="K838" s="155"/>
      <c r="L838" s="155"/>
      <c r="M838" s="155"/>
      <c r="N838" s="155"/>
      <c r="O838" s="155"/>
      <c r="P838" s="155"/>
      <c r="Q838" s="157"/>
    </row>
    <row r="839" spans="1:17" ht="15" thickBot="1" x14ac:dyDescent="0.4">
      <c r="A839" s="168"/>
      <c r="B839" s="171"/>
      <c r="C839" s="148" t="s">
        <v>1052</v>
      </c>
      <c r="D839" s="171"/>
      <c r="E839" s="158"/>
      <c r="F839" s="158"/>
      <c r="G839" s="158"/>
      <c r="H839" s="158"/>
      <c r="I839" s="158"/>
      <c r="J839" s="158"/>
      <c r="K839" s="158"/>
      <c r="L839" s="158"/>
      <c r="M839" s="158"/>
      <c r="N839" s="158"/>
      <c r="O839" s="158"/>
      <c r="P839" s="158"/>
      <c r="Q839" s="159"/>
    </row>
    <row r="840" spans="1:17" x14ac:dyDescent="0.35">
      <c r="A840" s="166"/>
      <c r="B840" s="169">
        <v>280</v>
      </c>
      <c r="C840" s="147"/>
      <c r="D840" s="169"/>
      <c r="E840" s="154">
        <v>0</v>
      </c>
      <c r="F840" s="154">
        <v>0</v>
      </c>
      <c r="G840" s="154">
        <v>0</v>
      </c>
      <c r="H840" s="154">
        <v>291</v>
      </c>
      <c r="I840" s="154">
        <v>3</v>
      </c>
      <c r="J840" s="154">
        <v>12</v>
      </c>
      <c r="K840" s="154">
        <v>92</v>
      </c>
      <c r="L840" s="154">
        <v>0</v>
      </c>
      <c r="M840" s="154">
        <v>0</v>
      </c>
      <c r="N840" s="154">
        <v>0</v>
      </c>
      <c r="O840" s="154">
        <v>0</v>
      </c>
      <c r="P840" s="154">
        <v>0</v>
      </c>
      <c r="Q840" s="156">
        <v>61.2</v>
      </c>
    </row>
    <row r="841" spans="1:17" x14ac:dyDescent="0.35">
      <c r="A841" s="167"/>
      <c r="B841" s="170"/>
      <c r="C841" s="151" t="s">
        <v>331</v>
      </c>
      <c r="D841" s="170"/>
      <c r="E841" s="155"/>
      <c r="F841" s="155"/>
      <c r="G841" s="155"/>
      <c r="H841" s="155"/>
      <c r="I841" s="155"/>
      <c r="J841" s="155"/>
      <c r="K841" s="155"/>
      <c r="L841" s="155"/>
      <c r="M841" s="155"/>
      <c r="N841" s="155"/>
      <c r="O841" s="155"/>
      <c r="P841" s="155"/>
      <c r="Q841" s="157"/>
    </row>
    <row r="842" spans="1:17" ht="15" thickBot="1" x14ac:dyDescent="0.4">
      <c r="A842" s="168"/>
      <c r="B842" s="171"/>
      <c r="C842" s="148" t="s">
        <v>1069</v>
      </c>
      <c r="D842" s="171"/>
      <c r="E842" s="158"/>
      <c r="F842" s="158"/>
      <c r="G842" s="158"/>
      <c r="H842" s="158"/>
      <c r="I842" s="158"/>
      <c r="J842" s="158"/>
      <c r="K842" s="158"/>
      <c r="L842" s="158"/>
      <c r="M842" s="158"/>
      <c r="N842" s="158"/>
      <c r="O842" s="158"/>
      <c r="P842" s="158"/>
      <c r="Q842" s="159"/>
    </row>
    <row r="843" spans="1:17" x14ac:dyDescent="0.35">
      <c r="A843" s="166"/>
      <c r="B843" s="169">
        <v>281</v>
      </c>
      <c r="C843" s="147"/>
      <c r="D843" s="169"/>
      <c r="E843" s="154">
        <v>0</v>
      </c>
      <c r="F843" s="154">
        <v>0</v>
      </c>
      <c r="G843" s="154">
        <v>0</v>
      </c>
      <c r="H843" s="154">
        <v>149</v>
      </c>
      <c r="I843" s="154">
        <v>1</v>
      </c>
      <c r="J843" s="154">
        <v>23</v>
      </c>
      <c r="K843" s="154">
        <v>166</v>
      </c>
      <c r="L843" s="154">
        <v>1</v>
      </c>
      <c r="M843" s="154">
        <v>0</v>
      </c>
      <c r="N843" s="154">
        <v>0</v>
      </c>
      <c r="O843" s="154">
        <v>0</v>
      </c>
      <c r="P843" s="154">
        <v>0</v>
      </c>
      <c r="Q843" s="156">
        <v>53.6</v>
      </c>
    </row>
    <row r="844" spans="1:17" x14ac:dyDescent="0.35">
      <c r="A844" s="167"/>
      <c r="B844" s="170"/>
      <c r="C844" s="151" t="s">
        <v>425</v>
      </c>
      <c r="D844" s="170"/>
      <c r="E844" s="155"/>
      <c r="F844" s="155"/>
      <c r="G844" s="155"/>
      <c r="H844" s="155"/>
      <c r="I844" s="155"/>
      <c r="J844" s="155"/>
      <c r="K844" s="155"/>
      <c r="L844" s="155"/>
      <c r="M844" s="155"/>
      <c r="N844" s="155"/>
      <c r="O844" s="155"/>
      <c r="P844" s="155"/>
      <c r="Q844" s="157"/>
    </row>
    <row r="845" spans="1:17" ht="15" thickBot="1" x14ac:dyDescent="0.4">
      <c r="A845" s="168"/>
      <c r="B845" s="171"/>
      <c r="C845" s="148" t="s">
        <v>1035</v>
      </c>
      <c r="D845" s="171"/>
      <c r="E845" s="158"/>
      <c r="F845" s="158"/>
      <c r="G845" s="158"/>
      <c r="H845" s="158"/>
      <c r="I845" s="158"/>
      <c r="J845" s="158"/>
      <c r="K845" s="158"/>
      <c r="L845" s="158"/>
      <c r="M845" s="158"/>
      <c r="N845" s="158"/>
      <c r="O845" s="158"/>
      <c r="P845" s="158"/>
      <c r="Q845" s="159"/>
    </row>
    <row r="846" spans="1:17" x14ac:dyDescent="0.35">
      <c r="A846" s="166"/>
      <c r="B846" s="169">
        <v>282</v>
      </c>
      <c r="C846" s="147"/>
      <c r="D846" s="169"/>
      <c r="E846" s="154">
        <v>0</v>
      </c>
      <c r="F846" s="154">
        <v>0</v>
      </c>
      <c r="G846" s="154">
        <v>0</v>
      </c>
      <c r="H846" s="154">
        <v>282</v>
      </c>
      <c r="I846" s="154">
        <v>2</v>
      </c>
      <c r="J846" s="154">
        <v>16</v>
      </c>
      <c r="K846" s="154">
        <v>131</v>
      </c>
      <c r="L846" s="154">
        <v>1</v>
      </c>
      <c r="M846" s="154">
        <v>0</v>
      </c>
      <c r="N846" s="154">
        <v>0</v>
      </c>
      <c r="O846" s="154">
        <v>0</v>
      </c>
      <c r="P846" s="154">
        <v>0</v>
      </c>
      <c r="Q846" s="156">
        <v>63.1</v>
      </c>
    </row>
    <row r="847" spans="1:17" x14ac:dyDescent="0.35">
      <c r="A847" s="167"/>
      <c r="B847" s="170"/>
      <c r="C847" s="151" t="s">
        <v>622</v>
      </c>
      <c r="D847" s="170"/>
      <c r="E847" s="155"/>
      <c r="F847" s="155"/>
      <c r="G847" s="155"/>
      <c r="H847" s="155"/>
      <c r="I847" s="155"/>
      <c r="J847" s="155"/>
      <c r="K847" s="155"/>
      <c r="L847" s="155"/>
      <c r="M847" s="155"/>
      <c r="N847" s="155"/>
      <c r="O847" s="155"/>
      <c r="P847" s="155"/>
      <c r="Q847" s="157"/>
    </row>
    <row r="848" spans="1:17" ht="15" thickBot="1" x14ac:dyDescent="0.4">
      <c r="A848" s="168"/>
      <c r="B848" s="171"/>
      <c r="C848" s="148" t="s">
        <v>1382</v>
      </c>
      <c r="D848" s="171"/>
      <c r="E848" s="158"/>
      <c r="F848" s="158"/>
      <c r="G848" s="158"/>
      <c r="H848" s="158"/>
      <c r="I848" s="158"/>
      <c r="J848" s="158"/>
      <c r="K848" s="158"/>
      <c r="L848" s="158"/>
      <c r="M848" s="158"/>
      <c r="N848" s="158"/>
      <c r="O848" s="158"/>
      <c r="P848" s="158"/>
      <c r="Q848" s="159"/>
    </row>
    <row r="849" spans="1:17" x14ac:dyDescent="0.35">
      <c r="A849" s="166"/>
      <c r="B849" s="169">
        <v>283</v>
      </c>
      <c r="C849" s="147"/>
      <c r="D849" s="169"/>
      <c r="E849" s="154">
        <v>0</v>
      </c>
      <c r="F849" s="154">
        <v>0</v>
      </c>
      <c r="G849" s="154">
        <v>0</v>
      </c>
      <c r="H849" s="154">
        <v>134</v>
      </c>
      <c r="I849" s="154">
        <v>1</v>
      </c>
      <c r="J849" s="154">
        <v>4</v>
      </c>
      <c r="K849" s="154">
        <v>29</v>
      </c>
      <c r="L849" s="154">
        <v>0</v>
      </c>
      <c r="M849" s="154">
        <v>0</v>
      </c>
      <c r="N849" s="154">
        <v>0</v>
      </c>
      <c r="O849" s="154">
        <v>0</v>
      </c>
      <c r="P849" s="154">
        <v>0</v>
      </c>
      <c r="Q849" s="156">
        <v>24.2</v>
      </c>
    </row>
    <row r="850" spans="1:17" x14ac:dyDescent="0.35">
      <c r="A850" s="167"/>
      <c r="B850" s="170"/>
      <c r="C850" s="151" t="s">
        <v>253</v>
      </c>
      <c r="D850" s="170"/>
      <c r="E850" s="155"/>
      <c r="F850" s="155"/>
      <c r="G850" s="155"/>
      <c r="H850" s="155"/>
      <c r="I850" s="155"/>
      <c r="J850" s="155"/>
      <c r="K850" s="155"/>
      <c r="L850" s="155"/>
      <c r="M850" s="155"/>
      <c r="N850" s="155"/>
      <c r="O850" s="155"/>
      <c r="P850" s="155"/>
      <c r="Q850" s="157"/>
    </row>
    <row r="851" spans="1:17" ht="15" thickBot="1" x14ac:dyDescent="0.4">
      <c r="A851" s="168"/>
      <c r="B851" s="171"/>
      <c r="C851" s="148" t="s">
        <v>1068</v>
      </c>
      <c r="D851" s="171"/>
      <c r="E851" s="158"/>
      <c r="F851" s="158"/>
      <c r="G851" s="158"/>
      <c r="H851" s="158"/>
      <c r="I851" s="158"/>
      <c r="J851" s="158"/>
      <c r="K851" s="158"/>
      <c r="L851" s="158"/>
      <c r="M851" s="158"/>
      <c r="N851" s="158"/>
      <c r="O851" s="158"/>
      <c r="P851" s="158"/>
      <c r="Q851" s="159"/>
    </row>
    <row r="852" spans="1:17" x14ac:dyDescent="0.35">
      <c r="A852" s="166"/>
      <c r="B852" s="169">
        <v>284</v>
      </c>
      <c r="C852" s="147"/>
      <c r="D852" s="169"/>
      <c r="E852" s="154">
        <v>0</v>
      </c>
      <c r="F852" s="154">
        <v>0</v>
      </c>
      <c r="G852" s="154">
        <v>0</v>
      </c>
      <c r="H852" s="154">
        <v>91</v>
      </c>
      <c r="I852" s="154">
        <v>1</v>
      </c>
      <c r="J852" s="154">
        <v>6</v>
      </c>
      <c r="K852" s="154">
        <v>47</v>
      </c>
      <c r="L852" s="154">
        <v>0</v>
      </c>
      <c r="M852" s="154">
        <v>0</v>
      </c>
      <c r="N852" s="154">
        <v>0</v>
      </c>
      <c r="O852" s="154">
        <v>0</v>
      </c>
      <c r="P852" s="154">
        <v>0</v>
      </c>
      <c r="Q852" s="156">
        <v>21.8</v>
      </c>
    </row>
    <row r="853" spans="1:17" x14ac:dyDescent="0.35">
      <c r="A853" s="167"/>
      <c r="B853" s="170"/>
      <c r="C853" s="151" t="s">
        <v>748</v>
      </c>
      <c r="D853" s="170"/>
      <c r="E853" s="155"/>
      <c r="F853" s="155"/>
      <c r="G853" s="155"/>
      <c r="H853" s="155"/>
      <c r="I853" s="155"/>
      <c r="J853" s="155"/>
      <c r="K853" s="155"/>
      <c r="L853" s="155"/>
      <c r="M853" s="155"/>
      <c r="N853" s="155"/>
      <c r="O853" s="155"/>
      <c r="P853" s="155"/>
      <c r="Q853" s="157"/>
    </row>
    <row r="854" spans="1:17" ht="15" thickBot="1" x14ac:dyDescent="0.4">
      <c r="A854" s="168"/>
      <c r="B854" s="171"/>
      <c r="C854" s="148" t="s">
        <v>1034</v>
      </c>
      <c r="D854" s="171"/>
      <c r="E854" s="158"/>
      <c r="F854" s="158"/>
      <c r="G854" s="158"/>
      <c r="H854" s="158"/>
      <c r="I854" s="158"/>
      <c r="J854" s="158"/>
      <c r="K854" s="158"/>
      <c r="L854" s="158"/>
      <c r="M854" s="158"/>
      <c r="N854" s="158"/>
      <c r="O854" s="158"/>
      <c r="P854" s="158"/>
      <c r="Q854" s="159"/>
    </row>
    <row r="855" spans="1:17" x14ac:dyDescent="0.35">
      <c r="A855" s="166"/>
      <c r="B855" s="169">
        <v>285</v>
      </c>
      <c r="C855" s="147"/>
      <c r="D855" s="169"/>
      <c r="E855" s="154">
        <v>0</v>
      </c>
      <c r="F855" s="154">
        <v>0</v>
      </c>
      <c r="G855" s="154">
        <v>0</v>
      </c>
      <c r="H855" s="154">
        <v>72</v>
      </c>
      <c r="I855" s="154">
        <v>0</v>
      </c>
      <c r="J855" s="154">
        <v>9</v>
      </c>
      <c r="K855" s="154">
        <v>68</v>
      </c>
      <c r="L855" s="154">
        <v>0</v>
      </c>
      <c r="M855" s="154">
        <v>0</v>
      </c>
      <c r="N855" s="154">
        <v>0</v>
      </c>
      <c r="O855" s="154">
        <v>0</v>
      </c>
      <c r="P855" s="154">
        <v>0</v>
      </c>
      <c r="Q855" s="156">
        <v>22.6</v>
      </c>
    </row>
    <row r="856" spans="1:17" x14ac:dyDescent="0.35">
      <c r="A856" s="167"/>
      <c r="B856" s="170"/>
      <c r="C856" s="151" t="s">
        <v>716</v>
      </c>
      <c r="D856" s="170"/>
      <c r="E856" s="155"/>
      <c r="F856" s="155"/>
      <c r="G856" s="155"/>
      <c r="H856" s="155"/>
      <c r="I856" s="155"/>
      <c r="J856" s="155"/>
      <c r="K856" s="155"/>
      <c r="L856" s="155"/>
      <c r="M856" s="155"/>
      <c r="N856" s="155"/>
      <c r="O856" s="155"/>
      <c r="P856" s="155"/>
      <c r="Q856" s="157"/>
    </row>
    <row r="857" spans="1:17" ht="15" thickBot="1" x14ac:dyDescent="0.4">
      <c r="A857" s="168"/>
      <c r="B857" s="171"/>
      <c r="C857" s="148" t="s">
        <v>1066</v>
      </c>
      <c r="D857" s="171"/>
      <c r="E857" s="158"/>
      <c r="F857" s="158"/>
      <c r="G857" s="158"/>
      <c r="H857" s="158"/>
      <c r="I857" s="158"/>
      <c r="J857" s="158"/>
      <c r="K857" s="158"/>
      <c r="L857" s="158"/>
      <c r="M857" s="158"/>
      <c r="N857" s="158"/>
      <c r="O857" s="158"/>
      <c r="P857" s="158"/>
      <c r="Q857" s="159"/>
    </row>
    <row r="858" spans="1:17" x14ac:dyDescent="0.35">
      <c r="A858" s="166"/>
      <c r="B858" s="169">
        <v>286</v>
      </c>
      <c r="C858" s="147"/>
      <c r="D858" s="169"/>
      <c r="E858" s="154">
        <v>0</v>
      </c>
      <c r="F858" s="154">
        <v>0</v>
      </c>
      <c r="G858" s="154">
        <v>0</v>
      </c>
      <c r="H858" s="154">
        <v>39</v>
      </c>
      <c r="I858" s="154">
        <v>0</v>
      </c>
      <c r="J858" s="154">
        <v>3</v>
      </c>
      <c r="K858" s="154">
        <v>21</v>
      </c>
      <c r="L858" s="154">
        <v>0</v>
      </c>
      <c r="M858" s="154">
        <v>0</v>
      </c>
      <c r="N858" s="154">
        <v>0</v>
      </c>
      <c r="O858" s="154">
        <v>0</v>
      </c>
      <c r="P858" s="154">
        <v>0</v>
      </c>
      <c r="Q858" s="156">
        <v>9.6</v>
      </c>
    </row>
    <row r="859" spans="1:17" x14ac:dyDescent="0.35">
      <c r="A859" s="167"/>
      <c r="B859" s="170"/>
      <c r="C859" s="151" t="s">
        <v>1274</v>
      </c>
      <c r="D859" s="170"/>
      <c r="E859" s="155"/>
      <c r="F859" s="155"/>
      <c r="G859" s="155"/>
      <c r="H859" s="155"/>
      <c r="I859" s="155"/>
      <c r="J859" s="155"/>
      <c r="K859" s="155"/>
      <c r="L859" s="155"/>
      <c r="M859" s="155"/>
      <c r="N859" s="155"/>
      <c r="O859" s="155"/>
      <c r="P859" s="155"/>
      <c r="Q859" s="157"/>
    </row>
    <row r="860" spans="1:17" ht="15" thickBot="1" x14ac:dyDescent="0.4">
      <c r="A860" s="168"/>
      <c r="B860" s="171"/>
      <c r="C860" s="148" t="s">
        <v>1049</v>
      </c>
      <c r="D860" s="171"/>
      <c r="E860" s="158"/>
      <c r="F860" s="158"/>
      <c r="G860" s="158"/>
      <c r="H860" s="158"/>
      <c r="I860" s="158"/>
      <c r="J860" s="158"/>
      <c r="K860" s="158"/>
      <c r="L860" s="158"/>
      <c r="M860" s="158"/>
      <c r="N860" s="158"/>
      <c r="O860" s="158"/>
      <c r="P860" s="158"/>
      <c r="Q860" s="159"/>
    </row>
    <row r="861" spans="1:17" x14ac:dyDescent="0.35">
      <c r="A861" s="166"/>
      <c r="B861" s="169">
        <v>287</v>
      </c>
      <c r="C861" s="147"/>
      <c r="D861" s="169"/>
      <c r="E861" s="154">
        <v>0</v>
      </c>
      <c r="F861" s="154">
        <v>0</v>
      </c>
      <c r="G861" s="154">
        <v>0</v>
      </c>
      <c r="H861" s="154">
        <v>140</v>
      </c>
      <c r="I861" s="154">
        <v>1</v>
      </c>
      <c r="J861" s="154">
        <v>4</v>
      </c>
      <c r="K861" s="154">
        <v>35</v>
      </c>
      <c r="L861" s="154">
        <v>0</v>
      </c>
      <c r="M861" s="154">
        <v>0</v>
      </c>
      <c r="N861" s="154">
        <v>0</v>
      </c>
      <c r="O861" s="154">
        <v>0</v>
      </c>
      <c r="P861" s="154">
        <v>0</v>
      </c>
      <c r="Q861" s="156">
        <v>24.8</v>
      </c>
    </row>
    <row r="862" spans="1:17" x14ac:dyDescent="0.35">
      <c r="A862" s="167"/>
      <c r="B862" s="170"/>
      <c r="C862" s="151" t="s">
        <v>1228</v>
      </c>
      <c r="D862" s="170"/>
      <c r="E862" s="155"/>
      <c r="F862" s="155"/>
      <c r="G862" s="155"/>
      <c r="H862" s="155"/>
      <c r="I862" s="155"/>
      <c r="J862" s="155"/>
      <c r="K862" s="155"/>
      <c r="L862" s="155"/>
      <c r="M862" s="155"/>
      <c r="N862" s="155"/>
      <c r="O862" s="155"/>
      <c r="P862" s="155"/>
      <c r="Q862" s="157"/>
    </row>
    <row r="863" spans="1:17" ht="15" thickBot="1" x14ac:dyDescent="0.4">
      <c r="A863" s="168"/>
      <c r="B863" s="171"/>
      <c r="C863" s="148" t="s">
        <v>1040</v>
      </c>
      <c r="D863" s="171"/>
      <c r="E863" s="158"/>
      <c r="F863" s="158"/>
      <c r="G863" s="158"/>
      <c r="H863" s="158"/>
      <c r="I863" s="158"/>
      <c r="J863" s="158"/>
      <c r="K863" s="158"/>
      <c r="L863" s="158"/>
      <c r="M863" s="158"/>
      <c r="N863" s="158"/>
      <c r="O863" s="158"/>
      <c r="P863" s="158"/>
      <c r="Q863" s="159"/>
    </row>
    <row r="864" spans="1:17" x14ac:dyDescent="0.35">
      <c r="A864" s="166"/>
      <c r="B864" s="169">
        <v>288</v>
      </c>
      <c r="C864" s="147"/>
      <c r="D864" s="169"/>
      <c r="E864" s="154">
        <v>0</v>
      </c>
      <c r="F864" s="154">
        <v>0</v>
      </c>
      <c r="G864" s="154">
        <v>0</v>
      </c>
      <c r="H864" s="154">
        <v>0</v>
      </c>
      <c r="I864" s="154">
        <v>0</v>
      </c>
      <c r="J864" s="154">
        <v>17</v>
      </c>
      <c r="K864" s="154">
        <v>225</v>
      </c>
      <c r="L864" s="154">
        <v>2</v>
      </c>
      <c r="M864" s="154">
        <v>0</v>
      </c>
      <c r="N864" s="154">
        <v>0</v>
      </c>
      <c r="O864" s="154">
        <v>0</v>
      </c>
      <c r="P864" s="154">
        <v>0</v>
      </c>
      <c r="Q864" s="156">
        <v>42.5</v>
      </c>
    </row>
    <row r="865" spans="1:17" x14ac:dyDescent="0.35">
      <c r="A865" s="167"/>
      <c r="B865" s="170"/>
      <c r="C865" s="151" t="s">
        <v>648</v>
      </c>
      <c r="D865" s="170"/>
      <c r="E865" s="155"/>
      <c r="F865" s="155"/>
      <c r="G865" s="155"/>
      <c r="H865" s="155"/>
      <c r="I865" s="155"/>
      <c r="J865" s="155"/>
      <c r="K865" s="155"/>
      <c r="L865" s="155"/>
      <c r="M865" s="155"/>
      <c r="N865" s="155"/>
      <c r="O865" s="155"/>
      <c r="P865" s="155"/>
      <c r="Q865" s="157"/>
    </row>
    <row r="866" spans="1:17" ht="15" thickBot="1" x14ac:dyDescent="0.4">
      <c r="A866" s="168"/>
      <c r="B866" s="171"/>
      <c r="C866" s="148" t="s">
        <v>1030</v>
      </c>
      <c r="D866" s="171"/>
      <c r="E866" s="158"/>
      <c r="F866" s="158"/>
      <c r="G866" s="158"/>
      <c r="H866" s="158"/>
      <c r="I866" s="158"/>
      <c r="J866" s="158"/>
      <c r="K866" s="158"/>
      <c r="L866" s="158"/>
      <c r="M866" s="158"/>
      <c r="N866" s="158"/>
      <c r="O866" s="158"/>
      <c r="P866" s="158"/>
      <c r="Q866" s="159"/>
    </row>
    <row r="867" spans="1:17" x14ac:dyDescent="0.35">
      <c r="A867" s="166"/>
      <c r="B867" s="169">
        <v>289</v>
      </c>
      <c r="C867" s="146"/>
      <c r="D867" s="169"/>
      <c r="E867" s="154">
        <v>0</v>
      </c>
      <c r="F867" s="154">
        <v>0</v>
      </c>
      <c r="G867" s="154">
        <v>0</v>
      </c>
      <c r="H867" s="154">
        <v>0</v>
      </c>
      <c r="I867" s="154">
        <v>0</v>
      </c>
      <c r="J867" s="154">
        <v>0</v>
      </c>
      <c r="K867" s="154">
        <v>0</v>
      </c>
      <c r="L867" s="154">
        <v>0</v>
      </c>
      <c r="M867" s="154">
        <v>14</v>
      </c>
      <c r="N867" s="154">
        <v>10</v>
      </c>
      <c r="O867" s="154">
        <v>361</v>
      </c>
      <c r="P867" s="154">
        <v>5719</v>
      </c>
      <c r="Q867" s="156">
        <v>93.9</v>
      </c>
    </row>
    <row r="868" spans="1:17" x14ac:dyDescent="0.35">
      <c r="A868" s="167"/>
      <c r="B868" s="170"/>
      <c r="C868" s="151" t="s">
        <v>1170</v>
      </c>
      <c r="D868" s="170"/>
      <c r="E868" s="155"/>
      <c r="F868" s="155"/>
      <c r="G868" s="155"/>
      <c r="H868" s="155"/>
      <c r="I868" s="155"/>
      <c r="J868" s="155"/>
      <c r="K868" s="155"/>
      <c r="L868" s="155"/>
      <c r="M868" s="155"/>
      <c r="N868" s="155"/>
      <c r="O868" s="155"/>
      <c r="P868" s="155"/>
      <c r="Q868" s="157"/>
    </row>
    <row r="869" spans="1:17" ht="15" thickBot="1" x14ac:dyDescent="0.4">
      <c r="A869" s="168"/>
      <c r="B869" s="171"/>
      <c r="C869" s="148" t="s">
        <v>1171</v>
      </c>
      <c r="D869" s="171"/>
      <c r="E869" s="158"/>
      <c r="F869" s="158"/>
      <c r="G869" s="158"/>
      <c r="H869" s="158"/>
      <c r="I869" s="158"/>
      <c r="J869" s="158"/>
      <c r="K869" s="158"/>
      <c r="L869" s="158"/>
      <c r="M869" s="158"/>
      <c r="N869" s="158"/>
      <c r="O869" s="158"/>
      <c r="P869" s="158"/>
      <c r="Q869" s="159"/>
    </row>
    <row r="870" spans="1:17" x14ac:dyDescent="0.35">
      <c r="A870" s="166"/>
      <c r="B870" s="169">
        <v>290</v>
      </c>
      <c r="C870" s="146"/>
      <c r="D870" s="169"/>
      <c r="E870" s="154">
        <v>0</v>
      </c>
      <c r="F870" s="154">
        <v>0</v>
      </c>
      <c r="G870" s="154">
        <v>0</v>
      </c>
      <c r="H870" s="154">
        <v>0</v>
      </c>
      <c r="I870" s="154">
        <v>0</v>
      </c>
      <c r="J870" s="154">
        <v>0</v>
      </c>
      <c r="K870" s="154">
        <v>0</v>
      </c>
      <c r="L870" s="154">
        <v>0</v>
      </c>
      <c r="M870" s="154">
        <v>12</v>
      </c>
      <c r="N870" s="154">
        <v>10</v>
      </c>
      <c r="O870" s="154">
        <v>353</v>
      </c>
      <c r="P870" s="154">
        <v>5736</v>
      </c>
      <c r="Q870" s="156">
        <v>90.3</v>
      </c>
    </row>
    <row r="871" spans="1:17" x14ac:dyDescent="0.35">
      <c r="A871" s="167"/>
      <c r="B871" s="170"/>
      <c r="C871" s="151" t="s">
        <v>1194</v>
      </c>
      <c r="D871" s="170"/>
      <c r="E871" s="155"/>
      <c r="F871" s="155"/>
      <c r="G871" s="155"/>
      <c r="H871" s="155"/>
      <c r="I871" s="155"/>
      <c r="J871" s="155"/>
      <c r="K871" s="155"/>
      <c r="L871" s="155"/>
      <c r="M871" s="155"/>
      <c r="N871" s="155"/>
      <c r="O871" s="155"/>
      <c r="P871" s="155"/>
      <c r="Q871" s="157"/>
    </row>
    <row r="872" spans="1:17" ht="15" thickBot="1" x14ac:dyDescent="0.4">
      <c r="A872" s="168"/>
      <c r="B872" s="171"/>
      <c r="C872" s="148" t="s">
        <v>1441</v>
      </c>
      <c r="D872" s="171"/>
      <c r="E872" s="158"/>
      <c r="F872" s="158"/>
      <c r="G872" s="158"/>
      <c r="H872" s="158"/>
      <c r="I872" s="158"/>
      <c r="J872" s="158"/>
      <c r="K872" s="158"/>
      <c r="L872" s="158"/>
      <c r="M872" s="158"/>
      <c r="N872" s="158"/>
      <c r="O872" s="158"/>
      <c r="P872" s="158"/>
      <c r="Q872" s="159"/>
    </row>
    <row r="873" spans="1:17" x14ac:dyDescent="0.35">
      <c r="A873" s="166"/>
      <c r="B873" s="169">
        <v>291</v>
      </c>
      <c r="C873" s="147"/>
      <c r="D873" s="169"/>
      <c r="E873" s="154">
        <v>0</v>
      </c>
      <c r="F873" s="154">
        <v>0</v>
      </c>
      <c r="G873" s="154">
        <v>0</v>
      </c>
      <c r="H873" s="154">
        <v>0</v>
      </c>
      <c r="I873" s="154">
        <v>0</v>
      </c>
      <c r="J873" s="154">
        <v>0</v>
      </c>
      <c r="K873" s="154">
        <v>0</v>
      </c>
      <c r="L873" s="154">
        <v>0</v>
      </c>
      <c r="M873" s="154">
        <v>0</v>
      </c>
      <c r="N873" s="154">
        <v>0</v>
      </c>
      <c r="O873" s="154">
        <v>0</v>
      </c>
      <c r="P873" s="154">
        <v>0</v>
      </c>
      <c r="Q873" s="156">
        <v>118.8</v>
      </c>
    </row>
    <row r="874" spans="1:17" x14ac:dyDescent="0.35">
      <c r="A874" s="167"/>
      <c r="B874" s="170"/>
      <c r="C874" s="151" t="s">
        <v>496</v>
      </c>
      <c r="D874" s="170"/>
      <c r="E874" s="155"/>
      <c r="F874" s="155"/>
      <c r="G874" s="155"/>
      <c r="H874" s="155"/>
      <c r="I874" s="155"/>
      <c r="J874" s="155"/>
      <c r="K874" s="155"/>
      <c r="L874" s="155"/>
      <c r="M874" s="155"/>
      <c r="N874" s="155"/>
      <c r="O874" s="155"/>
      <c r="P874" s="155"/>
      <c r="Q874" s="157"/>
    </row>
    <row r="875" spans="1:17" ht="15" thickBot="1" x14ac:dyDescent="0.4">
      <c r="A875" s="168"/>
      <c r="B875" s="171"/>
      <c r="C875" s="148" t="s">
        <v>1174</v>
      </c>
      <c r="D875" s="171"/>
      <c r="E875" s="158"/>
      <c r="F875" s="158"/>
      <c r="G875" s="158"/>
      <c r="H875" s="158"/>
      <c r="I875" s="158"/>
      <c r="J875" s="158"/>
      <c r="K875" s="158"/>
      <c r="L875" s="158"/>
      <c r="M875" s="158"/>
      <c r="N875" s="158"/>
      <c r="O875" s="158"/>
      <c r="P875" s="158"/>
      <c r="Q875" s="159"/>
    </row>
    <row r="876" spans="1:17" x14ac:dyDescent="0.35">
      <c r="A876" s="166"/>
      <c r="B876" s="169">
        <v>292</v>
      </c>
      <c r="C876" s="147"/>
      <c r="D876" s="169"/>
      <c r="E876" s="154">
        <v>0</v>
      </c>
      <c r="F876" s="154">
        <v>0</v>
      </c>
      <c r="G876" s="154">
        <v>0</v>
      </c>
      <c r="H876" s="154">
        <v>0</v>
      </c>
      <c r="I876" s="154">
        <v>0</v>
      </c>
      <c r="J876" s="154">
        <v>0</v>
      </c>
      <c r="K876" s="154">
        <v>0</v>
      </c>
      <c r="L876" s="154">
        <v>0</v>
      </c>
      <c r="M876" s="154">
        <v>0</v>
      </c>
      <c r="N876" s="154">
        <v>0</v>
      </c>
      <c r="O876" s="154">
        <v>0</v>
      </c>
      <c r="P876" s="154">
        <v>0</v>
      </c>
      <c r="Q876" s="156">
        <v>118.9</v>
      </c>
    </row>
    <row r="877" spans="1:17" x14ac:dyDescent="0.35">
      <c r="A877" s="167"/>
      <c r="B877" s="170"/>
      <c r="C877" s="151" t="s">
        <v>535</v>
      </c>
      <c r="D877" s="170"/>
      <c r="E877" s="155"/>
      <c r="F877" s="155"/>
      <c r="G877" s="155"/>
      <c r="H877" s="155"/>
      <c r="I877" s="155"/>
      <c r="J877" s="155"/>
      <c r="K877" s="155"/>
      <c r="L877" s="155"/>
      <c r="M877" s="155"/>
      <c r="N877" s="155"/>
      <c r="O877" s="155"/>
      <c r="P877" s="155"/>
      <c r="Q877" s="157"/>
    </row>
    <row r="878" spans="1:17" ht="15" thickBot="1" x14ac:dyDescent="0.4">
      <c r="A878" s="168"/>
      <c r="B878" s="171"/>
      <c r="C878" s="148" t="s">
        <v>1407</v>
      </c>
      <c r="D878" s="171"/>
      <c r="E878" s="158"/>
      <c r="F878" s="158"/>
      <c r="G878" s="158"/>
      <c r="H878" s="158"/>
      <c r="I878" s="158"/>
      <c r="J878" s="158"/>
      <c r="K878" s="158"/>
      <c r="L878" s="158"/>
      <c r="M878" s="158"/>
      <c r="N878" s="158"/>
      <c r="O878" s="158"/>
      <c r="P878" s="158"/>
      <c r="Q878" s="159"/>
    </row>
    <row r="879" spans="1:17" x14ac:dyDescent="0.35">
      <c r="A879" s="166"/>
      <c r="B879" s="169">
        <v>293</v>
      </c>
      <c r="C879" s="147"/>
      <c r="D879" s="169"/>
      <c r="E879" s="154">
        <v>0</v>
      </c>
      <c r="F879" s="154">
        <v>0</v>
      </c>
      <c r="G879" s="154">
        <v>0</v>
      </c>
      <c r="H879" s="154">
        <v>215</v>
      </c>
      <c r="I879" s="154">
        <v>2</v>
      </c>
      <c r="J879" s="154">
        <v>15</v>
      </c>
      <c r="K879" s="154">
        <v>165</v>
      </c>
      <c r="L879" s="154">
        <v>1</v>
      </c>
      <c r="M879" s="154">
        <v>0</v>
      </c>
      <c r="N879" s="154">
        <v>0</v>
      </c>
      <c r="O879" s="154">
        <v>0</v>
      </c>
      <c r="P879" s="154">
        <v>0</v>
      </c>
      <c r="Q879" s="156">
        <v>65.2</v>
      </c>
    </row>
    <row r="880" spans="1:17" x14ac:dyDescent="0.35">
      <c r="A880" s="167"/>
      <c r="B880" s="170"/>
      <c r="C880" s="151" t="s">
        <v>723</v>
      </c>
      <c r="D880" s="170"/>
      <c r="E880" s="155"/>
      <c r="F880" s="155"/>
      <c r="G880" s="155"/>
      <c r="H880" s="155"/>
      <c r="I880" s="155"/>
      <c r="J880" s="155"/>
      <c r="K880" s="155"/>
      <c r="L880" s="155"/>
      <c r="M880" s="155"/>
      <c r="N880" s="155"/>
      <c r="O880" s="155"/>
      <c r="P880" s="155"/>
      <c r="Q880" s="157"/>
    </row>
    <row r="881" spans="1:17" ht="15" thickBot="1" x14ac:dyDescent="0.4">
      <c r="A881" s="168"/>
      <c r="B881" s="171"/>
      <c r="C881" s="148" t="s">
        <v>1074</v>
      </c>
      <c r="D881" s="171"/>
      <c r="E881" s="158"/>
      <c r="F881" s="158"/>
      <c r="G881" s="158"/>
      <c r="H881" s="158"/>
      <c r="I881" s="158"/>
      <c r="J881" s="158"/>
      <c r="K881" s="158"/>
      <c r="L881" s="158"/>
      <c r="M881" s="158"/>
      <c r="N881" s="158"/>
      <c r="O881" s="158"/>
      <c r="P881" s="158"/>
      <c r="Q881" s="159"/>
    </row>
    <row r="882" spans="1:17" x14ac:dyDescent="0.35">
      <c r="A882" s="166"/>
      <c r="B882" s="169">
        <v>294</v>
      </c>
      <c r="C882" s="147"/>
      <c r="D882" s="169"/>
      <c r="E882" s="154">
        <v>0</v>
      </c>
      <c r="F882" s="154">
        <v>0</v>
      </c>
      <c r="G882" s="154">
        <v>0</v>
      </c>
      <c r="H882" s="154">
        <v>0</v>
      </c>
      <c r="I882" s="154">
        <v>0</v>
      </c>
      <c r="J882" s="154">
        <v>28</v>
      </c>
      <c r="K882" s="154">
        <v>349</v>
      </c>
      <c r="L882" s="154">
        <v>3</v>
      </c>
      <c r="M882" s="154">
        <v>0</v>
      </c>
      <c r="N882" s="154">
        <v>0</v>
      </c>
      <c r="O882" s="154">
        <v>0</v>
      </c>
      <c r="P882" s="154">
        <v>0</v>
      </c>
      <c r="Q882" s="156">
        <v>67.900000000000006</v>
      </c>
    </row>
    <row r="883" spans="1:17" x14ac:dyDescent="0.35">
      <c r="A883" s="167"/>
      <c r="B883" s="170"/>
      <c r="C883" s="151" t="s">
        <v>804</v>
      </c>
      <c r="D883" s="170"/>
      <c r="E883" s="155"/>
      <c r="F883" s="155"/>
      <c r="G883" s="155"/>
      <c r="H883" s="155"/>
      <c r="I883" s="155"/>
      <c r="J883" s="155"/>
      <c r="K883" s="155"/>
      <c r="L883" s="155"/>
      <c r="M883" s="155"/>
      <c r="N883" s="155"/>
      <c r="O883" s="155"/>
      <c r="P883" s="155"/>
      <c r="Q883" s="157"/>
    </row>
    <row r="884" spans="1:17" ht="15" thickBot="1" x14ac:dyDescent="0.4">
      <c r="A884" s="168"/>
      <c r="B884" s="171"/>
      <c r="C884" s="148" t="s">
        <v>1424</v>
      </c>
      <c r="D884" s="171"/>
      <c r="E884" s="158"/>
      <c r="F884" s="158"/>
      <c r="G884" s="158"/>
      <c r="H884" s="158"/>
      <c r="I884" s="158"/>
      <c r="J884" s="158"/>
      <c r="K884" s="158"/>
      <c r="L884" s="158"/>
      <c r="M884" s="158"/>
      <c r="N884" s="158"/>
      <c r="O884" s="158"/>
      <c r="P884" s="158"/>
      <c r="Q884" s="159"/>
    </row>
    <row r="885" spans="1:17" x14ac:dyDescent="0.35">
      <c r="A885" s="166"/>
      <c r="B885" s="169">
        <v>295</v>
      </c>
      <c r="C885" s="147"/>
      <c r="D885" s="169"/>
      <c r="E885" s="154">
        <v>0</v>
      </c>
      <c r="F885" s="154">
        <v>0</v>
      </c>
      <c r="G885" s="154">
        <v>0</v>
      </c>
      <c r="H885" s="154">
        <v>0</v>
      </c>
      <c r="I885" s="154">
        <v>0</v>
      </c>
      <c r="J885" s="154">
        <v>25</v>
      </c>
      <c r="K885" s="154">
        <v>272</v>
      </c>
      <c r="L885" s="154">
        <v>2</v>
      </c>
      <c r="M885" s="154">
        <v>0</v>
      </c>
      <c r="N885" s="154">
        <v>0</v>
      </c>
      <c r="O885" s="154">
        <v>0</v>
      </c>
      <c r="P885" s="154">
        <v>0</v>
      </c>
      <c r="Q885" s="156">
        <v>51.2</v>
      </c>
    </row>
    <row r="886" spans="1:17" x14ac:dyDescent="0.35">
      <c r="A886" s="167"/>
      <c r="B886" s="170"/>
      <c r="C886" s="151" t="s">
        <v>929</v>
      </c>
      <c r="D886" s="170"/>
      <c r="E886" s="155"/>
      <c r="F886" s="155"/>
      <c r="G886" s="155"/>
      <c r="H886" s="155"/>
      <c r="I886" s="155"/>
      <c r="J886" s="155"/>
      <c r="K886" s="155"/>
      <c r="L886" s="155"/>
      <c r="M886" s="155"/>
      <c r="N886" s="155"/>
      <c r="O886" s="155"/>
      <c r="P886" s="155"/>
      <c r="Q886" s="157"/>
    </row>
    <row r="887" spans="1:17" ht="15" thickBot="1" x14ac:dyDescent="0.4">
      <c r="A887" s="168"/>
      <c r="B887" s="171"/>
      <c r="C887" s="148" t="s">
        <v>1425</v>
      </c>
      <c r="D887" s="171"/>
      <c r="E887" s="158"/>
      <c r="F887" s="158"/>
      <c r="G887" s="158"/>
      <c r="H887" s="158"/>
      <c r="I887" s="158"/>
      <c r="J887" s="158"/>
      <c r="K887" s="158"/>
      <c r="L887" s="158"/>
      <c r="M887" s="158"/>
      <c r="N887" s="158"/>
      <c r="O887" s="158"/>
      <c r="P887" s="158"/>
      <c r="Q887" s="159"/>
    </row>
    <row r="888" spans="1:17" x14ac:dyDescent="0.35">
      <c r="A888" s="166"/>
      <c r="B888" s="169">
        <v>296</v>
      </c>
      <c r="C888" s="147"/>
      <c r="D888" s="169"/>
      <c r="E888" s="154">
        <v>0</v>
      </c>
      <c r="F888" s="154">
        <v>0</v>
      </c>
      <c r="G888" s="154">
        <v>0</v>
      </c>
      <c r="H888" s="154">
        <v>0</v>
      </c>
      <c r="I888" s="154">
        <v>0</v>
      </c>
      <c r="J888" s="154">
        <v>29</v>
      </c>
      <c r="K888" s="154">
        <v>337</v>
      </c>
      <c r="L888" s="154">
        <v>2</v>
      </c>
      <c r="M888" s="154">
        <v>0</v>
      </c>
      <c r="N888" s="154">
        <v>0</v>
      </c>
      <c r="O888" s="154">
        <v>0</v>
      </c>
      <c r="P888" s="154">
        <v>0</v>
      </c>
      <c r="Q888" s="156">
        <v>60.2</v>
      </c>
    </row>
    <row r="889" spans="1:17" x14ac:dyDescent="0.35">
      <c r="A889" s="167"/>
      <c r="B889" s="170"/>
      <c r="C889" s="151" t="s">
        <v>465</v>
      </c>
      <c r="D889" s="170"/>
      <c r="E889" s="155"/>
      <c r="F889" s="155"/>
      <c r="G889" s="155"/>
      <c r="H889" s="155"/>
      <c r="I889" s="155"/>
      <c r="J889" s="155"/>
      <c r="K889" s="155"/>
      <c r="L889" s="155"/>
      <c r="M889" s="155"/>
      <c r="N889" s="155"/>
      <c r="O889" s="155"/>
      <c r="P889" s="155"/>
      <c r="Q889" s="157"/>
    </row>
    <row r="890" spans="1:17" ht="15" thickBot="1" x14ac:dyDescent="0.4">
      <c r="A890" s="168"/>
      <c r="B890" s="171"/>
      <c r="C890" s="148" t="s">
        <v>1387</v>
      </c>
      <c r="D890" s="171"/>
      <c r="E890" s="158"/>
      <c r="F890" s="158"/>
      <c r="G890" s="158"/>
      <c r="H890" s="158"/>
      <c r="I890" s="158"/>
      <c r="J890" s="158"/>
      <c r="K890" s="158"/>
      <c r="L890" s="158"/>
      <c r="M890" s="158"/>
      <c r="N890" s="158"/>
      <c r="O890" s="158"/>
      <c r="P890" s="158"/>
      <c r="Q890" s="159"/>
    </row>
    <row r="891" spans="1:17" x14ac:dyDescent="0.35">
      <c r="A891" s="166"/>
      <c r="B891" s="169">
        <v>297</v>
      </c>
      <c r="C891" s="147"/>
      <c r="D891" s="169"/>
      <c r="E891" s="154">
        <v>0</v>
      </c>
      <c r="F891" s="154">
        <v>0</v>
      </c>
      <c r="G891" s="154">
        <v>0</v>
      </c>
      <c r="H891" s="154">
        <v>0</v>
      </c>
      <c r="I891" s="154">
        <v>0</v>
      </c>
      <c r="J891" s="154">
        <v>23</v>
      </c>
      <c r="K891" s="154">
        <v>306</v>
      </c>
      <c r="L891" s="154">
        <v>2</v>
      </c>
      <c r="M891" s="154">
        <v>0</v>
      </c>
      <c r="N891" s="154">
        <v>0</v>
      </c>
      <c r="O891" s="154">
        <v>0</v>
      </c>
      <c r="P891" s="154">
        <v>0</v>
      </c>
      <c r="Q891" s="156">
        <v>54.7</v>
      </c>
    </row>
    <row r="892" spans="1:17" x14ac:dyDescent="0.35">
      <c r="A892" s="167"/>
      <c r="B892" s="170"/>
      <c r="C892" s="151" t="s">
        <v>172</v>
      </c>
      <c r="D892" s="170"/>
      <c r="E892" s="155"/>
      <c r="F892" s="155"/>
      <c r="G892" s="155"/>
      <c r="H892" s="155"/>
      <c r="I892" s="155"/>
      <c r="J892" s="155"/>
      <c r="K892" s="155"/>
      <c r="L892" s="155"/>
      <c r="M892" s="155"/>
      <c r="N892" s="155"/>
      <c r="O892" s="155"/>
      <c r="P892" s="155"/>
      <c r="Q892" s="157"/>
    </row>
    <row r="893" spans="1:17" ht="15" thickBot="1" x14ac:dyDescent="0.4">
      <c r="A893" s="168"/>
      <c r="B893" s="171"/>
      <c r="C893" s="148" t="s">
        <v>1072</v>
      </c>
      <c r="D893" s="171"/>
      <c r="E893" s="158"/>
      <c r="F893" s="158"/>
      <c r="G893" s="158"/>
      <c r="H893" s="158"/>
      <c r="I893" s="158"/>
      <c r="J893" s="158"/>
      <c r="K893" s="158"/>
      <c r="L893" s="158"/>
      <c r="M893" s="158"/>
      <c r="N893" s="158"/>
      <c r="O893" s="158"/>
      <c r="P893" s="158"/>
      <c r="Q893" s="159"/>
    </row>
    <row r="894" spans="1:17" x14ac:dyDescent="0.35">
      <c r="A894" s="166"/>
      <c r="B894" s="169">
        <v>298</v>
      </c>
      <c r="C894" s="147"/>
      <c r="D894" s="169"/>
      <c r="E894" s="154">
        <v>0</v>
      </c>
      <c r="F894" s="154">
        <v>0</v>
      </c>
      <c r="G894" s="154">
        <v>0</v>
      </c>
      <c r="H894" s="154">
        <v>15</v>
      </c>
      <c r="I894" s="154">
        <v>0</v>
      </c>
      <c r="J894" s="154">
        <v>28</v>
      </c>
      <c r="K894" s="154">
        <v>325</v>
      </c>
      <c r="L894" s="154">
        <v>2</v>
      </c>
      <c r="M894" s="154">
        <v>0</v>
      </c>
      <c r="N894" s="154">
        <v>0</v>
      </c>
      <c r="O894" s="154">
        <v>0</v>
      </c>
      <c r="P894" s="154">
        <v>0</v>
      </c>
      <c r="Q894" s="156">
        <v>59.9</v>
      </c>
    </row>
    <row r="895" spans="1:17" x14ac:dyDescent="0.35">
      <c r="A895" s="167"/>
      <c r="B895" s="170"/>
      <c r="C895" s="151" t="s">
        <v>1176</v>
      </c>
      <c r="D895" s="170"/>
      <c r="E895" s="155"/>
      <c r="F895" s="155"/>
      <c r="G895" s="155"/>
      <c r="H895" s="155"/>
      <c r="I895" s="155"/>
      <c r="J895" s="155"/>
      <c r="K895" s="155"/>
      <c r="L895" s="155"/>
      <c r="M895" s="155"/>
      <c r="N895" s="155"/>
      <c r="O895" s="155"/>
      <c r="P895" s="155"/>
      <c r="Q895" s="157"/>
    </row>
    <row r="896" spans="1:17" ht="15" thickBot="1" x14ac:dyDescent="0.4">
      <c r="A896" s="168"/>
      <c r="B896" s="171"/>
      <c r="C896" s="148" t="s">
        <v>1152</v>
      </c>
      <c r="D896" s="171"/>
      <c r="E896" s="158"/>
      <c r="F896" s="158"/>
      <c r="G896" s="158"/>
      <c r="H896" s="158"/>
      <c r="I896" s="158"/>
      <c r="J896" s="158"/>
      <c r="K896" s="158"/>
      <c r="L896" s="158"/>
      <c r="M896" s="158"/>
      <c r="N896" s="158"/>
      <c r="O896" s="158"/>
      <c r="P896" s="158"/>
      <c r="Q896" s="159"/>
    </row>
    <row r="897" spans="1:17" x14ac:dyDescent="0.35">
      <c r="A897" s="166"/>
      <c r="B897" s="169">
        <v>299</v>
      </c>
      <c r="C897" s="147"/>
      <c r="D897" s="169"/>
      <c r="E897" s="154">
        <v>0</v>
      </c>
      <c r="F897" s="154">
        <v>0</v>
      </c>
      <c r="G897" s="154">
        <v>0</v>
      </c>
      <c r="H897" s="154">
        <v>0</v>
      </c>
      <c r="I897" s="154">
        <v>0</v>
      </c>
      <c r="J897" s="154">
        <v>9</v>
      </c>
      <c r="K897" s="154">
        <v>130</v>
      </c>
      <c r="L897" s="154">
        <v>1</v>
      </c>
      <c r="M897" s="154">
        <v>0</v>
      </c>
      <c r="N897" s="154">
        <v>0</v>
      </c>
      <c r="O897" s="154">
        <v>0</v>
      </c>
      <c r="P897" s="154">
        <v>0</v>
      </c>
      <c r="Q897" s="156">
        <v>23.7</v>
      </c>
    </row>
    <row r="898" spans="1:17" x14ac:dyDescent="0.35">
      <c r="A898" s="167"/>
      <c r="B898" s="170"/>
      <c r="C898" s="151" t="s">
        <v>545</v>
      </c>
      <c r="D898" s="170"/>
      <c r="E898" s="155"/>
      <c r="F898" s="155"/>
      <c r="G898" s="155"/>
      <c r="H898" s="155"/>
      <c r="I898" s="155"/>
      <c r="J898" s="155"/>
      <c r="K898" s="155"/>
      <c r="L898" s="155"/>
      <c r="M898" s="155"/>
      <c r="N898" s="155"/>
      <c r="O898" s="155"/>
      <c r="P898" s="155"/>
      <c r="Q898" s="157"/>
    </row>
    <row r="899" spans="1:17" ht="15" thickBot="1" x14ac:dyDescent="0.4">
      <c r="A899" s="168"/>
      <c r="B899" s="171"/>
      <c r="C899" s="148" t="s">
        <v>1059</v>
      </c>
      <c r="D899" s="171"/>
      <c r="E899" s="158"/>
      <c r="F899" s="158"/>
      <c r="G899" s="158"/>
      <c r="H899" s="158"/>
      <c r="I899" s="158"/>
      <c r="J899" s="158"/>
      <c r="K899" s="158"/>
      <c r="L899" s="158"/>
      <c r="M899" s="158"/>
      <c r="N899" s="158"/>
      <c r="O899" s="158"/>
      <c r="P899" s="158"/>
      <c r="Q899" s="159"/>
    </row>
    <row r="900" spans="1:17" x14ac:dyDescent="0.35">
      <c r="A900" s="166"/>
      <c r="B900" s="169">
        <v>300</v>
      </c>
      <c r="C900" s="147"/>
      <c r="D900" s="169"/>
      <c r="E900" s="154">
        <v>2255</v>
      </c>
      <c r="F900" s="154">
        <v>11</v>
      </c>
      <c r="G900" s="154">
        <v>7</v>
      </c>
      <c r="H900" s="154">
        <v>158</v>
      </c>
      <c r="I900" s="154">
        <v>1</v>
      </c>
      <c r="J900" s="154">
        <v>0</v>
      </c>
      <c r="K900" s="154">
        <v>0</v>
      </c>
      <c r="L900" s="154">
        <v>0</v>
      </c>
      <c r="M900" s="154">
        <v>0</v>
      </c>
      <c r="N900" s="154">
        <v>0</v>
      </c>
      <c r="O900" s="154">
        <v>0</v>
      </c>
      <c r="P900" s="154">
        <v>0</v>
      </c>
      <c r="Q900" s="156">
        <v>140.4</v>
      </c>
    </row>
    <row r="901" spans="1:17" x14ac:dyDescent="0.35">
      <c r="A901" s="167"/>
      <c r="B901" s="170"/>
      <c r="C901" s="151" t="s">
        <v>1148</v>
      </c>
      <c r="D901" s="170"/>
      <c r="E901" s="155"/>
      <c r="F901" s="155"/>
      <c r="G901" s="155"/>
      <c r="H901" s="155"/>
      <c r="I901" s="155"/>
      <c r="J901" s="155"/>
      <c r="K901" s="155"/>
      <c r="L901" s="155"/>
      <c r="M901" s="155"/>
      <c r="N901" s="155"/>
      <c r="O901" s="155"/>
      <c r="P901" s="155"/>
      <c r="Q901" s="157"/>
    </row>
    <row r="902" spans="1:17" ht="15" thickBot="1" x14ac:dyDescent="0.4">
      <c r="A902" s="168"/>
      <c r="B902" s="171"/>
      <c r="C902" s="148" t="s">
        <v>1149</v>
      </c>
      <c r="D902" s="171"/>
      <c r="E902" s="158"/>
      <c r="F902" s="158"/>
      <c r="G902" s="158"/>
      <c r="H902" s="158"/>
      <c r="I902" s="158"/>
      <c r="J902" s="158"/>
      <c r="K902" s="158"/>
      <c r="L902" s="158"/>
      <c r="M902" s="158"/>
      <c r="N902" s="158"/>
      <c r="O902" s="158"/>
      <c r="P902" s="158"/>
      <c r="Q902" s="159"/>
    </row>
    <row r="903" spans="1:17" x14ac:dyDescent="0.35">
      <c r="A903" s="166"/>
      <c r="B903" s="169">
        <v>301</v>
      </c>
      <c r="C903" s="146"/>
      <c r="D903" s="169"/>
      <c r="E903" s="154">
        <v>0</v>
      </c>
      <c r="F903" s="154">
        <v>0</v>
      </c>
      <c r="G903" s="154">
        <v>0</v>
      </c>
      <c r="H903" s="154">
        <v>0</v>
      </c>
      <c r="I903" s="154">
        <v>0</v>
      </c>
      <c r="J903" s="154">
        <v>0</v>
      </c>
      <c r="K903" s="154">
        <v>0</v>
      </c>
      <c r="L903" s="154">
        <v>0</v>
      </c>
      <c r="M903" s="154">
        <v>13</v>
      </c>
      <c r="N903" s="154">
        <v>9</v>
      </c>
      <c r="O903" s="154">
        <v>348</v>
      </c>
      <c r="P903" s="154">
        <v>5729</v>
      </c>
      <c r="Q903" s="156">
        <v>90.2</v>
      </c>
    </row>
    <row r="904" spans="1:17" x14ac:dyDescent="0.35">
      <c r="A904" s="167"/>
      <c r="B904" s="170"/>
      <c r="C904" s="151" t="s">
        <v>1172</v>
      </c>
      <c r="D904" s="170"/>
      <c r="E904" s="155"/>
      <c r="F904" s="155"/>
      <c r="G904" s="155"/>
      <c r="H904" s="155"/>
      <c r="I904" s="155"/>
      <c r="J904" s="155"/>
      <c r="K904" s="155"/>
      <c r="L904" s="155"/>
      <c r="M904" s="155"/>
      <c r="N904" s="155"/>
      <c r="O904" s="155"/>
      <c r="P904" s="155"/>
      <c r="Q904" s="157"/>
    </row>
    <row r="905" spans="1:17" ht="15" thickBot="1" x14ac:dyDescent="0.4">
      <c r="A905" s="168"/>
      <c r="B905" s="171"/>
      <c r="C905" s="148" t="s">
        <v>1173</v>
      </c>
      <c r="D905" s="171"/>
      <c r="E905" s="158"/>
      <c r="F905" s="158"/>
      <c r="G905" s="158"/>
      <c r="H905" s="158"/>
      <c r="I905" s="158"/>
      <c r="J905" s="158"/>
      <c r="K905" s="158"/>
      <c r="L905" s="158"/>
      <c r="M905" s="158"/>
      <c r="N905" s="158"/>
      <c r="O905" s="158"/>
      <c r="P905" s="158"/>
      <c r="Q905" s="159"/>
    </row>
    <row r="906" spans="1:17" x14ac:dyDescent="0.35">
      <c r="A906" s="166"/>
      <c r="B906" s="169">
        <v>302</v>
      </c>
      <c r="C906" s="146"/>
      <c r="D906" s="169"/>
      <c r="E906" s="154">
        <v>0</v>
      </c>
      <c r="F906" s="154">
        <v>0</v>
      </c>
      <c r="G906" s="154">
        <v>0</v>
      </c>
      <c r="H906" s="154">
        <v>0</v>
      </c>
      <c r="I906" s="154">
        <v>0</v>
      </c>
      <c r="J906" s="154">
        <v>0</v>
      </c>
      <c r="K906" s="154">
        <v>0</v>
      </c>
      <c r="L906" s="154">
        <v>0</v>
      </c>
      <c r="M906" s="154">
        <v>12</v>
      </c>
      <c r="N906" s="154">
        <v>9</v>
      </c>
      <c r="O906" s="154">
        <v>362</v>
      </c>
      <c r="P906" s="154">
        <v>5747</v>
      </c>
      <c r="Q906" s="156">
        <v>82.7</v>
      </c>
    </row>
    <row r="907" spans="1:17" x14ac:dyDescent="0.35">
      <c r="A907" s="167"/>
      <c r="B907" s="170"/>
      <c r="C907" s="151" t="s">
        <v>1189</v>
      </c>
      <c r="D907" s="170"/>
      <c r="E907" s="155"/>
      <c r="F907" s="155"/>
      <c r="G907" s="155"/>
      <c r="H907" s="155"/>
      <c r="I907" s="155"/>
      <c r="J907" s="155"/>
      <c r="K907" s="155"/>
      <c r="L907" s="155"/>
      <c r="M907" s="155"/>
      <c r="N907" s="155"/>
      <c r="O907" s="155"/>
      <c r="P907" s="155"/>
      <c r="Q907" s="157"/>
    </row>
    <row r="908" spans="1:17" ht="15" thickBot="1" x14ac:dyDescent="0.4">
      <c r="A908" s="168"/>
      <c r="B908" s="171"/>
      <c r="C908" s="148" t="s">
        <v>1414</v>
      </c>
      <c r="D908" s="171"/>
      <c r="E908" s="158"/>
      <c r="F908" s="158"/>
      <c r="G908" s="158"/>
      <c r="H908" s="158"/>
      <c r="I908" s="158"/>
      <c r="J908" s="158"/>
      <c r="K908" s="158"/>
      <c r="L908" s="158"/>
      <c r="M908" s="158"/>
      <c r="N908" s="158"/>
      <c r="O908" s="158"/>
      <c r="P908" s="158"/>
      <c r="Q908" s="159"/>
    </row>
    <row r="909" spans="1:17" x14ac:dyDescent="0.35">
      <c r="A909" s="166"/>
      <c r="B909" s="169">
        <v>303</v>
      </c>
      <c r="C909" s="146"/>
      <c r="D909" s="169"/>
      <c r="E909" s="154">
        <v>0</v>
      </c>
      <c r="F909" s="154">
        <v>0</v>
      </c>
      <c r="G909" s="154">
        <v>0</v>
      </c>
      <c r="H909" s="154">
        <v>0</v>
      </c>
      <c r="I909" s="154">
        <v>0</v>
      </c>
      <c r="J909" s="154">
        <v>0</v>
      </c>
      <c r="K909" s="154">
        <v>0</v>
      </c>
      <c r="L909" s="154">
        <v>0</v>
      </c>
      <c r="M909" s="154">
        <v>12</v>
      </c>
      <c r="N909" s="154">
        <v>8</v>
      </c>
      <c r="O909" s="154">
        <v>365</v>
      </c>
      <c r="P909" s="154">
        <v>5670</v>
      </c>
      <c r="Q909" s="156">
        <v>86.9</v>
      </c>
    </row>
    <row r="910" spans="1:17" x14ac:dyDescent="0.35">
      <c r="A910" s="167"/>
      <c r="B910" s="170"/>
      <c r="C910" s="151" t="s">
        <v>1200</v>
      </c>
      <c r="D910" s="170"/>
      <c r="E910" s="155"/>
      <c r="F910" s="155"/>
      <c r="G910" s="155"/>
      <c r="H910" s="155"/>
      <c r="I910" s="155"/>
      <c r="J910" s="155"/>
      <c r="K910" s="155"/>
      <c r="L910" s="155"/>
      <c r="M910" s="155"/>
      <c r="N910" s="155"/>
      <c r="O910" s="155"/>
      <c r="P910" s="155"/>
      <c r="Q910" s="157"/>
    </row>
    <row r="911" spans="1:17" ht="15" thickBot="1" x14ac:dyDescent="0.4">
      <c r="A911" s="168"/>
      <c r="B911" s="171"/>
      <c r="C911" s="148" t="s">
        <v>1413</v>
      </c>
      <c r="D911" s="171"/>
      <c r="E911" s="158"/>
      <c r="F911" s="158"/>
      <c r="G911" s="158"/>
      <c r="H911" s="158"/>
      <c r="I911" s="158"/>
      <c r="J911" s="158"/>
      <c r="K911" s="158"/>
      <c r="L911" s="158"/>
      <c r="M911" s="158"/>
      <c r="N911" s="158"/>
      <c r="O911" s="158"/>
      <c r="P911" s="158"/>
      <c r="Q911" s="159"/>
    </row>
    <row r="912" spans="1:17" x14ac:dyDescent="0.35">
      <c r="A912" s="166"/>
      <c r="B912" s="169">
        <v>304</v>
      </c>
      <c r="C912" s="146"/>
      <c r="D912" s="169"/>
      <c r="E912" s="154">
        <v>0</v>
      </c>
      <c r="F912" s="154">
        <v>0</v>
      </c>
      <c r="G912" s="154">
        <v>0</v>
      </c>
      <c r="H912" s="154">
        <v>0</v>
      </c>
      <c r="I912" s="154">
        <v>0</v>
      </c>
      <c r="J912" s="154">
        <v>0</v>
      </c>
      <c r="K912" s="154">
        <v>0</v>
      </c>
      <c r="L912" s="154">
        <v>0</v>
      </c>
      <c r="M912" s="154">
        <v>12</v>
      </c>
      <c r="N912" s="154">
        <v>9</v>
      </c>
      <c r="O912" s="154">
        <v>369</v>
      </c>
      <c r="P912" s="154">
        <v>5698</v>
      </c>
      <c r="Q912" s="156">
        <v>85.9</v>
      </c>
    </row>
    <row r="913" spans="1:17" x14ac:dyDescent="0.35">
      <c r="A913" s="167"/>
      <c r="B913" s="170"/>
      <c r="C913" s="151" t="s">
        <v>1198</v>
      </c>
      <c r="D913" s="170"/>
      <c r="E913" s="155"/>
      <c r="F913" s="155"/>
      <c r="G913" s="155"/>
      <c r="H913" s="155"/>
      <c r="I913" s="155"/>
      <c r="J913" s="155"/>
      <c r="K913" s="155"/>
      <c r="L913" s="155"/>
      <c r="M913" s="155"/>
      <c r="N913" s="155"/>
      <c r="O913" s="155"/>
      <c r="P913" s="155"/>
      <c r="Q913" s="157"/>
    </row>
    <row r="914" spans="1:17" ht="15" thickBot="1" x14ac:dyDescent="0.4">
      <c r="A914" s="168"/>
      <c r="B914" s="171"/>
      <c r="C914" s="148" t="s">
        <v>1442</v>
      </c>
      <c r="D914" s="171"/>
      <c r="E914" s="158"/>
      <c r="F914" s="158"/>
      <c r="G914" s="158"/>
      <c r="H914" s="158"/>
      <c r="I914" s="158"/>
      <c r="J914" s="158"/>
      <c r="K914" s="158"/>
      <c r="L914" s="158"/>
      <c r="M914" s="158"/>
      <c r="N914" s="158"/>
      <c r="O914" s="158"/>
      <c r="P914" s="158"/>
      <c r="Q914" s="159"/>
    </row>
    <row r="915" spans="1:17" x14ac:dyDescent="0.35">
      <c r="A915" s="166"/>
      <c r="B915" s="169">
        <v>305</v>
      </c>
      <c r="C915" s="147"/>
      <c r="D915" s="169"/>
      <c r="E915" s="154">
        <v>1170</v>
      </c>
      <c r="F915" s="154">
        <v>6</v>
      </c>
      <c r="G915" s="154">
        <v>4</v>
      </c>
      <c r="H915" s="154">
        <v>78</v>
      </c>
      <c r="I915" s="154">
        <v>1</v>
      </c>
      <c r="J915" s="154">
        <v>0</v>
      </c>
      <c r="K915" s="154">
        <v>0</v>
      </c>
      <c r="L915" s="154">
        <v>0</v>
      </c>
      <c r="M915" s="154">
        <v>0</v>
      </c>
      <c r="N915" s="154">
        <v>0</v>
      </c>
      <c r="O915" s="154">
        <v>0</v>
      </c>
      <c r="P915" s="154">
        <v>0</v>
      </c>
      <c r="Q915" s="156">
        <v>73</v>
      </c>
    </row>
    <row r="916" spans="1:17" x14ac:dyDescent="0.35">
      <c r="A916" s="167"/>
      <c r="B916" s="170"/>
      <c r="C916" s="151" t="s">
        <v>582</v>
      </c>
      <c r="D916" s="170"/>
      <c r="E916" s="155"/>
      <c r="F916" s="155"/>
      <c r="G916" s="155"/>
      <c r="H916" s="155"/>
      <c r="I916" s="155"/>
      <c r="J916" s="155"/>
      <c r="K916" s="155"/>
      <c r="L916" s="155"/>
      <c r="M916" s="155"/>
      <c r="N916" s="155"/>
      <c r="O916" s="155"/>
      <c r="P916" s="155"/>
      <c r="Q916" s="157"/>
    </row>
    <row r="917" spans="1:17" ht="15" thickBot="1" x14ac:dyDescent="0.4">
      <c r="A917" s="168"/>
      <c r="B917" s="171"/>
      <c r="C917" s="148" t="s">
        <v>1418</v>
      </c>
      <c r="D917" s="171"/>
      <c r="E917" s="158"/>
      <c r="F917" s="158"/>
      <c r="G917" s="158"/>
      <c r="H917" s="158"/>
      <c r="I917" s="158"/>
      <c r="J917" s="158"/>
      <c r="K917" s="158"/>
      <c r="L917" s="158"/>
      <c r="M917" s="158"/>
      <c r="N917" s="158"/>
      <c r="O917" s="158"/>
      <c r="P917" s="158"/>
      <c r="Q917" s="159"/>
    </row>
    <row r="918" spans="1:17" x14ac:dyDescent="0.35">
      <c r="A918" s="166"/>
      <c r="B918" s="169">
        <v>306</v>
      </c>
      <c r="C918" s="147"/>
      <c r="D918" s="169"/>
      <c r="E918" s="154">
        <v>2621</v>
      </c>
      <c r="F918" s="154">
        <v>14</v>
      </c>
      <c r="G918" s="154">
        <v>10</v>
      </c>
      <c r="H918" s="154">
        <v>136</v>
      </c>
      <c r="I918" s="154">
        <v>1</v>
      </c>
      <c r="J918" s="154">
        <v>0</v>
      </c>
      <c r="K918" s="154">
        <v>0</v>
      </c>
      <c r="L918" s="154">
        <v>0</v>
      </c>
      <c r="M918" s="154">
        <v>0</v>
      </c>
      <c r="N918" s="154">
        <v>0</v>
      </c>
      <c r="O918" s="154">
        <v>0</v>
      </c>
      <c r="P918" s="154">
        <v>0</v>
      </c>
      <c r="Q918" s="156">
        <v>158.5</v>
      </c>
    </row>
    <row r="919" spans="1:17" x14ac:dyDescent="0.35">
      <c r="A919" s="167"/>
      <c r="B919" s="170"/>
      <c r="C919" s="151" t="s">
        <v>1269</v>
      </c>
      <c r="D919" s="170"/>
      <c r="E919" s="155"/>
      <c r="F919" s="155"/>
      <c r="G919" s="155"/>
      <c r="H919" s="155"/>
      <c r="I919" s="155"/>
      <c r="J919" s="155"/>
      <c r="K919" s="155"/>
      <c r="L919" s="155"/>
      <c r="M919" s="155"/>
      <c r="N919" s="155"/>
      <c r="O919" s="155"/>
      <c r="P919" s="155"/>
      <c r="Q919" s="157"/>
    </row>
    <row r="920" spans="1:17" ht="15" thickBot="1" x14ac:dyDescent="0.4">
      <c r="A920" s="168"/>
      <c r="B920" s="171"/>
      <c r="C920" s="148" t="s">
        <v>1151</v>
      </c>
      <c r="D920" s="171"/>
      <c r="E920" s="158"/>
      <c r="F920" s="158"/>
      <c r="G920" s="158"/>
      <c r="H920" s="158"/>
      <c r="I920" s="158"/>
      <c r="J920" s="158"/>
      <c r="K920" s="158"/>
      <c r="L920" s="158"/>
      <c r="M920" s="158"/>
      <c r="N920" s="158"/>
      <c r="O920" s="158"/>
      <c r="P920" s="158"/>
      <c r="Q920" s="159"/>
    </row>
    <row r="921" spans="1:17" x14ac:dyDescent="0.35">
      <c r="A921" s="166"/>
      <c r="B921" s="169">
        <v>307</v>
      </c>
      <c r="C921" s="147"/>
      <c r="D921" s="169"/>
      <c r="E921" s="154">
        <v>0</v>
      </c>
      <c r="F921" s="154">
        <v>0</v>
      </c>
      <c r="G921" s="154">
        <v>0</v>
      </c>
      <c r="H921" s="154">
        <v>113</v>
      </c>
      <c r="I921" s="154">
        <v>1</v>
      </c>
      <c r="J921" s="154">
        <v>9</v>
      </c>
      <c r="K921" s="154">
        <v>68</v>
      </c>
      <c r="L921" s="154">
        <v>0</v>
      </c>
      <c r="M921" s="154">
        <v>0</v>
      </c>
      <c r="N921" s="154">
        <v>0</v>
      </c>
      <c r="O921" s="154">
        <v>0</v>
      </c>
      <c r="P921" s="154">
        <v>0</v>
      </c>
      <c r="Q921" s="156">
        <v>31.3</v>
      </c>
    </row>
    <row r="922" spans="1:17" x14ac:dyDescent="0.35">
      <c r="A922" s="167"/>
      <c r="B922" s="170"/>
      <c r="C922" s="151" t="s">
        <v>676</v>
      </c>
      <c r="D922" s="170"/>
      <c r="E922" s="155"/>
      <c r="F922" s="155"/>
      <c r="G922" s="155"/>
      <c r="H922" s="155"/>
      <c r="I922" s="155"/>
      <c r="J922" s="155"/>
      <c r="K922" s="155"/>
      <c r="L922" s="155"/>
      <c r="M922" s="155"/>
      <c r="N922" s="155"/>
      <c r="O922" s="155"/>
      <c r="P922" s="155"/>
      <c r="Q922" s="157"/>
    </row>
    <row r="923" spans="1:17" ht="15" thickBot="1" x14ac:dyDescent="0.4">
      <c r="A923" s="168"/>
      <c r="B923" s="171"/>
      <c r="C923" s="148" t="s">
        <v>1057</v>
      </c>
      <c r="D923" s="171"/>
      <c r="E923" s="158"/>
      <c r="F923" s="158"/>
      <c r="G923" s="158"/>
      <c r="H923" s="158"/>
      <c r="I923" s="158"/>
      <c r="J923" s="158"/>
      <c r="K923" s="158"/>
      <c r="L923" s="158"/>
      <c r="M923" s="158"/>
      <c r="N923" s="158"/>
      <c r="O923" s="158"/>
      <c r="P923" s="158"/>
      <c r="Q923" s="159"/>
    </row>
    <row r="924" spans="1:17" x14ac:dyDescent="0.35">
      <c r="A924" s="166"/>
      <c r="B924" s="169">
        <v>308</v>
      </c>
      <c r="C924" s="147"/>
      <c r="D924" s="169"/>
      <c r="E924" s="154">
        <v>0</v>
      </c>
      <c r="F924" s="154">
        <v>0</v>
      </c>
      <c r="G924" s="154">
        <v>0</v>
      </c>
      <c r="H924" s="154">
        <v>119</v>
      </c>
      <c r="I924" s="154">
        <v>1</v>
      </c>
      <c r="J924" s="154">
        <v>8</v>
      </c>
      <c r="K924" s="154">
        <v>67</v>
      </c>
      <c r="L924" s="154">
        <v>0</v>
      </c>
      <c r="M924" s="154">
        <v>0</v>
      </c>
      <c r="N924" s="154">
        <v>0</v>
      </c>
      <c r="O924" s="154">
        <v>0</v>
      </c>
      <c r="P924" s="154">
        <v>0</v>
      </c>
      <c r="Q924" s="156">
        <v>28.4</v>
      </c>
    </row>
    <row r="925" spans="1:17" x14ac:dyDescent="0.35">
      <c r="A925" s="167"/>
      <c r="B925" s="170"/>
      <c r="C925" s="151" t="s">
        <v>1333</v>
      </c>
      <c r="D925" s="170"/>
      <c r="E925" s="155"/>
      <c r="F925" s="155"/>
      <c r="G925" s="155"/>
      <c r="H925" s="155"/>
      <c r="I925" s="155"/>
      <c r="J925" s="155"/>
      <c r="K925" s="155"/>
      <c r="L925" s="155"/>
      <c r="M925" s="155"/>
      <c r="N925" s="155"/>
      <c r="O925" s="155"/>
      <c r="P925" s="155"/>
      <c r="Q925" s="157"/>
    </row>
    <row r="926" spans="1:17" ht="15" thickBot="1" x14ac:dyDescent="0.4">
      <c r="A926" s="168"/>
      <c r="B926" s="171"/>
      <c r="C926" s="148" t="s">
        <v>1067</v>
      </c>
      <c r="D926" s="171"/>
      <c r="E926" s="158"/>
      <c r="F926" s="158"/>
      <c r="G926" s="158"/>
      <c r="H926" s="158"/>
      <c r="I926" s="158"/>
      <c r="J926" s="158"/>
      <c r="K926" s="158"/>
      <c r="L926" s="158"/>
      <c r="M926" s="158"/>
      <c r="N926" s="158"/>
      <c r="O926" s="158"/>
      <c r="P926" s="158"/>
      <c r="Q926" s="159"/>
    </row>
    <row r="927" spans="1:17" x14ac:dyDescent="0.35">
      <c r="A927" s="166"/>
      <c r="B927" s="169">
        <v>309</v>
      </c>
      <c r="C927" s="147"/>
      <c r="D927" s="169"/>
      <c r="E927" s="154">
        <v>0</v>
      </c>
      <c r="F927" s="154">
        <v>0</v>
      </c>
      <c r="G927" s="154">
        <v>0</v>
      </c>
      <c r="H927" s="154">
        <v>98</v>
      </c>
      <c r="I927" s="154">
        <v>1</v>
      </c>
      <c r="J927" s="154">
        <v>4</v>
      </c>
      <c r="K927" s="154">
        <v>35</v>
      </c>
      <c r="L927" s="154">
        <v>0</v>
      </c>
      <c r="M927" s="154">
        <v>0</v>
      </c>
      <c r="N927" s="154">
        <v>0</v>
      </c>
      <c r="O927" s="154">
        <v>0</v>
      </c>
      <c r="P927" s="154">
        <v>0</v>
      </c>
      <c r="Q927" s="156">
        <v>21.2</v>
      </c>
    </row>
    <row r="928" spans="1:17" x14ac:dyDescent="0.35">
      <c r="A928" s="167"/>
      <c r="B928" s="170"/>
      <c r="C928" s="151" t="s">
        <v>655</v>
      </c>
      <c r="D928" s="170"/>
      <c r="E928" s="155"/>
      <c r="F928" s="155"/>
      <c r="G928" s="155"/>
      <c r="H928" s="155"/>
      <c r="I928" s="155"/>
      <c r="J928" s="155"/>
      <c r="K928" s="155"/>
      <c r="L928" s="155"/>
      <c r="M928" s="155"/>
      <c r="N928" s="155"/>
      <c r="O928" s="155"/>
      <c r="P928" s="155"/>
      <c r="Q928" s="157"/>
    </row>
    <row r="929" spans="1:17" ht="15" thickBot="1" x14ac:dyDescent="0.4">
      <c r="A929" s="168"/>
      <c r="B929" s="171"/>
      <c r="C929" s="148" t="s">
        <v>1021</v>
      </c>
      <c r="D929" s="171"/>
      <c r="E929" s="158"/>
      <c r="F929" s="158"/>
      <c r="G929" s="158"/>
      <c r="H929" s="158"/>
      <c r="I929" s="158"/>
      <c r="J929" s="158"/>
      <c r="K929" s="158"/>
      <c r="L929" s="158"/>
      <c r="M929" s="158"/>
      <c r="N929" s="158"/>
      <c r="O929" s="158"/>
      <c r="P929" s="158"/>
      <c r="Q929" s="159"/>
    </row>
    <row r="930" spans="1:17" x14ac:dyDescent="0.35">
      <c r="A930" s="166"/>
      <c r="B930" s="169">
        <v>310</v>
      </c>
      <c r="C930" s="147"/>
      <c r="D930" s="169"/>
      <c r="E930" s="154">
        <v>0</v>
      </c>
      <c r="F930" s="154">
        <v>0</v>
      </c>
      <c r="G930" s="154">
        <v>0</v>
      </c>
      <c r="H930" s="154">
        <v>126</v>
      </c>
      <c r="I930" s="154">
        <v>1</v>
      </c>
      <c r="J930" s="154">
        <v>2</v>
      </c>
      <c r="K930" s="154">
        <v>15</v>
      </c>
      <c r="L930" s="154">
        <v>0</v>
      </c>
      <c r="M930" s="154">
        <v>0</v>
      </c>
      <c r="N930" s="154">
        <v>0</v>
      </c>
      <c r="O930" s="154">
        <v>0</v>
      </c>
      <c r="P930" s="154">
        <v>0</v>
      </c>
      <c r="Q930" s="156">
        <v>21.6</v>
      </c>
    </row>
    <row r="931" spans="1:17" x14ac:dyDescent="0.35">
      <c r="A931" s="167"/>
      <c r="B931" s="170"/>
      <c r="C931" s="151" t="s">
        <v>902</v>
      </c>
      <c r="D931" s="170"/>
      <c r="E931" s="155"/>
      <c r="F931" s="155"/>
      <c r="G931" s="155"/>
      <c r="H931" s="155"/>
      <c r="I931" s="155"/>
      <c r="J931" s="155"/>
      <c r="K931" s="155"/>
      <c r="L931" s="155"/>
      <c r="M931" s="155"/>
      <c r="N931" s="155"/>
      <c r="O931" s="155"/>
      <c r="P931" s="155"/>
      <c r="Q931" s="157"/>
    </row>
    <row r="932" spans="1:17" ht="15" thickBot="1" x14ac:dyDescent="0.4">
      <c r="A932" s="168"/>
      <c r="B932" s="171"/>
      <c r="C932" s="148" t="s">
        <v>1036</v>
      </c>
      <c r="D932" s="171"/>
      <c r="E932" s="158"/>
      <c r="F932" s="158"/>
      <c r="G932" s="158"/>
      <c r="H932" s="158"/>
      <c r="I932" s="158"/>
      <c r="J932" s="158"/>
      <c r="K932" s="158"/>
      <c r="L932" s="158"/>
      <c r="M932" s="158"/>
      <c r="N932" s="158"/>
      <c r="O932" s="158"/>
      <c r="P932" s="158"/>
      <c r="Q932" s="159"/>
    </row>
    <row r="933" spans="1:17" x14ac:dyDescent="0.35">
      <c r="A933" s="166"/>
      <c r="B933" s="169">
        <v>311</v>
      </c>
      <c r="C933" s="147"/>
      <c r="D933" s="169"/>
      <c r="E933" s="154">
        <v>0</v>
      </c>
      <c r="F933" s="154">
        <v>0</v>
      </c>
      <c r="G933" s="154">
        <v>0</v>
      </c>
      <c r="H933" s="154">
        <v>136</v>
      </c>
      <c r="I933" s="154">
        <v>1</v>
      </c>
      <c r="J933" s="154">
        <v>2</v>
      </c>
      <c r="K933" s="154">
        <v>18</v>
      </c>
      <c r="L933" s="154">
        <v>0</v>
      </c>
      <c r="M933" s="154">
        <v>0</v>
      </c>
      <c r="N933" s="154">
        <v>0</v>
      </c>
      <c r="O933" s="154">
        <v>0</v>
      </c>
      <c r="P933" s="154">
        <v>0</v>
      </c>
      <c r="Q933" s="156">
        <v>25.2</v>
      </c>
    </row>
    <row r="934" spans="1:17" x14ac:dyDescent="0.35">
      <c r="A934" s="167"/>
      <c r="B934" s="170"/>
      <c r="C934" s="151" t="s">
        <v>560</v>
      </c>
      <c r="D934" s="170"/>
      <c r="E934" s="155"/>
      <c r="F934" s="155"/>
      <c r="G934" s="155"/>
      <c r="H934" s="155"/>
      <c r="I934" s="155"/>
      <c r="J934" s="155"/>
      <c r="K934" s="155"/>
      <c r="L934" s="155"/>
      <c r="M934" s="155"/>
      <c r="N934" s="155"/>
      <c r="O934" s="155"/>
      <c r="P934" s="155"/>
      <c r="Q934" s="157"/>
    </row>
    <row r="935" spans="1:17" ht="15" thickBot="1" x14ac:dyDescent="0.4">
      <c r="A935" s="168"/>
      <c r="B935" s="171"/>
      <c r="C935" s="148" t="s">
        <v>1085</v>
      </c>
      <c r="D935" s="171"/>
      <c r="E935" s="158"/>
      <c r="F935" s="158"/>
      <c r="G935" s="158"/>
      <c r="H935" s="158"/>
      <c r="I935" s="158"/>
      <c r="J935" s="158"/>
      <c r="K935" s="158"/>
      <c r="L935" s="158"/>
      <c r="M935" s="158"/>
      <c r="N935" s="158"/>
      <c r="O935" s="158"/>
      <c r="P935" s="158"/>
      <c r="Q935" s="159"/>
    </row>
    <row r="936" spans="1:17" x14ac:dyDescent="0.35">
      <c r="A936" s="166"/>
      <c r="B936" s="169">
        <v>312</v>
      </c>
      <c r="C936" s="147"/>
      <c r="D936" s="169"/>
      <c r="E936" s="154">
        <v>0</v>
      </c>
      <c r="F936" s="154">
        <v>0</v>
      </c>
      <c r="G936" s="154">
        <v>0</v>
      </c>
      <c r="H936" s="154">
        <v>76</v>
      </c>
      <c r="I936" s="154">
        <v>1</v>
      </c>
      <c r="J936" s="154">
        <v>4</v>
      </c>
      <c r="K936" s="154">
        <v>31</v>
      </c>
      <c r="L936" s="154">
        <v>0</v>
      </c>
      <c r="M936" s="154">
        <v>0</v>
      </c>
      <c r="N936" s="154">
        <v>0</v>
      </c>
      <c r="O936" s="154">
        <v>0</v>
      </c>
      <c r="P936" s="154">
        <v>0</v>
      </c>
      <c r="Q936" s="156">
        <v>16.8</v>
      </c>
    </row>
    <row r="937" spans="1:17" x14ac:dyDescent="0.35">
      <c r="A937" s="167"/>
      <c r="B937" s="170"/>
      <c r="C937" s="151" t="s">
        <v>1260</v>
      </c>
      <c r="D937" s="170"/>
      <c r="E937" s="155"/>
      <c r="F937" s="155"/>
      <c r="G937" s="155"/>
      <c r="H937" s="155"/>
      <c r="I937" s="155"/>
      <c r="J937" s="155"/>
      <c r="K937" s="155"/>
      <c r="L937" s="155"/>
      <c r="M937" s="155"/>
      <c r="N937" s="155"/>
      <c r="O937" s="155"/>
      <c r="P937" s="155"/>
      <c r="Q937" s="157"/>
    </row>
    <row r="938" spans="1:17" ht="15" thickBot="1" x14ac:dyDescent="0.4">
      <c r="A938" s="168"/>
      <c r="B938" s="171"/>
      <c r="C938" s="148" t="s">
        <v>1023</v>
      </c>
      <c r="D938" s="171"/>
      <c r="E938" s="158"/>
      <c r="F938" s="158"/>
      <c r="G938" s="158"/>
      <c r="H938" s="158"/>
      <c r="I938" s="158"/>
      <c r="J938" s="158"/>
      <c r="K938" s="158"/>
      <c r="L938" s="158"/>
      <c r="M938" s="158"/>
      <c r="N938" s="158"/>
      <c r="O938" s="158"/>
      <c r="P938" s="158"/>
      <c r="Q938" s="159"/>
    </row>
    <row r="939" spans="1:17" x14ac:dyDescent="0.35">
      <c r="A939" s="166"/>
      <c r="B939" s="169">
        <v>313</v>
      </c>
      <c r="C939" s="147"/>
      <c r="D939" s="169"/>
      <c r="E939" s="154">
        <v>0</v>
      </c>
      <c r="F939" s="154">
        <v>0</v>
      </c>
      <c r="G939" s="154">
        <v>0</v>
      </c>
      <c r="H939" s="154">
        <v>57</v>
      </c>
      <c r="I939" s="154">
        <v>0</v>
      </c>
      <c r="J939" s="154">
        <v>4</v>
      </c>
      <c r="K939" s="154">
        <v>33</v>
      </c>
      <c r="L939" s="154">
        <v>0</v>
      </c>
      <c r="M939" s="154">
        <v>0</v>
      </c>
      <c r="N939" s="154">
        <v>0</v>
      </c>
      <c r="O939" s="154">
        <v>0</v>
      </c>
      <c r="P939" s="154">
        <v>0</v>
      </c>
      <c r="Q939" s="156">
        <v>14.7</v>
      </c>
    </row>
    <row r="940" spans="1:17" x14ac:dyDescent="0.35">
      <c r="A940" s="167"/>
      <c r="B940" s="170"/>
      <c r="C940" s="151" t="s">
        <v>566</v>
      </c>
      <c r="D940" s="170"/>
      <c r="E940" s="155"/>
      <c r="F940" s="155"/>
      <c r="G940" s="155"/>
      <c r="H940" s="155"/>
      <c r="I940" s="155"/>
      <c r="J940" s="155"/>
      <c r="K940" s="155"/>
      <c r="L940" s="155"/>
      <c r="M940" s="155"/>
      <c r="N940" s="155"/>
      <c r="O940" s="155"/>
      <c r="P940" s="155"/>
      <c r="Q940" s="157"/>
    </row>
    <row r="941" spans="1:17" ht="15" thickBot="1" x14ac:dyDescent="0.4">
      <c r="A941" s="168"/>
      <c r="B941" s="171"/>
      <c r="C941" s="148" t="s">
        <v>1050</v>
      </c>
      <c r="D941" s="171"/>
      <c r="E941" s="158"/>
      <c r="F941" s="158"/>
      <c r="G941" s="158"/>
      <c r="H941" s="158"/>
      <c r="I941" s="158"/>
      <c r="J941" s="158"/>
      <c r="K941" s="158"/>
      <c r="L941" s="158"/>
      <c r="M941" s="158"/>
      <c r="N941" s="158"/>
      <c r="O941" s="158"/>
      <c r="P941" s="158"/>
      <c r="Q941" s="159"/>
    </row>
    <row r="942" spans="1:17" x14ac:dyDescent="0.35">
      <c r="A942" s="166"/>
      <c r="B942" s="169">
        <v>314</v>
      </c>
      <c r="C942" s="147"/>
      <c r="D942" s="169"/>
      <c r="E942" s="154">
        <v>1894</v>
      </c>
      <c r="F942" s="154">
        <v>9</v>
      </c>
      <c r="G942" s="154">
        <v>6</v>
      </c>
      <c r="H942" s="154">
        <v>14</v>
      </c>
      <c r="I942" s="154">
        <v>0</v>
      </c>
      <c r="J942" s="154">
        <v>0</v>
      </c>
      <c r="K942" s="154">
        <v>0</v>
      </c>
      <c r="L942" s="154">
        <v>0</v>
      </c>
      <c r="M942" s="154">
        <v>0</v>
      </c>
      <c r="N942" s="154">
        <v>0</v>
      </c>
      <c r="O942" s="154">
        <v>0</v>
      </c>
      <c r="P942" s="154">
        <v>0</v>
      </c>
      <c r="Q942" s="156">
        <v>101.8</v>
      </c>
    </row>
    <row r="943" spans="1:17" x14ac:dyDescent="0.35">
      <c r="A943" s="167"/>
      <c r="B943" s="170"/>
      <c r="C943" s="151" t="s">
        <v>414</v>
      </c>
      <c r="D943" s="170"/>
      <c r="E943" s="155"/>
      <c r="F943" s="155"/>
      <c r="G943" s="155"/>
      <c r="H943" s="155"/>
      <c r="I943" s="155"/>
      <c r="J943" s="155"/>
      <c r="K943" s="155"/>
      <c r="L943" s="155"/>
      <c r="M943" s="155"/>
      <c r="N943" s="155"/>
      <c r="O943" s="155"/>
      <c r="P943" s="155"/>
      <c r="Q943" s="157"/>
    </row>
    <row r="944" spans="1:17" ht="15" thickBot="1" x14ac:dyDescent="0.4">
      <c r="A944" s="168"/>
      <c r="B944" s="171"/>
      <c r="C944" s="148" t="s">
        <v>1149</v>
      </c>
      <c r="D944" s="171"/>
      <c r="E944" s="158"/>
      <c r="F944" s="158"/>
      <c r="G944" s="158"/>
      <c r="H944" s="158"/>
      <c r="I944" s="158"/>
      <c r="J944" s="158"/>
      <c r="K944" s="158"/>
      <c r="L944" s="158"/>
      <c r="M944" s="158"/>
      <c r="N944" s="158"/>
      <c r="O944" s="158"/>
      <c r="P944" s="158"/>
      <c r="Q944" s="159"/>
    </row>
    <row r="945" spans="1:17" x14ac:dyDescent="0.35">
      <c r="A945" s="166"/>
      <c r="B945" s="169">
        <v>315</v>
      </c>
      <c r="C945" s="147"/>
      <c r="D945" s="169"/>
      <c r="E945" s="154">
        <v>0</v>
      </c>
      <c r="F945" s="154">
        <v>0</v>
      </c>
      <c r="G945" s="154">
        <v>0</v>
      </c>
      <c r="H945" s="154">
        <v>0</v>
      </c>
      <c r="I945" s="154">
        <v>0</v>
      </c>
      <c r="J945" s="154">
        <v>37</v>
      </c>
      <c r="K945" s="154">
        <v>342</v>
      </c>
      <c r="L945" s="154">
        <v>3</v>
      </c>
      <c r="M945" s="154">
        <v>0</v>
      </c>
      <c r="N945" s="154">
        <v>0</v>
      </c>
      <c r="O945" s="154">
        <v>0</v>
      </c>
      <c r="P945" s="154">
        <v>0</v>
      </c>
      <c r="Q945" s="156">
        <v>68.400000000000006</v>
      </c>
    </row>
    <row r="946" spans="1:17" x14ac:dyDescent="0.35">
      <c r="A946" s="167"/>
      <c r="B946" s="170"/>
      <c r="C946" s="151" t="s">
        <v>699</v>
      </c>
      <c r="D946" s="170"/>
      <c r="E946" s="155"/>
      <c r="F946" s="155"/>
      <c r="G946" s="155"/>
      <c r="H946" s="155"/>
      <c r="I946" s="155"/>
      <c r="J946" s="155"/>
      <c r="K946" s="155"/>
      <c r="L946" s="155"/>
      <c r="M946" s="155"/>
      <c r="N946" s="155"/>
      <c r="O946" s="155"/>
      <c r="P946" s="155"/>
      <c r="Q946" s="157"/>
    </row>
    <row r="947" spans="1:17" ht="15" thickBot="1" x14ac:dyDescent="0.4">
      <c r="A947" s="168"/>
      <c r="B947" s="171"/>
      <c r="C947" s="148" t="s">
        <v>1180</v>
      </c>
      <c r="D947" s="171"/>
      <c r="E947" s="158"/>
      <c r="F947" s="158"/>
      <c r="G947" s="158"/>
      <c r="H947" s="158"/>
      <c r="I947" s="158"/>
      <c r="J947" s="158"/>
      <c r="K947" s="158"/>
      <c r="L947" s="158"/>
      <c r="M947" s="158"/>
      <c r="N947" s="158"/>
      <c r="O947" s="158"/>
      <c r="P947" s="158"/>
      <c r="Q947" s="159"/>
    </row>
    <row r="948" spans="1:17" x14ac:dyDescent="0.35">
      <c r="A948" s="166"/>
      <c r="B948" s="169">
        <v>316</v>
      </c>
      <c r="C948" s="147"/>
      <c r="D948" s="169"/>
      <c r="E948" s="154">
        <v>0</v>
      </c>
      <c r="F948" s="154">
        <v>0</v>
      </c>
      <c r="G948" s="154">
        <v>0</v>
      </c>
      <c r="H948" s="154">
        <v>0</v>
      </c>
      <c r="I948" s="154">
        <v>0</v>
      </c>
      <c r="J948" s="154">
        <v>30</v>
      </c>
      <c r="K948" s="154">
        <v>294</v>
      </c>
      <c r="L948" s="154">
        <v>4</v>
      </c>
      <c r="M948" s="154">
        <v>0</v>
      </c>
      <c r="N948" s="154">
        <v>0</v>
      </c>
      <c r="O948" s="154">
        <v>0</v>
      </c>
      <c r="P948" s="154">
        <v>0</v>
      </c>
      <c r="Q948" s="156">
        <v>66.099999999999994</v>
      </c>
    </row>
    <row r="949" spans="1:17" x14ac:dyDescent="0.35">
      <c r="A949" s="167"/>
      <c r="B949" s="170"/>
      <c r="C949" s="151" t="s">
        <v>948</v>
      </c>
      <c r="D949" s="170"/>
      <c r="E949" s="155"/>
      <c r="F949" s="155"/>
      <c r="G949" s="155"/>
      <c r="H949" s="155"/>
      <c r="I949" s="155"/>
      <c r="J949" s="155"/>
      <c r="K949" s="155"/>
      <c r="L949" s="155"/>
      <c r="M949" s="155"/>
      <c r="N949" s="155"/>
      <c r="O949" s="155"/>
      <c r="P949" s="155"/>
      <c r="Q949" s="157"/>
    </row>
    <row r="950" spans="1:17" ht="15" thickBot="1" x14ac:dyDescent="0.4">
      <c r="A950" s="168"/>
      <c r="B950" s="171"/>
      <c r="C950" s="148" t="s">
        <v>1425</v>
      </c>
      <c r="D950" s="171"/>
      <c r="E950" s="158"/>
      <c r="F950" s="158"/>
      <c r="G950" s="158"/>
      <c r="H950" s="158"/>
      <c r="I950" s="158"/>
      <c r="J950" s="158"/>
      <c r="K950" s="158"/>
      <c r="L950" s="158"/>
      <c r="M950" s="158"/>
      <c r="N950" s="158"/>
      <c r="O950" s="158"/>
      <c r="P950" s="158"/>
      <c r="Q950" s="159"/>
    </row>
    <row r="951" spans="1:17" x14ac:dyDescent="0.35">
      <c r="A951" s="166"/>
      <c r="B951" s="169">
        <v>317</v>
      </c>
      <c r="C951" s="147"/>
      <c r="D951" s="169"/>
      <c r="E951" s="154">
        <v>0</v>
      </c>
      <c r="F951" s="154">
        <v>0</v>
      </c>
      <c r="G951" s="154">
        <v>0</v>
      </c>
      <c r="H951" s="154">
        <v>0</v>
      </c>
      <c r="I951" s="154">
        <v>0</v>
      </c>
      <c r="J951" s="154">
        <v>29</v>
      </c>
      <c r="K951" s="154">
        <v>311</v>
      </c>
      <c r="L951" s="154">
        <v>2</v>
      </c>
      <c r="M951" s="154">
        <v>0</v>
      </c>
      <c r="N951" s="154">
        <v>0</v>
      </c>
      <c r="O951" s="154">
        <v>0</v>
      </c>
      <c r="P951" s="154">
        <v>0</v>
      </c>
      <c r="Q951" s="156">
        <v>57</v>
      </c>
    </row>
    <row r="952" spans="1:17" x14ac:dyDescent="0.35">
      <c r="A952" s="167"/>
      <c r="B952" s="170"/>
      <c r="C952" s="151" t="s">
        <v>1006</v>
      </c>
      <c r="D952" s="170"/>
      <c r="E952" s="155"/>
      <c r="F952" s="155"/>
      <c r="G952" s="155"/>
      <c r="H952" s="155"/>
      <c r="I952" s="155"/>
      <c r="J952" s="155"/>
      <c r="K952" s="155"/>
      <c r="L952" s="155"/>
      <c r="M952" s="155"/>
      <c r="N952" s="155"/>
      <c r="O952" s="155"/>
      <c r="P952" s="155"/>
      <c r="Q952" s="157"/>
    </row>
    <row r="953" spans="1:17" ht="15" thickBot="1" x14ac:dyDescent="0.4">
      <c r="A953" s="168"/>
      <c r="B953" s="171"/>
      <c r="C953" s="148" t="s">
        <v>1108</v>
      </c>
      <c r="D953" s="171"/>
      <c r="E953" s="158"/>
      <c r="F953" s="158"/>
      <c r="G953" s="158"/>
      <c r="H953" s="158"/>
      <c r="I953" s="158"/>
      <c r="J953" s="158"/>
      <c r="K953" s="158"/>
      <c r="L953" s="158"/>
      <c r="M953" s="158"/>
      <c r="N953" s="158"/>
      <c r="O953" s="158"/>
      <c r="P953" s="158"/>
      <c r="Q953" s="159"/>
    </row>
    <row r="954" spans="1:17" x14ac:dyDescent="0.35">
      <c r="A954" s="166"/>
      <c r="B954" s="169">
        <v>318</v>
      </c>
      <c r="C954" s="147"/>
      <c r="D954" s="169"/>
      <c r="E954" s="154">
        <v>0</v>
      </c>
      <c r="F954" s="154">
        <v>0</v>
      </c>
      <c r="G954" s="154">
        <v>0</v>
      </c>
      <c r="H954" s="154">
        <v>0</v>
      </c>
      <c r="I954" s="154">
        <v>0</v>
      </c>
      <c r="J954" s="154">
        <v>31</v>
      </c>
      <c r="K954" s="154">
        <v>339</v>
      </c>
      <c r="L954" s="154">
        <v>3</v>
      </c>
      <c r="M954" s="154">
        <v>0</v>
      </c>
      <c r="N954" s="154">
        <v>0</v>
      </c>
      <c r="O954" s="154">
        <v>0</v>
      </c>
      <c r="P954" s="154">
        <v>0</v>
      </c>
      <c r="Q954" s="156">
        <v>65.8</v>
      </c>
    </row>
    <row r="955" spans="1:17" x14ac:dyDescent="0.35">
      <c r="A955" s="167"/>
      <c r="B955" s="170"/>
      <c r="C955" s="151" t="s">
        <v>640</v>
      </c>
      <c r="D955" s="170"/>
      <c r="E955" s="155"/>
      <c r="F955" s="155"/>
      <c r="G955" s="155"/>
      <c r="H955" s="155"/>
      <c r="I955" s="155"/>
      <c r="J955" s="155"/>
      <c r="K955" s="155"/>
      <c r="L955" s="155"/>
      <c r="M955" s="155"/>
      <c r="N955" s="155"/>
      <c r="O955" s="155"/>
      <c r="P955" s="155"/>
      <c r="Q955" s="157"/>
    </row>
    <row r="956" spans="1:17" ht="15" thickBot="1" x14ac:dyDescent="0.4">
      <c r="A956" s="168"/>
      <c r="B956" s="171"/>
      <c r="C956" s="148" t="s">
        <v>1147</v>
      </c>
      <c r="D956" s="171"/>
      <c r="E956" s="158"/>
      <c r="F956" s="158"/>
      <c r="G956" s="158"/>
      <c r="H956" s="158"/>
      <c r="I956" s="158"/>
      <c r="J956" s="158"/>
      <c r="K956" s="158"/>
      <c r="L956" s="158"/>
      <c r="M956" s="158"/>
      <c r="N956" s="158"/>
      <c r="O956" s="158"/>
      <c r="P956" s="158"/>
      <c r="Q956" s="159"/>
    </row>
    <row r="957" spans="1:17" x14ac:dyDescent="0.35">
      <c r="A957" s="166"/>
      <c r="B957" s="169">
        <v>319</v>
      </c>
      <c r="C957" s="147"/>
      <c r="D957" s="169"/>
      <c r="E957" s="154">
        <v>288</v>
      </c>
      <c r="F957" s="154">
        <v>2</v>
      </c>
      <c r="G957" s="154">
        <v>1</v>
      </c>
      <c r="H957" s="154">
        <v>67</v>
      </c>
      <c r="I957" s="154">
        <v>1</v>
      </c>
      <c r="J957" s="154">
        <v>0</v>
      </c>
      <c r="K957" s="154">
        <v>0</v>
      </c>
      <c r="L957" s="154">
        <v>0</v>
      </c>
      <c r="M957" s="154">
        <v>0</v>
      </c>
      <c r="N957" s="154">
        <v>0</v>
      </c>
      <c r="O957" s="154">
        <v>0</v>
      </c>
      <c r="P957" s="154">
        <v>0</v>
      </c>
      <c r="Q957" s="156">
        <v>26.6</v>
      </c>
    </row>
    <row r="958" spans="1:17" x14ac:dyDescent="0.35">
      <c r="A958" s="167"/>
      <c r="B958" s="170"/>
      <c r="C958" s="151" t="s">
        <v>1370</v>
      </c>
      <c r="D958" s="170"/>
      <c r="E958" s="155"/>
      <c r="F958" s="155"/>
      <c r="G958" s="155"/>
      <c r="H958" s="155"/>
      <c r="I958" s="155"/>
      <c r="J958" s="155"/>
      <c r="K958" s="155"/>
      <c r="L958" s="155"/>
      <c r="M958" s="155"/>
      <c r="N958" s="155"/>
      <c r="O958" s="155"/>
      <c r="P958" s="155"/>
      <c r="Q958" s="157"/>
    </row>
    <row r="959" spans="1:17" ht="15" thickBot="1" x14ac:dyDescent="0.4">
      <c r="A959" s="168"/>
      <c r="B959" s="171"/>
      <c r="C959" s="148" t="s">
        <v>1088</v>
      </c>
      <c r="D959" s="171"/>
      <c r="E959" s="158"/>
      <c r="F959" s="158"/>
      <c r="G959" s="158"/>
      <c r="H959" s="158"/>
      <c r="I959" s="158"/>
      <c r="J959" s="158"/>
      <c r="K959" s="158"/>
      <c r="L959" s="158"/>
      <c r="M959" s="158"/>
      <c r="N959" s="158"/>
      <c r="O959" s="158"/>
      <c r="P959" s="158"/>
      <c r="Q959" s="159"/>
    </row>
    <row r="960" spans="1:17" x14ac:dyDescent="0.35">
      <c r="A960" s="166"/>
      <c r="B960" s="169">
        <v>320</v>
      </c>
      <c r="C960" s="147"/>
      <c r="D960" s="169"/>
      <c r="E960" s="154">
        <v>377</v>
      </c>
      <c r="F960" s="154">
        <v>2</v>
      </c>
      <c r="G960" s="154">
        <v>1</v>
      </c>
      <c r="H960" s="154">
        <v>31</v>
      </c>
      <c r="I960" s="154">
        <v>0</v>
      </c>
      <c r="J960" s="154">
        <v>0</v>
      </c>
      <c r="K960" s="154">
        <v>0</v>
      </c>
      <c r="L960" s="154">
        <v>0</v>
      </c>
      <c r="M960" s="154">
        <v>0</v>
      </c>
      <c r="N960" s="154">
        <v>0</v>
      </c>
      <c r="O960" s="154">
        <v>0</v>
      </c>
      <c r="P960" s="154">
        <v>0</v>
      </c>
      <c r="Q960" s="156">
        <v>24.9</v>
      </c>
    </row>
    <row r="961" spans="1:17" x14ac:dyDescent="0.35">
      <c r="A961" s="167"/>
      <c r="B961" s="170"/>
      <c r="C961" s="151" t="s">
        <v>390</v>
      </c>
      <c r="D961" s="170"/>
      <c r="E961" s="155"/>
      <c r="F961" s="155"/>
      <c r="G961" s="155"/>
      <c r="H961" s="155"/>
      <c r="I961" s="155"/>
      <c r="J961" s="155"/>
      <c r="K961" s="155"/>
      <c r="L961" s="155"/>
      <c r="M961" s="155"/>
      <c r="N961" s="155"/>
      <c r="O961" s="155"/>
      <c r="P961" s="155"/>
      <c r="Q961" s="157"/>
    </row>
    <row r="962" spans="1:17" ht="15" thickBot="1" x14ac:dyDescent="0.4">
      <c r="A962" s="168"/>
      <c r="B962" s="171"/>
      <c r="C962" s="148" t="s">
        <v>1410</v>
      </c>
      <c r="D962" s="171"/>
      <c r="E962" s="158"/>
      <c r="F962" s="158"/>
      <c r="G962" s="158"/>
      <c r="H962" s="158"/>
      <c r="I962" s="158"/>
      <c r="J962" s="158"/>
      <c r="K962" s="158"/>
      <c r="L962" s="158"/>
      <c r="M962" s="158"/>
      <c r="N962" s="158"/>
      <c r="O962" s="158"/>
      <c r="P962" s="158"/>
      <c r="Q962" s="159"/>
    </row>
    <row r="963" spans="1:17" x14ac:dyDescent="0.35">
      <c r="A963" s="166"/>
      <c r="B963" s="169">
        <v>321</v>
      </c>
      <c r="C963" s="147"/>
      <c r="D963" s="169"/>
      <c r="E963" s="154">
        <v>293</v>
      </c>
      <c r="F963" s="154">
        <v>2</v>
      </c>
      <c r="G963" s="154">
        <v>1</v>
      </c>
      <c r="H963" s="154">
        <v>8</v>
      </c>
      <c r="I963" s="154">
        <v>0</v>
      </c>
      <c r="J963" s="154">
        <v>0</v>
      </c>
      <c r="K963" s="154">
        <v>0</v>
      </c>
      <c r="L963" s="154">
        <v>0</v>
      </c>
      <c r="M963" s="154">
        <v>0</v>
      </c>
      <c r="N963" s="154">
        <v>0</v>
      </c>
      <c r="O963" s="154">
        <v>0</v>
      </c>
      <c r="P963" s="154">
        <v>0</v>
      </c>
      <c r="Q963" s="156">
        <v>17.7</v>
      </c>
    </row>
    <row r="964" spans="1:17" x14ac:dyDescent="0.35">
      <c r="A964" s="167"/>
      <c r="B964" s="170"/>
      <c r="C964" s="151" t="s">
        <v>1252</v>
      </c>
      <c r="D964" s="170"/>
      <c r="E964" s="155"/>
      <c r="F964" s="155"/>
      <c r="G964" s="155"/>
      <c r="H964" s="155"/>
      <c r="I964" s="155"/>
      <c r="J964" s="155"/>
      <c r="K964" s="155"/>
      <c r="L964" s="155"/>
      <c r="M964" s="155"/>
      <c r="N964" s="155"/>
      <c r="O964" s="155"/>
      <c r="P964" s="155"/>
      <c r="Q964" s="157"/>
    </row>
    <row r="965" spans="1:17" ht="15" thickBot="1" x14ac:dyDescent="0.4">
      <c r="A965" s="168"/>
      <c r="B965" s="171"/>
      <c r="C965" s="148" t="s">
        <v>1104</v>
      </c>
      <c r="D965" s="171"/>
      <c r="E965" s="158"/>
      <c r="F965" s="158"/>
      <c r="G965" s="158"/>
      <c r="H965" s="158"/>
      <c r="I965" s="158"/>
      <c r="J965" s="158"/>
      <c r="K965" s="158"/>
      <c r="L965" s="158"/>
      <c r="M965" s="158"/>
      <c r="N965" s="158"/>
      <c r="O965" s="158"/>
      <c r="P965" s="158"/>
      <c r="Q965" s="159"/>
    </row>
    <row r="966" spans="1:17" x14ac:dyDescent="0.35">
      <c r="A966" s="166"/>
      <c r="B966" s="169">
        <v>322</v>
      </c>
      <c r="C966" s="147"/>
      <c r="D966" s="169"/>
      <c r="E966" s="154">
        <v>316</v>
      </c>
      <c r="F966" s="154">
        <v>2</v>
      </c>
      <c r="G966" s="154">
        <v>2</v>
      </c>
      <c r="H966" s="154">
        <v>11</v>
      </c>
      <c r="I966" s="154">
        <v>0</v>
      </c>
      <c r="J966" s="154">
        <v>0</v>
      </c>
      <c r="K966" s="154">
        <v>0</v>
      </c>
      <c r="L966" s="154">
        <v>0</v>
      </c>
      <c r="M966" s="154">
        <v>0</v>
      </c>
      <c r="N966" s="154">
        <v>0</v>
      </c>
      <c r="O966" s="154">
        <v>0</v>
      </c>
      <c r="P966" s="154">
        <v>0</v>
      </c>
      <c r="Q966" s="156">
        <v>18.8</v>
      </c>
    </row>
    <row r="967" spans="1:17" x14ac:dyDescent="0.35">
      <c r="A967" s="167"/>
      <c r="B967" s="170"/>
      <c r="C967" s="151" t="s">
        <v>251</v>
      </c>
      <c r="D967" s="170"/>
      <c r="E967" s="155"/>
      <c r="F967" s="155"/>
      <c r="G967" s="155"/>
      <c r="H967" s="155"/>
      <c r="I967" s="155"/>
      <c r="J967" s="155"/>
      <c r="K967" s="155"/>
      <c r="L967" s="155"/>
      <c r="M967" s="155"/>
      <c r="N967" s="155"/>
      <c r="O967" s="155"/>
      <c r="P967" s="155"/>
      <c r="Q967" s="157"/>
    </row>
    <row r="968" spans="1:17" ht="15" thickBot="1" x14ac:dyDescent="0.4">
      <c r="A968" s="168"/>
      <c r="B968" s="171"/>
      <c r="C968" s="148" t="s">
        <v>1099</v>
      </c>
      <c r="D968" s="171"/>
      <c r="E968" s="158"/>
      <c r="F968" s="158"/>
      <c r="G968" s="158"/>
      <c r="H968" s="158"/>
      <c r="I968" s="158"/>
      <c r="J968" s="158"/>
      <c r="K968" s="158"/>
      <c r="L968" s="158"/>
      <c r="M968" s="158"/>
      <c r="N968" s="158"/>
      <c r="O968" s="158"/>
      <c r="P968" s="158"/>
      <c r="Q968" s="159"/>
    </row>
    <row r="969" spans="1:17" x14ac:dyDescent="0.35">
      <c r="A969" s="166"/>
      <c r="B969" s="169">
        <v>323</v>
      </c>
      <c r="C969" s="147"/>
      <c r="D969" s="169"/>
      <c r="E969" s="154">
        <v>388</v>
      </c>
      <c r="F969" s="154">
        <v>3</v>
      </c>
      <c r="G969" s="154">
        <v>1</v>
      </c>
      <c r="H969" s="154">
        <v>7</v>
      </c>
      <c r="I969" s="154">
        <v>0</v>
      </c>
      <c r="J969" s="154">
        <v>0</v>
      </c>
      <c r="K969" s="154">
        <v>0</v>
      </c>
      <c r="L969" s="154">
        <v>0</v>
      </c>
      <c r="M969" s="154">
        <v>0</v>
      </c>
      <c r="N969" s="154">
        <v>0</v>
      </c>
      <c r="O969" s="154">
        <v>0</v>
      </c>
      <c r="P969" s="154">
        <v>0</v>
      </c>
      <c r="Q969" s="156">
        <v>24.2</v>
      </c>
    </row>
    <row r="970" spans="1:17" x14ac:dyDescent="0.35">
      <c r="A970" s="167"/>
      <c r="B970" s="170"/>
      <c r="C970" s="151" t="s">
        <v>576</v>
      </c>
      <c r="D970" s="170"/>
      <c r="E970" s="155"/>
      <c r="F970" s="155"/>
      <c r="G970" s="155"/>
      <c r="H970" s="155"/>
      <c r="I970" s="155"/>
      <c r="J970" s="155"/>
      <c r="K970" s="155"/>
      <c r="L970" s="155"/>
      <c r="M970" s="155"/>
      <c r="N970" s="155"/>
      <c r="O970" s="155"/>
      <c r="P970" s="155"/>
      <c r="Q970" s="157"/>
    </row>
    <row r="971" spans="1:17" ht="15" thickBot="1" x14ac:dyDescent="0.4">
      <c r="A971" s="168"/>
      <c r="B971" s="171"/>
      <c r="C971" s="148" t="s">
        <v>1087</v>
      </c>
      <c r="D971" s="171"/>
      <c r="E971" s="158"/>
      <c r="F971" s="158"/>
      <c r="G971" s="158"/>
      <c r="H971" s="158"/>
      <c r="I971" s="158"/>
      <c r="J971" s="158"/>
      <c r="K971" s="158"/>
      <c r="L971" s="158"/>
      <c r="M971" s="158"/>
      <c r="N971" s="158"/>
      <c r="O971" s="158"/>
      <c r="P971" s="158"/>
      <c r="Q971" s="159"/>
    </row>
    <row r="972" spans="1:17" x14ac:dyDescent="0.35">
      <c r="A972" s="166"/>
      <c r="B972" s="169">
        <v>324</v>
      </c>
      <c r="C972" s="147"/>
      <c r="D972" s="169"/>
      <c r="E972" s="154">
        <v>0</v>
      </c>
      <c r="F972" s="154">
        <v>0</v>
      </c>
      <c r="G972" s="154">
        <v>0</v>
      </c>
      <c r="H972" s="154">
        <v>41</v>
      </c>
      <c r="I972" s="154">
        <v>0</v>
      </c>
      <c r="J972" s="154">
        <v>4</v>
      </c>
      <c r="K972" s="154">
        <v>29</v>
      </c>
      <c r="L972" s="154">
        <v>0</v>
      </c>
      <c r="M972" s="154">
        <v>0</v>
      </c>
      <c r="N972" s="154">
        <v>0</v>
      </c>
      <c r="O972" s="154">
        <v>0</v>
      </c>
      <c r="P972" s="154">
        <v>0</v>
      </c>
      <c r="Q972" s="156">
        <v>11.6</v>
      </c>
    </row>
    <row r="973" spans="1:17" x14ac:dyDescent="0.35">
      <c r="A973" s="167"/>
      <c r="B973" s="170"/>
      <c r="C973" s="151" t="s">
        <v>503</v>
      </c>
      <c r="D973" s="170"/>
      <c r="E973" s="155"/>
      <c r="F973" s="155"/>
      <c r="G973" s="155"/>
      <c r="H973" s="155"/>
      <c r="I973" s="155"/>
      <c r="J973" s="155"/>
      <c r="K973" s="155"/>
      <c r="L973" s="155"/>
      <c r="M973" s="155"/>
      <c r="N973" s="155"/>
      <c r="O973" s="155"/>
      <c r="P973" s="155"/>
      <c r="Q973" s="157"/>
    </row>
    <row r="974" spans="1:17" ht="15" thickBot="1" x14ac:dyDescent="0.4">
      <c r="A974" s="168"/>
      <c r="B974" s="171"/>
      <c r="C974" s="148" t="s">
        <v>1058</v>
      </c>
      <c r="D974" s="171"/>
      <c r="E974" s="158"/>
      <c r="F974" s="158"/>
      <c r="G974" s="158"/>
      <c r="H974" s="158"/>
      <c r="I974" s="158"/>
      <c r="J974" s="158"/>
      <c r="K974" s="158"/>
      <c r="L974" s="158"/>
      <c r="M974" s="158"/>
      <c r="N974" s="158"/>
      <c r="O974" s="158"/>
      <c r="P974" s="158"/>
      <c r="Q974" s="159"/>
    </row>
    <row r="975" spans="1:17" x14ac:dyDescent="0.35">
      <c r="A975" s="166"/>
      <c r="B975" s="169">
        <v>325</v>
      </c>
      <c r="C975" s="147"/>
      <c r="D975" s="169"/>
      <c r="E975" s="154">
        <v>0</v>
      </c>
      <c r="F975" s="154">
        <v>0</v>
      </c>
      <c r="G975" s="154">
        <v>0</v>
      </c>
      <c r="H975" s="154">
        <v>79</v>
      </c>
      <c r="I975" s="154">
        <v>1</v>
      </c>
      <c r="J975" s="154">
        <v>2</v>
      </c>
      <c r="K975" s="154">
        <v>16</v>
      </c>
      <c r="L975" s="154">
        <v>0</v>
      </c>
      <c r="M975" s="154">
        <v>0</v>
      </c>
      <c r="N975" s="154">
        <v>0</v>
      </c>
      <c r="O975" s="154">
        <v>0</v>
      </c>
      <c r="P975" s="154">
        <v>0</v>
      </c>
      <c r="Q975" s="156">
        <v>15.1</v>
      </c>
    </row>
    <row r="976" spans="1:17" x14ac:dyDescent="0.35">
      <c r="A976" s="167"/>
      <c r="B976" s="170"/>
      <c r="C976" s="151" t="s">
        <v>1549</v>
      </c>
      <c r="D976" s="170"/>
      <c r="E976" s="155"/>
      <c r="F976" s="155"/>
      <c r="G976" s="155"/>
      <c r="H976" s="155"/>
      <c r="I976" s="155"/>
      <c r="J976" s="155"/>
      <c r="K976" s="155"/>
      <c r="L976" s="155"/>
      <c r="M976" s="155"/>
      <c r="N976" s="155"/>
      <c r="O976" s="155"/>
      <c r="P976" s="155"/>
      <c r="Q976" s="157"/>
    </row>
    <row r="977" spans="1:17" ht="15" thickBot="1" x14ac:dyDescent="0.4">
      <c r="A977" s="168"/>
      <c r="B977" s="171"/>
      <c r="C977" s="148" t="s">
        <v>1084</v>
      </c>
      <c r="D977" s="171"/>
      <c r="E977" s="158"/>
      <c r="F977" s="158"/>
      <c r="G977" s="158"/>
      <c r="H977" s="158"/>
      <c r="I977" s="158"/>
      <c r="J977" s="158"/>
      <c r="K977" s="158"/>
      <c r="L977" s="158"/>
      <c r="M977" s="158"/>
      <c r="N977" s="158"/>
      <c r="O977" s="158"/>
      <c r="P977" s="158"/>
      <c r="Q977" s="159"/>
    </row>
    <row r="978" spans="1:17" x14ac:dyDescent="0.35">
      <c r="A978" s="166"/>
      <c r="B978" s="169">
        <v>326</v>
      </c>
      <c r="C978" s="147"/>
      <c r="D978" s="169"/>
      <c r="E978" s="154">
        <v>0</v>
      </c>
      <c r="F978" s="154">
        <v>0</v>
      </c>
      <c r="G978" s="154">
        <v>0</v>
      </c>
      <c r="H978" s="154">
        <v>84</v>
      </c>
      <c r="I978" s="154">
        <v>1</v>
      </c>
      <c r="J978" s="154">
        <v>4</v>
      </c>
      <c r="K978" s="154">
        <v>33</v>
      </c>
      <c r="L978" s="154">
        <v>0</v>
      </c>
      <c r="M978" s="154">
        <v>0</v>
      </c>
      <c r="N978" s="154">
        <v>0</v>
      </c>
      <c r="O978" s="154">
        <v>0</v>
      </c>
      <c r="P978" s="154">
        <v>0</v>
      </c>
      <c r="Q978" s="156">
        <v>18.600000000000001</v>
      </c>
    </row>
    <row r="979" spans="1:17" x14ac:dyDescent="0.35">
      <c r="A979" s="167"/>
      <c r="B979" s="170"/>
      <c r="C979" s="151" t="s">
        <v>1004</v>
      </c>
      <c r="D979" s="170"/>
      <c r="E979" s="155"/>
      <c r="F979" s="155"/>
      <c r="G979" s="155"/>
      <c r="H979" s="155"/>
      <c r="I979" s="155"/>
      <c r="J979" s="155"/>
      <c r="K979" s="155"/>
      <c r="L979" s="155"/>
      <c r="M979" s="155"/>
      <c r="N979" s="155"/>
      <c r="O979" s="155"/>
      <c r="P979" s="155"/>
      <c r="Q979" s="157"/>
    </row>
    <row r="980" spans="1:17" ht="15" thickBot="1" x14ac:dyDescent="0.4">
      <c r="A980" s="168"/>
      <c r="B980" s="171"/>
      <c r="C980" s="148" t="s">
        <v>1039</v>
      </c>
      <c r="D980" s="171"/>
      <c r="E980" s="158"/>
      <c r="F980" s="158"/>
      <c r="G980" s="158"/>
      <c r="H980" s="158"/>
      <c r="I980" s="158"/>
      <c r="J980" s="158"/>
      <c r="K980" s="158"/>
      <c r="L980" s="158"/>
      <c r="M980" s="158"/>
      <c r="N980" s="158"/>
      <c r="O980" s="158"/>
      <c r="P980" s="158"/>
      <c r="Q980" s="159"/>
    </row>
    <row r="981" spans="1:17" x14ac:dyDescent="0.35">
      <c r="A981" s="166"/>
      <c r="B981" s="169">
        <v>327</v>
      </c>
      <c r="C981" s="147"/>
      <c r="D981" s="169"/>
      <c r="E981" s="154">
        <v>0</v>
      </c>
      <c r="F981" s="154">
        <v>0</v>
      </c>
      <c r="G981" s="154">
        <v>0</v>
      </c>
      <c r="H981" s="154">
        <v>0</v>
      </c>
      <c r="I981" s="154">
        <v>0</v>
      </c>
      <c r="J981" s="154">
        <v>18</v>
      </c>
      <c r="K981" s="154">
        <v>215</v>
      </c>
      <c r="L981" s="154">
        <v>2</v>
      </c>
      <c r="M981" s="154">
        <v>0</v>
      </c>
      <c r="N981" s="154">
        <v>0</v>
      </c>
      <c r="O981" s="154">
        <v>0</v>
      </c>
      <c r="P981" s="154">
        <v>0</v>
      </c>
      <c r="Q981" s="156">
        <v>44</v>
      </c>
    </row>
    <row r="982" spans="1:17" x14ac:dyDescent="0.35">
      <c r="A982" s="167"/>
      <c r="B982" s="170"/>
      <c r="C982" s="151" t="s">
        <v>247</v>
      </c>
      <c r="D982" s="170"/>
      <c r="E982" s="155"/>
      <c r="F982" s="155"/>
      <c r="G982" s="155"/>
      <c r="H982" s="155"/>
      <c r="I982" s="155"/>
      <c r="J982" s="155"/>
      <c r="K982" s="155"/>
      <c r="L982" s="155"/>
      <c r="M982" s="155"/>
      <c r="N982" s="155"/>
      <c r="O982" s="155"/>
      <c r="P982" s="155"/>
      <c r="Q982" s="157"/>
    </row>
    <row r="983" spans="1:17" ht="15" thickBot="1" x14ac:dyDescent="0.4">
      <c r="A983" s="168"/>
      <c r="B983" s="171"/>
      <c r="C983" s="148" t="s">
        <v>1095</v>
      </c>
      <c r="D983" s="171"/>
      <c r="E983" s="158"/>
      <c r="F983" s="158"/>
      <c r="G983" s="158"/>
      <c r="H983" s="158"/>
      <c r="I983" s="158"/>
      <c r="J983" s="158"/>
      <c r="K983" s="158"/>
      <c r="L983" s="158"/>
      <c r="M983" s="158"/>
      <c r="N983" s="158"/>
      <c r="O983" s="158"/>
      <c r="P983" s="158"/>
      <c r="Q983" s="159"/>
    </row>
    <row r="984" spans="1:17" x14ac:dyDescent="0.35">
      <c r="A984" s="166"/>
      <c r="B984" s="169">
        <v>328</v>
      </c>
      <c r="C984" s="147"/>
      <c r="D984" s="169"/>
      <c r="E984" s="154">
        <v>0</v>
      </c>
      <c r="F984" s="154">
        <v>0</v>
      </c>
      <c r="G984" s="154">
        <v>0</v>
      </c>
      <c r="H984" s="154">
        <v>0</v>
      </c>
      <c r="I984" s="154">
        <v>0</v>
      </c>
      <c r="J984" s="154">
        <v>24</v>
      </c>
      <c r="K984" s="154">
        <v>288</v>
      </c>
      <c r="L984" s="154">
        <v>2</v>
      </c>
      <c r="M984" s="154">
        <v>0</v>
      </c>
      <c r="N984" s="154">
        <v>0</v>
      </c>
      <c r="O984" s="154">
        <v>0</v>
      </c>
      <c r="P984" s="154">
        <v>0</v>
      </c>
      <c r="Q984" s="156">
        <v>51.4</v>
      </c>
    </row>
    <row r="985" spans="1:17" x14ac:dyDescent="0.35">
      <c r="A985" s="167"/>
      <c r="B985" s="170"/>
      <c r="C985" s="151" t="s">
        <v>1329</v>
      </c>
      <c r="D985" s="170"/>
      <c r="E985" s="155"/>
      <c r="F985" s="155"/>
      <c r="G985" s="155"/>
      <c r="H985" s="155"/>
      <c r="I985" s="155"/>
      <c r="J985" s="155"/>
      <c r="K985" s="155"/>
      <c r="L985" s="155"/>
      <c r="M985" s="155"/>
      <c r="N985" s="155"/>
      <c r="O985" s="155"/>
      <c r="P985" s="155"/>
      <c r="Q985" s="157"/>
    </row>
    <row r="986" spans="1:17" ht="15" thickBot="1" x14ac:dyDescent="0.4">
      <c r="A986" s="168"/>
      <c r="B986" s="171"/>
      <c r="C986" s="148" t="s">
        <v>1426</v>
      </c>
      <c r="D986" s="171"/>
      <c r="E986" s="158"/>
      <c r="F986" s="158"/>
      <c r="G986" s="158"/>
      <c r="H986" s="158"/>
      <c r="I986" s="158"/>
      <c r="J986" s="158"/>
      <c r="K986" s="158"/>
      <c r="L986" s="158"/>
      <c r="M986" s="158"/>
      <c r="N986" s="158"/>
      <c r="O986" s="158"/>
      <c r="P986" s="158"/>
      <c r="Q986" s="159"/>
    </row>
    <row r="987" spans="1:17" x14ac:dyDescent="0.35">
      <c r="A987" s="166"/>
      <c r="B987" s="169">
        <v>329</v>
      </c>
      <c r="C987" s="147"/>
      <c r="D987" s="169"/>
      <c r="E987" s="154">
        <v>0</v>
      </c>
      <c r="F987" s="154">
        <v>0</v>
      </c>
      <c r="G987" s="154">
        <v>0</v>
      </c>
      <c r="H987" s="154">
        <v>0</v>
      </c>
      <c r="I987" s="154">
        <v>0</v>
      </c>
      <c r="J987" s="154">
        <v>20</v>
      </c>
      <c r="K987" s="154">
        <v>216</v>
      </c>
      <c r="L987" s="154">
        <v>2</v>
      </c>
      <c r="M987" s="154">
        <v>0</v>
      </c>
      <c r="N987" s="154">
        <v>0</v>
      </c>
      <c r="O987" s="154">
        <v>0</v>
      </c>
      <c r="P987" s="154">
        <v>0</v>
      </c>
      <c r="Q987" s="156">
        <v>42.1</v>
      </c>
    </row>
    <row r="988" spans="1:17" x14ac:dyDescent="0.35">
      <c r="A988" s="167"/>
      <c r="B988" s="170"/>
      <c r="C988" s="151" t="s">
        <v>339</v>
      </c>
      <c r="D988" s="170"/>
      <c r="E988" s="155"/>
      <c r="F988" s="155"/>
      <c r="G988" s="155"/>
      <c r="H988" s="155"/>
      <c r="I988" s="155"/>
      <c r="J988" s="155"/>
      <c r="K988" s="155"/>
      <c r="L988" s="155"/>
      <c r="M988" s="155"/>
      <c r="N988" s="155"/>
      <c r="O988" s="155"/>
      <c r="P988" s="155"/>
      <c r="Q988" s="157"/>
    </row>
    <row r="989" spans="1:17" ht="15" thickBot="1" x14ac:dyDescent="0.4">
      <c r="A989" s="168"/>
      <c r="B989" s="171"/>
      <c r="C989" s="148" t="s">
        <v>1046</v>
      </c>
      <c r="D989" s="171"/>
      <c r="E989" s="158"/>
      <c r="F989" s="158"/>
      <c r="G989" s="158"/>
      <c r="H989" s="158"/>
      <c r="I989" s="158"/>
      <c r="J989" s="158"/>
      <c r="K989" s="158"/>
      <c r="L989" s="158"/>
      <c r="M989" s="158"/>
      <c r="N989" s="158"/>
      <c r="O989" s="158"/>
      <c r="P989" s="158"/>
      <c r="Q989" s="159"/>
    </row>
    <row r="990" spans="1:17" x14ac:dyDescent="0.35">
      <c r="A990" s="166"/>
      <c r="B990" s="169">
        <v>330</v>
      </c>
      <c r="C990" s="147"/>
      <c r="D990" s="169"/>
      <c r="E990" s="154">
        <v>0</v>
      </c>
      <c r="F990" s="154">
        <v>0</v>
      </c>
      <c r="G990" s="154">
        <v>0</v>
      </c>
      <c r="H990" s="154">
        <v>0</v>
      </c>
      <c r="I990" s="154">
        <v>0</v>
      </c>
      <c r="J990" s="154">
        <v>33</v>
      </c>
      <c r="K990" s="154">
        <v>306</v>
      </c>
      <c r="L990" s="154">
        <v>3</v>
      </c>
      <c r="M990" s="154">
        <v>0</v>
      </c>
      <c r="N990" s="154">
        <v>0</v>
      </c>
      <c r="O990" s="154">
        <v>0</v>
      </c>
      <c r="P990" s="154">
        <v>0</v>
      </c>
      <c r="Q990" s="156">
        <v>64.5</v>
      </c>
    </row>
    <row r="991" spans="1:17" x14ac:dyDescent="0.35">
      <c r="A991" s="167"/>
      <c r="B991" s="170"/>
      <c r="C991" s="151" t="s">
        <v>940</v>
      </c>
      <c r="D991" s="170"/>
      <c r="E991" s="155"/>
      <c r="F991" s="155"/>
      <c r="G991" s="155"/>
      <c r="H991" s="155"/>
      <c r="I991" s="155"/>
      <c r="J991" s="155"/>
      <c r="K991" s="155"/>
      <c r="L991" s="155"/>
      <c r="M991" s="155"/>
      <c r="N991" s="155"/>
      <c r="O991" s="155"/>
      <c r="P991" s="155"/>
      <c r="Q991" s="157"/>
    </row>
    <row r="992" spans="1:17" ht="15" thickBot="1" x14ac:dyDescent="0.4">
      <c r="A992" s="168"/>
      <c r="B992" s="171"/>
      <c r="C992" s="148" t="s">
        <v>1110</v>
      </c>
      <c r="D992" s="171"/>
      <c r="E992" s="158"/>
      <c r="F992" s="158"/>
      <c r="G992" s="158"/>
      <c r="H992" s="158"/>
      <c r="I992" s="158"/>
      <c r="J992" s="158"/>
      <c r="K992" s="158"/>
      <c r="L992" s="158"/>
      <c r="M992" s="158"/>
      <c r="N992" s="158"/>
      <c r="O992" s="158"/>
      <c r="P992" s="158"/>
      <c r="Q992" s="159"/>
    </row>
    <row r="993" spans="1:17" x14ac:dyDescent="0.35">
      <c r="A993" s="166"/>
      <c r="B993" s="169">
        <v>331</v>
      </c>
      <c r="C993" s="147"/>
      <c r="D993" s="169"/>
      <c r="E993" s="154">
        <v>0</v>
      </c>
      <c r="F993" s="154">
        <v>0</v>
      </c>
      <c r="G993" s="154">
        <v>0</v>
      </c>
      <c r="H993" s="154">
        <v>0</v>
      </c>
      <c r="I993" s="154">
        <v>0</v>
      </c>
      <c r="J993" s="154">
        <v>23</v>
      </c>
      <c r="K993" s="154">
        <v>239</v>
      </c>
      <c r="L993" s="154">
        <v>2</v>
      </c>
      <c r="M993" s="154">
        <v>0</v>
      </c>
      <c r="N993" s="154">
        <v>0</v>
      </c>
      <c r="O993" s="154">
        <v>0</v>
      </c>
      <c r="P993" s="154">
        <v>0</v>
      </c>
      <c r="Q993" s="156">
        <v>47.3</v>
      </c>
    </row>
    <row r="994" spans="1:17" x14ac:dyDescent="0.35">
      <c r="A994" s="167"/>
      <c r="B994" s="170"/>
      <c r="C994" s="151" t="s">
        <v>318</v>
      </c>
      <c r="D994" s="170"/>
      <c r="E994" s="155"/>
      <c r="F994" s="155"/>
      <c r="G994" s="155"/>
      <c r="H994" s="155"/>
      <c r="I994" s="155"/>
      <c r="J994" s="155"/>
      <c r="K994" s="155"/>
      <c r="L994" s="155"/>
      <c r="M994" s="155"/>
      <c r="N994" s="155"/>
      <c r="O994" s="155"/>
      <c r="P994" s="155"/>
      <c r="Q994" s="157"/>
    </row>
    <row r="995" spans="1:17" ht="15" thickBot="1" x14ac:dyDescent="0.4">
      <c r="A995" s="168"/>
      <c r="B995" s="171"/>
      <c r="C995" s="148" t="s">
        <v>1094</v>
      </c>
      <c r="D995" s="171"/>
      <c r="E995" s="158"/>
      <c r="F995" s="158"/>
      <c r="G995" s="158"/>
      <c r="H995" s="158"/>
      <c r="I995" s="158"/>
      <c r="J995" s="158"/>
      <c r="K995" s="158"/>
      <c r="L995" s="158"/>
      <c r="M995" s="158"/>
      <c r="N995" s="158"/>
      <c r="O995" s="158"/>
      <c r="P995" s="158"/>
      <c r="Q995" s="159"/>
    </row>
    <row r="996" spans="1:17" x14ac:dyDescent="0.35">
      <c r="A996" s="166"/>
      <c r="B996" s="169">
        <v>332</v>
      </c>
      <c r="C996" s="147"/>
      <c r="D996" s="169"/>
      <c r="E996" s="154">
        <v>0</v>
      </c>
      <c r="F996" s="154">
        <v>0</v>
      </c>
      <c r="G996" s="154">
        <v>0</v>
      </c>
      <c r="H996" s="154">
        <v>0</v>
      </c>
      <c r="I996" s="154">
        <v>0</v>
      </c>
      <c r="J996" s="154">
        <v>14</v>
      </c>
      <c r="K996" s="154">
        <v>137</v>
      </c>
      <c r="L996" s="154">
        <v>2</v>
      </c>
      <c r="M996" s="154">
        <v>0</v>
      </c>
      <c r="N996" s="154">
        <v>0</v>
      </c>
      <c r="O996" s="154">
        <v>0</v>
      </c>
      <c r="P996" s="154">
        <v>0</v>
      </c>
      <c r="Q996" s="156">
        <v>29.7</v>
      </c>
    </row>
    <row r="997" spans="1:17" x14ac:dyDescent="0.35">
      <c r="A997" s="167"/>
      <c r="B997" s="170"/>
      <c r="C997" s="151" t="s">
        <v>509</v>
      </c>
      <c r="D997" s="170"/>
      <c r="E997" s="155"/>
      <c r="F997" s="155"/>
      <c r="G997" s="155"/>
      <c r="H997" s="155"/>
      <c r="I997" s="155"/>
      <c r="J997" s="155"/>
      <c r="K997" s="155"/>
      <c r="L997" s="155"/>
      <c r="M997" s="155"/>
      <c r="N997" s="155"/>
      <c r="O997" s="155"/>
      <c r="P997" s="155"/>
      <c r="Q997" s="157"/>
    </row>
    <row r="998" spans="1:17" ht="15" thickBot="1" x14ac:dyDescent="0.4">
      <c r="A998" s="168"/>
      <c r="B998" s="171"/>
      <c r="C998" s="148" t="s">
        <v>1072</v>
      </c>
      <c r="D998" s="171"/>
      <c r="E998" s="158"/>
      <c r="F998" s="158"/>
      <c r="G998" s="158"/>
      <c r="H998" s="158"/>
      <c r="I998" s="158"/>
      <c r="J998" s="158"/>
      <c r="K998" s="158"/>
      <c r="L998" s="158"/>
      <c r="M998" s="158"/>
      <c r="N998" s="158"/>
      <c r="O998" s="158"/>
      <c r="P998" s="158"/>
      <c r="Q998" s="159"/>
    </row>
    <row r="999" spans="1:17" x14ac:dyDescent="0.35">
      <c r="A999" s="166"/>
      <c r="B999" s="169">
        <v>333</v>
      </c>
      <c r="C999" s="147"/>
      <c r="D999" s="169"/>
      <c r="E999" s="154">
        <v>0</v>
      </c>
      <c r="F999" s="154">
        <v>0</v>
      </c>
      <c r="G999" s="154">
        <v>0</v>
      </c>
      <c r="H999" s="154">
        <v>0</v>
      </c>
      <c r="I999" s="154">
        <v>0</v>
      </c>
      <c r="J999" s="154">
        <v>19</v>
      </c>
      <c r="K999" s="154">
        <v>190</v>
      </c>
      <c r="L999" s="154">
        <v>2</v>
      </c>
      <c r="M999" s="154">
        <v>0</v>
      </c>
      <c r="N999" s="154">
        <v>0</v>
      </c>
      <c r="O999" s="154">
        <v>0</v>
      </c>
      <c r="P999" s="154">
        <v>0</v>
      </c>
      <c r="Q999" s="156">
        <v>37.299999999999997</v>
      </c>
    </row>
    <row r="1000" spans="1:17" x14ac:dyDescent="0.35">
      <c r="A1000" s="167"/>
      <c r="B1000" s="170"/>
      <c r="C1000" s="151" t="s">
        <v>297</v>
      </c>
      <c r="D1000" s="170"/>
      <c r="E1000" s="155"/>
      <c r="F1000" s="155"/>
      <c r="G1000" s="155"/>
      <c r="H1000" s="155"/>
      <c r="I1000" s="155"/>
      <c r="J1000" s="155"/>
      <c r="K1000" s="155"/>
      <c r="L1000" s="155"/>
      <c r="M1000" s="155"/>
      <c r="N1000" s="155"/>
      <c r="O1000" s="155"/>
      <c r="P1000" s="155"/>
      <c r="Q1000" s="157"/>
    </row>
    <row r="1001" spans="1:17" ht="15" thickBot="1" x14ac:dyDescent="0.4">
      <c r="A1001" s="168"/>
      <c r="B1001" s="171"/>
      <c r="C1001" s="148" t="s">
        <v>1097</v>
      </c>
      <c r="D1001" s="171"/>
      <c r="E1001" s="158"/>
      <c r="F1001" s="158"/>
      <c r="G1001" s="158"/>
      <c r="H1001" s="158"/>
      <c r="I1001" s="158"/>
      <c r="J1001" s="158"/>
      <c r="K1001" s="158"/>
      <c r="L1001" s="158"/>
      <c r="M1001" s="158"/>
      <c r="N1001" s="158"/>
      <c r="O1001" s="158"/>
      <c r="P1001" s="158"/>
      <c r="Q1001" s="159"/>
    </row>
    <row r="1002" spans="1:17" x14ac:dyDescent="0.35">
      <c r="A1002" s="166"/>
      <c r="B1002" s="169">
        <v>334</v>
      </c>
      <c r="C1002" s="147"/>
      <c r="D1002" s="169"/>
      <c r="E1002" s="154">
        <v>0</v>
      </c>
      <c r="F1002" s="154">
        <v>0</v>
      </c>
      <c r="G1002" s="154">
        <v>0</v>
      </c>
      <c r="H1002" s="154">
        <v>0</v>
      </c>
      <c r="I1002" s="154">
        <v>0</v>
      </c>
      <c r="J1002" s="154">
        <v>21</v>
      </c>
      <c r="K1002" s="154">
        <v>256</v>
      </c>
      <c r="L1002" s="154">
        <v>2</v>
      </c>
      <c r="M1002" s="154">
        <v>0</v>
      </c>
      <c r="N1002" s="154">
        <v>0</v>
      </c>
      <c r="O1002" s="154">
        <v>0</v>
      </c>
      <c r="P1002" s="154">
        <v>0</v>
      </c>
      <c r="Q1002" s="156">
        <v>48.3</v>
      </c>
    </row>
    <row r="1003" spans="1:17" x14ac:dyDescent="0.35">
      <c r="A1003" s="167"/>
      <c r="B1003" s="170"/>
      <c r="C1003" s="151" t="s">
        <v>946</v>
      </c>
      <c r="D1003" s="170"/>
      <c r="E1003" s="155"/>
      <c r="F1003" s="155"/>
      <c r="G1003" s="155"/>
      <c r="H1003" s="155"/>
      <c r="I1003" s="155"/>
      <c r="J1003" s="155"/>
      <c r="K1003" s="155"/>
      <c r="L1003" s="155"/>
      <c r="M1003" s="155"/>
      <c r="N1003" s="155"/>
      <c r="O1003" s="155"/>
      <c r="P1003" s="155"/>
      <c r="Q1003" s="157"/>
    </row>
    <row r="1004" spans="1:17" ht="15" thickBot="1" x14ac:dyDescent="0.4">
      <c r="A1004" s="168"/>
      <c r="B1004" s="171"/>
      <c r="C1004" s="148" t="s">
        <v>1096</v>
      </c>
      <c r="D1004" s="171"/>
      <c r="E1004" s="158"/>
      <c r="F1004" s="158"/>
      <c r="G1004" s="158"/>
      <c r="H1004" s="158"/>
      <c r="I1004" s="158"/>
      <c r="J1004" s="158"/>
      <c r="K1004" s="158"/>
      <c r="L1004" s="158"/>
      <c r="M1004" s="158"/>
      <c r="N1004" s="158"/>
      <c r="O1004" s="158"/>
      <c r="P1004" s="158"/>
      <c r="Q1004" s="159"/>
    </row>
    <row r="1005" spans="1:17" x14ac:dyDescent="0.35">
      <c r="A1005" s="166"/>
      <c r="B1005" s="169">
        <v>335</v>
      </c>
      <c r="C1005" s="147"/>
      <c r="D1005" s="169"/>
      <c r="E1005" s="154">
        <v>0</v>
      </c>
      <c r="F1005" s="154">
        <v>0</v>
      </c>
      <c r="G1005" s="154">
        <v>0</v>
      </c>
      <c r="H1005" s="154">
        <v>0</v>
      </c>
      <c r="I1005" s="154">
        <v>0</v>
      </c>
      <c r="J1005" s="154">
        <v>19</v>
      </c>
      <c r="K1005" s="154">
        <v>219</v>
      </c>
      <c r="L1005" s="154">
        <v>1</v>
      </c>
      <c r="M1005" s="154">
        <v>0</v>
      </c>
      <c r="N1005" s="154">
        <v>0</v>
      </c>
      <c r="O1005" s="154">
        <v>0</v>
      </c>
      <c r="P1005" s="154">
        <v>0</v>
      </c>
      <c r="Q1005" s="156">
        <v>38.200000000000003</v>
      </c>
    </row>
    <row r="1006" spans="1:17" x14ac:dyDescent="0.35">
      <c r="A1006" s="167"/>
      <c r="B1006" s="170"/>
      <c r="C1006" s="151" t="s">
        <v>1262</v>
      </c>
      <c r="D1006" s="170"/>
      <c r="E1006" s="155"/>
      <c r="F1006" s="155"/>
      <c r="G1006" s="155"/>
      <c r="H1006" s="155"/>
      <c r="I1006" s="155"/>
      <c r="J1006" s="155"/>
      <c r="K1006" s="155"/>
      <c r="L1006" s="155"/>
      <c r="M1006" s="155"/>
      <c r="N1006" s="155"/>
      <c r="O1006" s="155"/>
      <c r="P1006" s="155"/>
      <c r="Q1006" s="157"/>
    </row>
    <row r="1007" spans="1:17" ht="15" thickBot="1" x14ac:dyDescent="0.4">
      <c r="A1007" s="168"/>
      <c r="B1007" s="171"/>
      <c r="C1007" s="148" t="s">
        <v>1109</v>
      </c>
      <c r="D1007" s="171"/>
      <c r="E1007" s="158"/>
      <c r="F1007" s="158"/>
      <c r="G1007" s="158"/>
      <c r="H1007" s="158"/>
      <c r="I1007" s="158"/>
      <c r="J1007" s="158"/>
      <c r="K1007" s="158"/>
      <c r="L1007" s="158"/>
      <c r="M1007" s="158"/>
      <c r="N1007" s="158"/>
      <c r="O1007" s="158"/>
      <c r="P1007" s="158"/>
      <c r="Q1007" s="159"/>
    </row>
    <row r="1008" spans="1:17" x14ac:dyDescent="0.35">
      <c r="A1008" s="166"/>
      <c r="B1008" s="169">
        <v>336</v>
      </c>
      <c r="C1008" s="147"/>
      <c r="D1008" s="169"/>
      <c r="E1008" s="154">
        <v>0</v>
      </c>
      <c r="F1008" s="154">
        <v>0</v>
      </c>
      <c r="G1008" s="154">
        <v>0</v>
      </c>
      <c r="H1008" s="154">
        <v>0</v>
      </c>
      <c r="I1008" s="154">
        <v>0</v>
      </c>
      <c r="J1008" s="154">
        <v>15</v>
      </c>
      <c r="K1008" s="154">
        <v>176</v>
      </c>
      <c r="L1008" s="154">
        <v>1</v>
      </c>
      <c r="M1008" s="154">
        <v>0</v>
      </c>
      <c r="N1008" s="154">
        <v>0</v>
      </c>
      <c r="O1008" s="154">
        <v>0</v>
      </c>
      <c r="P1008" s="154">
        <v>0</v>
      </c>
      <c r="Q1008" s="156">
        <v>33.1</v>
      </c>
    </row>
    <row r="1009" spans="1:17" x14ac:dyDescent="0.35">
      <c r="A1009" s="167"/>
      <c r="B1009" s="170"/>
      <c r="C1009" s="151" t="s">
        <v>1479</v>
      </c>
      <c r="D1009" s="170"/>
      <c r="E1009" s="155"/>
      <c r="F1009" s="155"/>
      <c r="G1009" s="155"/>
      <c r="H1009" s="155"/>
      <c r="I1009" s="155"/>
      <c r="J1009" s="155"/>
      <c r="K1009" s="155"/>
      <c r="L1009" s="155"/>
      <c r="M1009" s="155"/>
      <c r="N1009" s="155"/>
      <c r="O1009" s="155"/>
      <c r="P1009" s="155"/>
      <c r="Q1009" s="157"/>
    </row>
    <row r="1010" spans="1:17" ht="15" thickBot="1" x14ac:dyDescent="0.4">
      <c r="A1010" s="168"/>
      <c r="B1010" s="171"/>
      <c r="C1010" s="148" t="s">
        <v>1147</v>
      </c>
      <c r="D1010" s="171"/>
      <c r="E1010" s="158"/>
      <c r="F1010" s="158"/>
      <c r="G1010" s="158"/>
      <c r="H1010" s="158"/>
      <c r="I1010" s="158"/>
      <c r="J1010" s="158"/>
      <c r="K1010" s="158"/>
      <c r="L1010" s="158"/>
      <c r="M1010" s="158"/>
      <c r="N1010" s="158"/>
      <c r="O1010" s="158"/>
      <c r="P1010" s="158"/>
      <c r="Q1010" s="159"/>
    </row>
    <row r="1011" spans="1:17" x14ac:dyDescent="0.35">
      <c r="A1011" s="166"/>
      <c r="B1011" s="169">
        <v>337</v>
      </c>
      <c r="C1011" s="147"/>
      <c r="D1011" s="169"/>
      <c r="E1011" s="154">
        <v>0</v>
      </c>
      <c r="F1011" s="154">
        <v>0</v>
      </c>
      <c r="G1011" s="154">
        <v>0</v>
      </c>
      <c r="H1011" s="154">
        <v>0</v>
      </c>
      <c r="I1011" s="154">
        <v>0</v>
      </c>
      <c r="J1011" s="154">
        <v>23</v>
      </c>
      <c r="K1011" s="154">
        <v>225</v>
      </c>
      <c r="L1011" s="154">
        <v>1</v>
      </c>
      <c r="M1011" s="154">
        <v>0</v>
      </c>
      <c r="N1011" s="154">
        <v>0</v>
      </c>
      <c r="O1011" s="154">
        <v>0</v>
      </c>
      <c r="P1011" s="154">
        <v>0</v>
      </c>
      <c r="Q1011" s="156">
        <v>41.7</v>
      </c>
    </row>
    <row r="1012" spans="1:17" x14ac:dyDescent="0.35">
      <c r="A1012" s="167"/>
      <c r="B1012" s="170"/>
      <c r="C1012" s="151" t="s">
        <v>1550</v>
      </c>
      <c r="D1012" s="170"/>
      <c r="E1012" s="155"/>
      <c r="F1012" s="155"/>
      <c r="G1012" s="155"/>
      <c r="H1012" s="155"/>
      <c r="I1012" s="155"/>
      <c r="J1012" s="155"/>
      <c r="K1012" s="155"/>
      <c r="L1012" s="155"/>
      <c r="M1012" s="155"/>
      <c r="N1012" s="155"/>
      <c r="O1012" s="155"/>
      <c r="P1012" s="155"/>
      <c r="Q1012" s="157"/>
    </row>
    <row r="1013" spans="1:17" ht="15" thickBot="1" x14ac:dyDescent="0.4">
      <c r="A1013" s="168"/>
      <c r="B1013" s="171"/>
      <c r="C1013" s="148" t="s">
        <v>1422</v>
      </c>
      <c r="D1013" s="171"/>
      <c r="E1013" s="158"/>
      <c r="F1013" s="158"/>
      <c r="G1013" s="158"/>
      <c r="H1013" s="158"/>
      <c r="I1013" s="158"/>
      <c r="J1013" s="158"/>
      <c r="K1013" s="158"/>
      <c r="L1013" s="158"/>
      <c r="M1013" s="158"/>
      <c r="N1013" s="158"/>
      <c r="O1013" s="158"/>
      <c r="P1013" s="158"/>
      <c r="Q1013" s="159"/>
    </row>
    <row r="1014" spans="1:17" x14ac:dyDescent="0.35">
      <c r="A1014" s="166"/>
      <c r="B1014" s="169">
        <v>338</v>
      </c>
      <c r="C1014" s="147"/>
      <c r="D1014" s="169"/>
      <c r="E1014" s="154">
        <v>0</v>
      </c>
      <c r="F1014" s="154">
        <v>0</v>
      </c>
      <c r="G1014" s="154">
        <v>0</v>
      </c>
      <c r="H1014" s="154">
        <v>0</v>
      </c>
      <c r="I1014" s="154">
        <v>0</v>
      </c>
      <c r="J1014" s="154">
        <v>22</v>
      </c>
      <c r="K1014" s="154">
        <v>230</v>
      </c>
      <c r="L1014" s="154">
        <v>1</v>
      </c>
      <c r="M1014" s="154">
        <v>0</v>
      </c>
      <c r="N1014" s="154">
        <v>0</v>
      </c>
      <c r="O1014" s="154">
        <v>0</v>
      </c>
      <c r="P1014" s="154">
        <v>0</v>
      </c>
      <c r="Q1014" s="156">
        <v>41.9</v>
      </c>
    </row>
    <row r="1015" spans="1:17" x14ac:dyDescent="0.35">
      <c r="A1015" s="167"/>
      <c r="B1015" s="170"/>
      <c r="C1015" s="151" t="s">
        <v>964</v>
      </c>
      <c r="D1015" s="170"/>
      <c r="E1015" s="155"/>
      <c r="F1015" s="155"/>
      <c r="G1015" s="155"/>
      <c r="H1015" s="155"/>
      <c r="I1015" s="155"/>
      <c r="J1015" s="155"/>
      <c r="K1015" s="155"/>
      <c r="L1015" s="155"/>
      <c r="M1015" s="155"/>
      <c r="N1015" s="155"/>
      <c r="O1015" s="155"/>
      <c r="P1015" s="155"/>
      <c r="Q1015" s="157"/>
    </row>
    <row r="1016" spans="1:17" ht="15" thickBot="1" x14ac:dyDescent="0.4">
      <c r="A1016" s="168"/>
      <c r="B1016" s="171"/>
      <c r="C1016" s="148" t="s">
        <v>1108</v>
      </c>
      <c r="D1016" s="171"/>
      <c r="E1016" s="158"/>
      <c r="F1016" s="158"/>
      <c r="G1016" s="158"/>
      <c r="H1016" s="158"/>
      <c r="I1016" s="158"/>
      <c r="J1016" s="158"/>
      <c r="K1016" s="158"/>
      <c r="L1016" s="158"/>
      <c r="M1016" s="158"/>
      <c r="N1016" s="158"/>
      <c r="O1016" s="158"/>
      <c r="P1016" s="158"/>
      <c r="Q1016" s="159"/>
    </row>
    <row r="1017" spans="1:17" x14ac:dyDescent="0.35">
      <c r="A1017" s="166"/>
      <c r="B1017" s="169">
        <v>339</v>
      </c>
      <c r="C1017" s="147"/>
      <c r="D1017" s="169"/>
      <c r="E1017" s="154">
        <v>366</v>
      </c>
      <c r="F1017" s="154">
        <v>2</v>
      </c>
      <c r="G1017" s="154">
        <v>1</v>
      </c>
      <c r="H1017" s="154">
        <v>26</v>
      </c>
      <c r="I1017" s="154">
        <v>0</v>
      </c>
      <c r="J1017" s="154">
        <v>0</v>
      </c>
      <c r="K1017" s="154">
        <v>0</v>
      </c>
      <c r="L1017" s="154">
        <v>0</v>
      </c>
      <c r="M1017" s="154">
        <v>0</v>
      </c>
      <c r="N1017" s="154">
        <v>0</v>
      </c>
      <c r="O1017" s="154">
        <v>0</v>
      </c>
      <c r="P1017" s="154">
        <v>0</v>
      </c>
      <c r="Q1017" s="156">
        <v>22.1</v>
      </c>
    </row>
    <row r="1018" spans="1:17" x14ac:dyDescent="0.35">
      <c r="A1018" s="167"/>
      <c r="B1018" s="170"/>
      <c r="C1018" s="151" t="s">
        <v>1494</v>
      </c>
      <c r="D1018" s="170"/>
      <c r="E1018" s="155"/>
      <c r="F1018" s="155"/>
      <c r="G1018" s="155"/>
      <c r="H1018" s="155"/>
      <c r="I1018" s="155"/>
      <c r="J1018" s="155"/>
      <c r="K1018" s="155"/>
      <c r="L1018" s="155"/>
      <c r="M1018" s="155"/>
      <c r="N1018" s="155"/>
      <c r="O1018" s="155"/>
      <c r="P1018" s="155"/>
      <c r="Q1018" s="157"/>
    </row>
    <row r="1019" spans="1:17" ht="15" thickBot="1" x14ac:dyDescent="0.4">
      <c r="A1019" s="168"/>
      <c r="B1019" s="171"/>
      <c r="C1019" s="148" t="s">
        <v>1417</v>
      </c>
      <c r="D1019" s="171"/>
      <c r="E1019" s="158"/>
      <c r="F1019" s="158"/>
      <c r="G1019" s="158"/>
      <c r="H1019" s="158"/>
      <c r="I1019" s="158"/>
      <c r="J1019" s="158"/>
      <c r="K1019" s="158"/>
      <c r="L1019" s="158"/>
      <c r="M1019" s="158"/>
      <c r="N1019" s="158"/>
      <c r="O1019" s="158"/>
      <c r="P1019" s="158"/>
      <c r="Q1019" s="159"/>
    </row>
    <row r="1020" spans="1:17" x14ac:dyDescent="0.35">
      <c r="A1020" s="166"/>
      <c r="B1020" s="169">
        <v>340</v>
      </c>
      <c r="C1020" s="147"/>
      <c r="D1020" s="169"/>
      <c r="E1020" s="154">
        <v>187</v>
      </c>
      <c r="F1020" s="154">
        <v>1</v>
      </c>
      <c r="G1020" s="154">
        <v>1</v>
      </c>
      <c r="H1020" s="154">
        <v>2</v>
      </c>
      <c r="I1020" s="154">
        <v>0</v>
      </c>
      <c r="J1020" s="154">
        <v>0</v>
      </c>
      <c r="K1020" s="154">
        <v>0</v>
      </c>
      <c r="L1020" s="154">
        <v>0</v>
      </c>
      <c r="M1020" s="154">
        <v>0</v>
      </c>
      <c r="N1020" s="154">
        <v>0</v>
      </c>
      <c r="O1020" s="154">
        <v>0</v>
      </c>
      <c r="P1020" s="154">
        <v>0</v>
      </c>
      <c r="Q1020" s="156">
        <v>11.2</v>
      </c>
    </row>
    <row r="1021" spans="1:17" x14ac:dyDescent="0.35">
      <c r="A1021" s="167"/>
      <c r="B1021" s="170"/>
      <c r="C1021" s="151" t="s">
        <v>377</v>
      </c>
      <c r="D1021" s="170"/>
      <c r="E1021" s="155"/>
      <c r="F1021" s="155"/>
      <c r="G1021" s="155"/>
      <c r="H1021" s="155"/>
      <c r="I1021" s="155"/>
      <c r="J1021" s="155"/>
      <c r="K1021" s="155"/>
      <c r="L1021" s="155"/>
      <c r="M1021" s="155"/>
      <c r="N1021" s="155"/>
      <c r="O1021" s="155"/>
      <c r="P1021" s="155"/>
      <c r="Q1021" s="157"/>
    </row>
    <row r="1022" spans="1:17" ht="15" thickBot="1" x14ac:dyDescent="0.4">
      <c r="A1022" s="168"/>
      <c r="B1022" s="171"/>
      <c r="C1022" s="148" t="s">
        <v>1098</v>
      </c>
      <c r="D1022" s="171"/>
      <c r="E1022" s="158"/>
      <c r="F1022" s="158"/>
      <c r="G1022" s="158"/>
      <c r="H1022" s="158"/>
      <c r="I1022" s="158"/>
      <c r="J1022" s="158"/>
      <c r="K1022" s="158"/>
      <c r="L1022" s="158"/>
      <c r="M1022" s="158"/>
      <c r="N1022" s="158"/>
      <c r="O1022" s="158"/>
      <c r="P1022" s="158"/>
      <c r="Q1022" s="159"/>
    </row>
    <row r="1023" spans="1:17" x14ac:dyDescent="0.35">
      <c r="A1023" s="166"/>
      <c r="B1023" s="169">
        <v>341</v>
      </c>
      <c r="C1023" s="147"/>
      <c r="D1023" s="169"/>
      <c r="E1023" s="154">
        <v>255</v>
      </c>
      <c r="F1023" s="154">
        <v>2</v>
      </c>
      <c r="G1023" s="154">
        <v>1</v>
      </c>
      <c r="H1023" s="154">
        <v>12</v>
      </c>
      <c r="I1023" s="154">
        <v>0</v>
      </c>
      <c r="J1023" s="154">
        <v>0</v>
      </c>
      <c r="K1023" s="154">
        <v>0</v>
      </c>
      <c r="L1023" s="154">
        <v>0</v>
      </c>
      <c r="M1023" s="154">
        <v>0</v>
      </c>
      <c r="N1023" s="154">
        <v>0</v>
      </c>
      <c r="O1023" s="154">
        <v>0</v>
      </c>
      <c r="P1023" s="154">
        <v>0</v>
      </c>
      <c r="Q1023" s="156">
        <v>18.3</v>
      </c>
    </row>
    <row r="1024" spans="1:17" x14ac:dyDescent="0.35">
      <c r="A1024" s="167"/>
      <c r="B1024" s="170"/>
      <c r="C1024" s="151" t="s">
        <v>806</v>
      </c>
      <c r="D1024" s="170"/>
      <c r="E1024" s="155"/>
      <c r="F1024" s="155"/>
      <c r="G1024" s="155"/>
      <c r="H1024" s="155"/>
      <c r="I1024" s="155"/>
      <c r="J1024" s="155"/>
      <c r="K1024" s="155"/>
      <c r="L1024" s="155"/>
      <c r="M1024" s="155"/>
      <c r="N1024" s="155"/>
      <c r="O1024" s="155"/>
      <c r="P1024" s="155"/>
      <c r="Q1024" s="157"/>
    </row>
    <row r="1025" spans="1:17" ht="15" thickBot="1" x14ac:dyDescent="0.4">
      <c r="A1025" s="168"/>
      <c r="B1025" s="171"/>
      <c r="C1025" s="148" t="s">
        <v>1089</v>
      </c>
      <c r="D1025" s="171"/>
      <c r="E1025" s="158"/>
      <c r="F1025" s="158"/>
      <c r="G1025" s="158"/>
      <c r="H1025" s="158"/>
      <c r="I1025" s="158"/>
      <c r="J1025" s="158"/>
      <c r="K1025" s="158"/>
      <c r="L1025" s="158"/>
      <c r="M1025" s="158"/>
      <c r="N1025" s="158"/>
      <c r="O1025" s="158"/>
      <c r="P1025" s="158"/>
      <c r="Q1025" s="159"/>
    </row>
    <row r="1026" spans="1:17" x14ac:dyDescent="0.35">
      <c r="A1026" s="166"/>
      <c r="B1026" s="169">
        <v>342</v>
      </c>
      <c r="C1026" s="147"/>
      <c r="D1026" s="169"/>
      <c r="E1026" s="154">
        <v>166</v>
      </c>
      <c r="F1026" s="154">
        <v>1</v>
      </c>
      <c r="G1026" s="154">
        <v>1</v>
      </c>
      <c r="H1026" s="154">
        <v>22</v>
      </c>
      <c r="I1026" s="154">
        <v>0</v>
      </c>
      <c r="J1026" s="154">
        <v>0</v>
      </c>
      <c r="K1026" s="154">
        <v>0</v>
      </c>
      <c r="L1026" s="154">
        <v>0</v>
      </c>
      <c r="M1026" s="154">
        <v>0</v>
      </c>
      <c r="N1026" s="154">
        <v>0</v>
      </c>
      <c r="O1026" s="154">
        <v>0</v>
      </c>
      <c r="P1026" s="154">
        <v>0</v>
      </c>
      <c r="Q1026" s="156">
        <v>13.9</v>
      </c>
    </row>
    <row r="1027" spans="1:17" x14ac:dyDescent="0.35">
      <c r="A1027" s="167"/>
      <c r="B1027" s="170"/>
      <c r="C1027" s="151" t="s">
        <v>1428</v>
      </c>
      <c r="D1027" s="170"/>
      <c r="E1027" s="155"/>
      <c r="F1027" s="155"/>
      <c r="G1027" s="155"/>
      <c r="H1027" s="155"/>
      <c r="I1027" s="155"/>
      <c r="J1027" s="155"/>
      <c r="K1027" s="155"/>
      <c r="L1027" s="155"/>
      <c r="M1027" s="155"/>
      <c r="N1027" s="155"/>
      <c r="O1027" s="155"/>
      <c r="P1027" s="155"/>
      <c r="Q1027" s="157"/>
    </row>
    <row r="1028" spans="1:17" ht="15" thickBot="1" x14ac:dyDescent="0.4">
      <c r="A1028" s="168"/>
      <c r="B1028" s="171"/>
      <c r="C1028" s="148" t="s">
        <v>1105</v>
      </c>
      <c r="D1028" s="171"/>
      <c r="E1028" s="158"/>
      <c r="F1028" s="158"/>
      <c r="G1028" s="158"/>
      <c r="H1028" s="158"/>
      <c r="I1028" s="158"/>
      <c r="J1028" s="158"/>
      <c r="K1028" s="158"/>
      <c r="L1028" s="158"/>
      <c r="M1028" s="158"/>
      <c r="N1028" s="158"/>
      <c r="O1028" s="158"/>
      <c r="P1028" s="158"/>
      <c r="Q1028" s="159"/>
    </row>
    <row r="1029" spans="1:17" x14ac:dyDescent="0.35">
      <c r="A1029" s="166"/>
      <c r="B1029" s="169">
        <v>343</v>
      </c>
      <c r="C1029" s="147"/>
      <c r="D1029" s="169"/>
      <c r="E1029" s="154">
        <v>649</v>
      </c>
      <c r="F1029" s="154">
        <v>3</v>
      </c>
      <c r="G1029" s="154">
        <v>3</v>
      </c>
      <c r="H1029" s="154">
        <v>28</v>
      </c>
      <c r="I1029" s="154">
        <v>0</v>
      </c>
      <c r="J1029" s="154">
        <v>0</v>
      </c>
      <c r="K1029" s="154">
        <v>0</v>
      </c>
      <c r="L1029" s="154">
        <v>0</v>
      </c>
      <c r="M1029" s="154">
        <v>0</v>
      </c>
      <c r="N1029" s="154">
        <v>0</v>
      </c>
      <c r="O1029" s="154">
        <v>0</v>
      </c>
      <c r="P1029" s="154">
        <v>0</v>
      </c>
      <c r="Q1029" s="156">
        <v>36.6</v>
      </c>
    </row>
    <row r="1030" spans="1:17" x14ac:dyDescent="0.35">
      <c r="A1030" s="167"/>
      <c r="B1030" s="170"/>
      <c r="C1030" s="151" t="s">
        <v>1427</v>
      </c>
      <c r="D1030" s="170"/>
      <c r="E1030" s="155"/>
      <c r="F1030" s="155"/>
      <c r="G1030" s="155"/>
      <c r="H1030" s="155"/>
      <c r="I1030" s="155"/>
      <c r="J1030" s="155"/>
      <c r="K1030" s="155"/>
      <c r="L1030" s="155"/>
      <c r="M1030" s="155"/>
      <c r="N1030" s="155"/>
      <c r="O1030" s="155"/>
      <c r="P1030" s="155"/>
      <c r="Q1030" s="157"/>
    </row>
    <row r="1031" spans="1:17" ht="15" thickBot="1" x14ac:dyDescent="0.4">
      <c r="A1031" s="168"/>
      <c r="B1031" s="171"/>
      <c r="C1031" s="148" t="s">
        <v>1086</v>
      </c>
      <c r="D1031" s="171"/>
      <c r="E1031" s="158"/>
      <c r="F1031" s="158"/>
      <c r="G1031" s="158"/>
      <c r="H1031" s="158"/>
      <c r="I1031" s="158"/>
      <c r="J1031" s="158"/>
      <c r="K1031" s="158"/>
      <c r="L1031" s="158"/>
      <c r="M1031" s="158"/>
      <c r="N1031" s="158"/>
      <c r="O1031" s="158"/>
      <c r="P1031" s="158"/>
      <c r="Q1031" s="159"/>
    </row>
    <row r="1032" spans="1:17" x14ac:dyDescent="0.35">
      <c r="A1032" s="166"/>
      <c r="B1032" s="169">
        <v>344</v>
      </c>
      <c r="C1032" s="147"/>
      <c r="D1032" s="169"/>
      <c r="E1032" s="154">
        <v>416</v>
      </c>
      <c r="F1032" s="154">
        <v>2</v>
      </c>
      <c r="G1032" s="154">
        <v>2</v>
      </c>
      <c r="H1032" s="154">
        <v>15</v>
      </c>
      <c r="I1032" s="154">
        <v>0</v>
      </c>
      <c r="J1032" s="154">
        <v>0</v>
      </c>
      <c r="K1032" s="154">
        <v>0</v>
      </c>
      <c r="L1032" s="154">
        <v>0</v>
      </c>
      <c r="M1032" s="154">
        <v>0</v>
      </c>
      <c r="N1032" s="154">
        <v>0</v>
      </c>
      <c r="O1032" s="154">
        <v>0</v>
      </c>
      <c r="P1032" s="154">
        <v>0</v>
      </c>
      <c r="Q1032" s="156">
        <v>22.5</v>
      </c>
    </row>
    <row r="1033" spans="1:17" x14ac:dyDescent="0.35">
      <c r="A1033" s="167"/>
      <c r="B1033" s="170"/>
      <c r="C1033" s="151" t="s">
        <v>1551</v>
      </c>
      <c r="D1033" s="170"/>
      <c r="E1033" s="155"/>
      <c r="F1033" s="155"/>
      <c r="G1033" s="155"/>
      <c r="H1033" s="155"/>
      <c r="I1033" s="155"/>
      <c r="J1033" s="155"/>
      <c r="K1033" s="155"/>
      <c r="L1033" s="155"/>
      <c r="M1033" s="155"/>
      <c r="N1033" s="155"/>
      <c r="O1033" s="155"/>
      <c r="P1033" s="155"/>
      <c r="Q1033" s="157"/>
    </row>
    <row r="1034" spans="1:17" ht="15" thickBot="1" x14ac:dyDescent="0.4">
      <c r="A1034" s="168"/>
      <c r="B1034" s="171"/>
      <c r="C1034" s="148" t="s">
        <v>1404</v>
      </c>
      <c r="D1034" s="171"/>
      <c r="E1034" s="158"/>
      <c r="F1034" s="158"/>
      <c r="G1034" s="158"/>
      <c r="H1034" s="158"/>
      <c r="I1034" s="158"/>
      <c r="J1034" s="158"/>
      <c r="K1034" s="158"/>
      <c r="L1034" s="158"/>
      <c r="M1034" s="158"/>
      <c r="N1034" s="158"/>
      <c r="O1034" s="158"/>
      <c r="P1034" s="158"/>
      <c r="Q1034" s="159"/>
    </row>
    <row r="1035" spans="1:17" x14ac:dyDescent="0.35">
      <c r="A1035" s="166"/>
      <c r="B1035" s="169">
        <v>345</v>
      </c>
      <c r="C1035" s="147"/>
      <c r="D1035" s="169"/>
      <c r="E1035" s="154">
        <v>409</v>
      </c>
      <c r="F1035" s="154">
        <v>3</v>
      </c>
      <c r="G1035" s="154">
        <v>2</v>
      </c>
      <c r="H1035" s="154">
        <v>23</v>
      </c>
      <c r="I1035" s="154">
        <v>0</v>
      </c>
      <c r="J1035" s="154">
        <v>0</v>
      </c>
      <c r="K1035" s="154">
        <v>0</v>
      </c>
      <c r="L1035" s="154">
        <v>0</v>
      </c>
      <c r="M1035" s="154">
        <v>0</v>
      </c>
      <c r="N1035" s="154">
        <v>0</v>
      </c>
      <c r="O1035" s="154">
        <v>0</v>
      </c>
      <c r="P1035" s="154">
        <v>0</v>
      </c>
      <c r="Q1035" s="156">
        <v>27.1</v>
      </c>
    </row>
    <row r="1036" spans="1:17" x14ac:dyDescent="0.35">
      <c r="A1036" s="167"/>
      <c r="B1036" s="170"/>
      <c r="C1036" s="151" t="s">
        <v>918</v>
      </c>
      <c r="D1036" s="170"/>
      <c r="E1036" s="155"/>
      <c r="F1036" s="155"/>
      <c r="G1036" s="155"/>
      <c r="H1036" s="155"/>
      <c r="I1036" s="155"/>
      <c r="J1036" s="155"/>
      <c r="K1036" s="155"/>
      <c r="L1036" s="155"/>
      <c r="M1036" s="155"/>
      <c r="N1036" s="155"/>
      <c r="O1036" s="155"/>
      <c r="P1036" s="155"/>
      <c r="Q1036" s="157"/>
    </row>
    <row r="1037" spans="1:17" ht="15" thickBot="1" x14ac:dyDescent="0.4">
      <c r="A1037" s="168"/>
      <c r="B1037" s="171"/>
      <c r="C1037" s="148" t="s">
        <v>1100</v>
      </c>
      <c r="D1037" s="171"/>
      <c r="E1037" s="158"/>
      <c r="F1037" s="158"/>
      <c r="G1037" s="158"/>
      <c r="H1037" s="158"/>
      <c r="I1037" s="158"/>
      <c r="J1037" s="158"/>
      <c r="K1037" s="158"/>
      <c r="L1037" s="158"/>
      <c r="M1037" s="158"/>
      <c r="N1037" s="158"/>
      <c r="O1037" s="158"/>
      <c r="P1037" s="158"/>
      <c r="Q1037" s="159"/>
    </row>
    <row r="1038" spans="1:17" x14ac:dyDescent="0.35">
      <c r="A1038" s="166"/>
      <c r="B1038" s="169">
        <v>346</v>
      </c>
      <c r="C1038" s="147"/>
      <c r="D1038" s="169"/>
      <c r="E1038" s="154">
        <v>81</v>
      </c>
      <c r="F1038" s="154">
        <v>0</v>
      </c>
      <c r="G1038" s="154">
        <v>0</v>
      </c>
      <c r="H1038" s="154">
        <v>8</v>
      </c>
      <c r="I1038" s="154">
        <v>0</v>
      </c>
      <c r="J1038" s="154">
        <v>0</v>
      </c>
      <c r="K1038" s="154">
        <v>0</v>
      </c>
      <c r="L1038" s="154">
        <v>0</v>
      </c>
      <c r="M1038" s="154">
        <v>0</v>
      </c>
      <c r="N1038" s="154">
        <v>0</v>
      </c>
      <c r="O1038" s="154">
        <v>0</v>
      </c>
      <c r="P1038" s="154">
        <v>0</v>
      </c>
      <c r="Q1038" s="156">
        <v>5.4</v>
      </c>
    </row>
    <row r="1039" spans="1:17" x14ac:dyDescent="0.35">
      <c r="A1039" s="167"/>
      <c r="B1039" s="170"/>
      <c r="C1039" s="151" t="s">
        <v>1335</v>
      </c>
      <c r="D1039" s="170"/>
      <c r="E1039" s="155"/>
      <c r="F1039" s="155"/>
      <c r="G1039" s="155"/>
      <c r="H1039" s="155"/>
      <c r="I1039" s="155"/>
      <c r="J1039" s="155"/>
      <c r="K1039" s="155"/>
      <c r="L1039" s="155"/>
      <c r="M1039" s="155"/>
      <c r="N1039" s="155"/>
      <c r="O1039" s="155"/>
      <c r="P1039" s="155"/>
      <c r="Q1039" s="157"/>
    </row>
    <row r="1040" spans="1:17" ht="15" thickBot="1" x14ac:dyDescent="0.4">
      <c r="A1040" s="168"/>
      <c r="B1040" s="171"/>
      <c r="C1040" s="148" t="s">
        <v>1417</v>
      </c>
      <c r="D1040" s="171"/>
      <c r="E1040" s="158"/>
      <c r="F1040" s="158"/>
      <c r="G1040" s="158"/>
      <c r="H1040" s="158"/>
      <c r="I1040" s="158"/>
      <c r="J1040" s="158"/>
      <c r="K1040" s="158"/>
      <c r="L1040" s="158"/>
      <c r="M1040" s="158"/>
      <c r="N1040" s="158"/>
      <c r="O1040" s="158"/>
      <c r="P1040" s="158"/>
      <c r="Q1040" s="159"/>
    </row>
    <row r="1041" spans="1:17" x14ac:dyDescent="0.35">
      <c r="A1041" s="166"/>
      <c r="B1041" s="169">
        <v>347</v>
      </c>
      <c r="C1041" s="147"/>
      <c r="D1041" s="169"/>
      <c r="E1041" s="154">
        <v>91</v>
      </c>
      <c r="F1041" s="154">
        <v>1</v>
      </c>
      <c r="G1041" s="154">
        <v>1</v>
      </c>
      <c r="H1041" s="154">
        <v>2</v>
      </c>
      <c r="I1041" s="154">
        <v>0</v>
      </c>
      <c r="J1041" s="154">
        <v>0</v>
      </c>
      <c r="K1041" s="154">
        <v>0</v>
      </c>
      <c r="L1041" s="154">
        <v>0</v>
      </c>
      <c r="M1041" s="154">
        <v>0</v>
      </c>
      <c r="N1041" s="154">
        <v>0</v>
      </c>
      <c r="O1041" s="154">
        <v>0</v>
      </c>
      <c r="P1041" s="154">
        <v>0</v>
      </c>
      <c r="Q1041" s="156">
        <v>5.4</v>
      </c>
    </row>
    <row r="1042" spans="1:17" x14ac:dyDescent="0.35">
      <c r="A1042" s="167"/>
      <c r="B1042" s="170"/>
      <c r="C1042" s="151" t="s">
        <v>1381</v>
      </c>
      <c r="D1042" s="170"/>
      <c r="E1042" s="155"/>
      <c r="F1042" s="155"/>
      <c r="G1042" s="155"/>
      <c r="H1042" s="155"/>
      <c r="I1042" s="155"/>
      <c r="J1042" s="155"/>
      <c r="K1042" s="155"/>
      <c r="L1042" s="155"/>
      <c r="M1042" s="155"/>
      <c r="N1042" s="155"/>
      <c r="O1042" s="155"/>
      <c r="P1042" s="155"/>
      <c r="Q1042" s="157"/>
    </row>
    <row r="1043" spans="1:17" ht="15" thickBot="1" x14ac:dyDescent="0.4">
      <c r="A1043" s="168"/>
      <c r="B1043" s="171"/>
      <c r="C1043" s="148" t="s">
        <v>1077</v>
      </c>
      <c r="D1043" s="171"/>
      <c r="E1043" s="158"/>
      <c r="F1043" s="158"/>
      <c r="G1043" s="158"/>
      <c r="H1043" s="158"/>
      <c r="I1043" s="158"/>
      <c r="J1043" s="158"/>
      <c r="K1043" s="158"/>
      <c r="L1043" s="158"/>
      <c r="M1043" s="158"/>
      <c r="N1043" s="158"/>
      <c r="O1043" s="158"/>
      <c r="P1043" s="158"/>
      <c r="Q1043" s="159"/>
    </row>
    <row r="1044" spans="1:17" x14ac:dyDescent="0.35">
      <c r="A1044" s="166"/>
      <c r="B1044" s="169">
        <v>348</v>
      </c>
      <c r="C1044" s="147"/>
      <c r="D1044" s="169"/>
      <c r="E1044" s="154">
        <v>323</v>
      </c>
      <c r="F1044" s="154">
        <v>2</v>
      </c>
      <c r="G1044" s="154">
        <v>2</v>
      </c>
      <c r="H1044" s="154">
        <v>8</v>
      </c>
      <c r="I1044" s="154">
        <v>0</v>
      </c>
      <c r="J1044" s="154">
        <v>0</v>
      </c>
      <c r="K1044" s="154">
        <v>0</v>
      </c>
      <c r="L1044" s="154">
        <v>0</v>
      </c>
      <c r="M1044" s="154">
        <v>0</v>
      </c>
      <c r="N1044" s="154">
        <v>0</v>
      </c>
      <c r="O1044" s="154">
        <v>0</v>
      </c>
      <c r="P1044" s="154">
        <v>0</v>
      </c>
      <c r="Q1044" s="156">
        <v>19.899999999999999</v>
      </c>
    </row>
    <row r="1045" spans="1:17" x14ac:dyDescent="0.35">
      <c r="A1045" s="167"/>
      <c r="B1045" s="170"/>
      <c r="C1045" s="151" t="s">
        <v>1429</v>
      </c>
      <c r="D1045" s="170"/>
      <c r="E1045" s="155"/>
      <c r="F1045" s="155"/>
      <c r="G1045" s="155"/>
      <c r="H1045" s="155"/>
      <c r="I1045" s="155"/>
      <c r="J1045" s="155"/>
      <c r="K1045" s="155"/>
      <c r="L1045" s="155"/>
      <c r="M1045" s="155"/>
      <c r="N1045" s="155"/>
      <c r="O1045" s="155"/>
      <c r="P1045" s="155"/>
      <c r="Q1045" s="157"/>
    </row>
    <row r="1046" spans="1:17" ht="15" thickBot="1" x14ac:dyDescent="0.4">
      <c r="A1046" s="168"/>
      <c r="B1046" s="171"/>
      <c r="C1046" s="148" t="s">
        <v>1150</v>
      </c>
      <c r="D1046" s="171"/>
      <c r="E1046" s="158"/>
      <c r="F1046" s="158"/>
      <c r="G1046" s="158"/>
      <c r="H1046" s="158"/>
      <c r="I1046" s="158"/>
      <c r="J1046" s="158"/>
      <c r="K1046" s="158"/>
      <c r="L1046" s="158"/>
      <c r="M1046" s="158"/>
      <c r="N1046" s="158"/>
      <c r="O1046" s="158"/>
      <c r="P1046" s="158"/>
      <c r="Q1046" s="159"/>
    </row>
    <row r="1047" spans="1:17" x14ac:dyDescent="0.35">
      <c r="A1047" s="166"/>
      <c r="B1047" s="169">
        <v>349</v>
      </c>
      <c r="C1047" s="147"/>
      <c r="D1047" s="169"/>
      <c r="E1047" s="154">
        <v>177</v>
      </c>
      <c r="F1047" s="154">
        <v>1</v>
      </c>
      <c r="G1047" s="154">
        <v>1</v>
      </c>
      <c r="H1047" s="154">
        <v>0</v>
      </c>
      <c r="I1047" s="154">
        <v>0</v>
      </c>
      <c r="J1047" s="154">
        <v>0</v>
      </c>
      <c r="K1047" s="154">
        <v>0</v>
      </c>
      <c r="L1047" s="154">
        <v>0</v>
      </c>
      <c r="M1047" s="154">
        <v>0</v>
      </c>
      <c r="N1047" s="154">
        <v>0</v>
      </c>
      <c r="O1047" s="154">
        <v>0</v>
      </c>
      <c r="P1047" s="154">
        <v>0</v>
      </c>
      <c r="Q1047" s="156">
        <v>10.5</v>
      </c>
    </row>
    <row r="1048" spans="1:17" x14ac:dyDescent="0.35">
      <c r="A1048" s="167"/>
      <c r="B1048" s="170"/>
      <c r="C1048" s="151" t="s">
        <v>750</v>
      </c>
      <c r="D1048" s="170"/>
      <c r="E1048" s="155"/>
      <c r="F1048" s="155"/>
      <c r="G1048" s="155"/>
      <c r="H1048" s="155"/>
      <c r="I1048" s="155"/>
      <c r="J1048" s="155"/>
      <c r="K1048" s="155"/>
      <c r="L1048" s="155"/>
      <c r="M1048" s="155"/>
      <c r="N1048" s="155"/>
      <c r="O1048" s="155"/>
      <c r="P1048" s="155"/>
      <c r="Q1048" s="157"/>
    </row>
    <row r="1049" spans="1:17" ht="15" thickBot="1" x14ac:dyDescent="0.4">
      <c r="A1049" s="168"/>
      <c r="B1049" s="171"/>
      <c r="C1049" s="148" t="s">
        <v>1169</v>
      </c>
      <c r="D1049" s="171"/>
      <c r="E1049" s="158"/>
      <c r="F1049" s="158"/>
      <c r="G1049" s="158"/>
      <c r="H1049" s="158"/>
      <c r="I1049" s="158"/>
      <c r="J1049" s="158"/>
      <c r="K1049" s="158"/>
      <c r="L1049" s="158"/>
      <c r="M1049" s="158"/>
      <c r="N1049" s="158"/>
      <c r="O1049" s="158"/>
      <c r="P1049" s="158"/>
      <c r="Q1049" s="159"/>
    </row>
    <row r="1050" spans="1:17" x14ac:dyDescent="0.35">
      <c r="A1050" s="166"/>
      <c r="B1050" s="169">
        <v>350</v>
      </c>
      <c r="C1050" s="147"/>
      <c r="D1050" s="169"/>
      <c r="E1050" s="154">
        <v>0</v>
      </c>
      <c r="F1050" s="154">
        <v>0</v>
      </c>
      <c r="G1050" s="154">
        <v>0</v>
      </c>
      <c r="H1050" s="154">
        <v>0</v>
      </c>
      <c r="I1050" s="154">
        <v>0</v>
      </c>
      <c r="J1050" s="154">
        <v>0</v>
      </c>
      <c r="K1050" s="154">
        <v>0</v>
      </c>
      <c r="L1050" s="154">
        <v>0</v>
      </c>
      <c r="M1050" s="154">
        <v>0</v>
      </c>
      <c r="N1050" s="154">
        <v>0</v>
      </c>
      <c r="O1050" s="154">
        <v>0</v>
      </c>
      <c r="P1050" s="154">
        <v>0</v>
      </c>
      <c r="Q1050" s="156">
        <v>119.5</v>
      </c>
    </row>
    <row r="1051" spans="1:17" x14ac:dyDescent="0.35">
      <c r="A1051" s="167"/>
      <c r="B1051" s="170"/>
      <c r="C1051" s="151" t="s">
        <v>1482</v>
      </c>
      <c r="D1051" s="170"/>
      <c r="E1051" s="155"/>
      <c r="F1051" s="155"/>
      <c r="G1051" s="155"/>
      <c r="H1051" s="155"/>
      <c r="I1051" s="155"/>
      <c r="J1051" s="155"/>
      <c r="K1051" s="155"/>
      <c r="L1051" s="155"/>
      <c r="M1051" s="155"/>
      <c r="N1051" s="155"/>
      <c r="O1051" s="155"/>
      <c r="P1051" s="155"/>
      <c r="Q1051" s="157"/>
    </row>
    <row r="1052" spans="1:17" ht="15" thickBot="1" x14ac:dyDescent="0.4">
      <c r="A1052" s="168"/>
      <c r="B1052" s="171"/>
      <c r="C1052" s="148" t="s">
        <v>1439</v>
      </c>
      <c r="D1052" s="171"/>
      <c r="E1052" s="158"/>
      <c r="F1052" s="158"/>
      <c r="G1052" s="158"/>
      <c r="H1052" s="158"/>
      <c r="I1052" s="158"/>
      <c r="J1052" s="158"/>
      <c r="K1052" s="158"/>
      <c r="L1052" s="158"/>
      <c r="M1052" s="158"/>
      <c r="N1052" s="158"/>
      <c r="O1052" s="158"/>
      <c r="P1052" s="158"/>
      <c r="Q1052" s="159"/>
    </row>
    <row r="1053" spans="1:17" x14ac:dyDescent="0.35">
      <c r="A1053" s="166"/>
      <c r="B1053" s="169">
        <v>351</v>
      </c>
      <c r="C1053" s="147"/>
      <c r="D1053" s="169"/>
      <c r="E1053" s="154">
        <v>0</v>
      </c>
      <c r="F1053" s="154">
        <v>0</v>
      </c>
      <c r="G1053" s="154">
        <v>0</v>
      </c>
      <c r="H1053" s="154">
        <v>0</v>
      </c>
      <c r="I1053" s="154">
        <v>0</v>
      </c>
      <c r="J1053" s="154">
        <v>0</v>
      </c>
      <c r="K1053" s="154">
        <v>0</v>
      </c>
      <c r="L1053" s="154">
        <v>0</v>
      </c>
      <c r="M1053" s="154">
        <v>0</v>
      </c>
      <c r="N1053" s="154">
        <v>0</v>
      </c>
      <c r="O1053" s="154">
        <v>0</v>
      </c>
      <c r="P1053" s="154">
        <v>0</v>
      </c>
      <c r="Q1053" s="156">
        <v>116.9</v>
      </c>
    </row>
    <row r="1054" spans="1:17" x14ac:dyDescent="0.35">
      <c r="A1054" s="167"/>
      <c r="B1054" s="170"/>
      <c r="C1054" s="151" t="s">
        <v>1227</v>
      </c>
      <c r="D1054" s="170"/>
      <c r="E1054" s="155"/>
      <c r="F1054" s="155"/>
      <c r="G1054" s="155"/>
      <c r="H1054" s="155"/>
      <c r="I1054" s="155"/>
      <c r="J1054" s="155"/>
      <c r="K1054" s="155"/>
      <c r="L1054" s="155"/>
      <c r="M1054" s="155"/>
      <c r="N1054" s="155"/>
      <c r="O1054" s="155"/>
      <c r="P1054" s="155"/>
      <c r="Q1054" s="157"/>
    </row>
    <row r="1055" spans="1:17" ht="15" thickBot="1" x14ac:dyDescent="0.4">
      <c r="A1055" s="168"/>
      <c r="B1055" s="171"/>
      <c r="C1055" s="148" t="s">
        <v>1421</v>
      </c>
      <c r="D1055" s="171"/>
      <c r="E1055" s="158"/>
      <c r="F1055" s="158"/>
      <c r="G1055" s="158"/>
      <c r="H1055" s="158"/>
      <c r="I1055" s="158"/>
      <c r="J1055" s="158"/>
      <c r="K1055" s="158"/>
      <c r="L1055" s="158"/>
      <c r="M1055" s="158"/>
      <c r="N1055" s="158"/>
      <c r="O1055" s="158"/>
      <c r="P1055" s="158"/>
      <c r="Q1055" s="159"/>
    </row>
    <row r="1056" spans="1:17" x14ac:dyDescent="0.35">
      <c r="A1056" s="166"/>
      <c r="B1056" s="169">
        <v>352</v>
      </c>
      <c r="C1056" s="147"/>
      <c r="D1056" s="169"/>
      <c r="E1056" s="154">
        <v>0</v>
      </c>
      <c r="F1056" s="154">
        <v>0</v>
      </c>
      <c r="G1056" s="154">
        <v>0</v>
      </c>
      <c r="H1056" s="154">
        <v>0</v>
      </c>
      <c r="I1056" s="154">
        <v>0</v>
      </c>
      <c r="J1056" s="154">
        <v>0</v>
      </c>
      <c r="K1056" s="154">
        <v>0</v>
      </c>
      <c r="L1056" s="154">
        <v>0</v>
      </c>
      <c r="M1056" s="154">
        <v>0</v>
      </c>
      <c r="N1056" s="154">
        <v>0</v>
      </c>
      <c r="O1056" s="154">
        <v>0</v>
      </c>
      <c r="P1056" s="154">
        <v>0</v>
      </c>
      <c r="Q1056" s="156">
        <v>117.4</v>
      </c>
    </row>
    <row r="1057" spans="1:17" x14ac:dyDescent="0.35">
      <c r="A1057" s="167"/>
      <c r="B1057" s="170"/>
      <c r="C1057" s="151" t="s">
        <v>606</v>
      </c>
      <c r="D1057" s="170"/>
      <c r="E1057" s="155"/>
      <c r="F1057" s="155"/>
      <c r="G1057" s="155"/>
      <c r="H1057" s="155"/>
      <c r="I1057" s="155"/>
      <c r="J1057" s="155"/>
      <c r="K1057" s="155"/>
      <c r="L1057" s="155"/>
      <c r="M1057" s="155"/>
      <c r="N1057" s="155"/>
      <c r="O1057" s="155"/>
      <c r="P1057" s="155"/>
      <c r="Q1057" s="157"/>
    </row>
    <row r="1058" spans="1:17" ht="15" thickBot="1" x14ac:dyDescent="0.4">
      <c r="A1058" s="168"/>
      <c r="B1058" s="171"/>
      <c r="C1058" s="148" t="s">
        <v>1432</v>
      </c>
      <c r="D1058" s="171"/>
      <c r="E1058" s="158"/>
      <c r="F1058" s="158"/>
      <c r="G1058" s="158"/>
      <c r="H1058" s="158"/>
      <c r="I1058" s="158"/>
      <c r="J1058" s="158"/>
      <c r="K1058" s="158"/>
      <c r="L1058" s="158"/>
      <c r="M1058" s="158"/>
      <c r="N1058" s="158"/>
      <c r="O1058" s="158"/>
      <c r="P1058" s="158"/>
      <c r="Q1058" s="159"/>
    </row>
    <row r="1059" spans="1:17" x14ac:dyDescent="0.35">
      <c r="A1059" s="166"/>
      <c r="B1059" s="169">
        <v>353</v>
      </c>
      <c r="C1059" s="147"/>
      <c r="D1059" s="169"/>
      <c r="E1059" s="154">
        <v>0</v>
      </c>
      <c r="F1059" s="154">
        <v>0</v>
      </c>
      <c r="G1059" s="154">
        <v>0</v>
      </c>
      <c r="H1059" s="154">
        <v>0</v>
      </c>
      <c r="I1059" s="154">
        <v>0</v>
      </c>
      <c r="J1059" s="154">
        <v>0</v>
      </c>
      <c r="K1059" s="154">
        <v>0</v>
      </c>
      <c r="L1059" s="154">
        <v>0</v>
      </c>
      <c r="M1059" s="154">
        <v>0</v>
      </c>
      <c r="N1059" s="154">
        <v>0</v>
      </c>
      <c r="O1059" s="154">
        <v>0</v>
      </c>
      <c r="P1059" s="154">
        <v>0</v>
      </c>
      <c r="Q1059" s="156">
        <v>117.1</v>
      </c>
    </row>
    <row r="1060" spans="1:17" x14ac:dyDescent="0.35">
      <c r="A1060" s="167"/>
      <c r="B1060" s="170"/>
      <c r="C1060" s="151" t="s">
        <v>1552</v>
      </c>
      <c r="D1060" s="170"/>
      <c r="E1060" s="155"/>
      <c r="F1060" s="155"/>
      <c r="G1060" s="155"/>
      <c r="H1060" s="155"/>
      <c r="I1060" s="155"/>
      <c r="J1060" s="155"/>
      <c r="K1060" s="155"/>
      <c r="L1060" s="155"/>
      <c r="M1060" s="155"/>
      <c r="N1060" s="155"/>
      <c r="O1060" s="155"/>
      <c r="P1060" s="155"/>
      <c r="Q1060" s="157"/>
    </row>
    <row r="1061" spans="1:17" ht="15" thickBot="1" x14ac:dyDescent="0.4">
      <c r="A1061" s="168"/>
      <c r="B1061" s="171"/>
      <c r="C1061" s="148" t="s">
        <v>1396</v>
      </c>
      <c r="D1061" s="171"/>
      <c r="E1061" s="158"/>
      <c r="F1061" s="158"/>
      <c r="G1061" s="158"/>
      <c r="H1061" s="158"/>
      <c r="I1061" s="158"/>
      <c r="J1061" s="158"/>
      <c r="K1061" s="158"/>
      <c r="L1061" s="158"/>
      <c r="M1061" s="158"/>
      <c r="N1061" s="158"/>
      <c r="O1061" s="158"/>
      <c r="P1061" s="158"/>
      <c r="Q1061" s="159"/>
    </row>
    <row r="1062" spans="1:17" x14ac:dyDescent="0.35">
      <c r="A1062" s="166"/>
      <c r="B1062" s="169">
        <v>354</v>
      </c>
      <c r="C1062" s="147"/>
      <c r="D1062" s="169"/>
      <c r="E1062" s="154">
        <v>0</v>
      </c>
      <c r="F1062" s="154">
        <v>0</v>
      </c>
      <c r="G1062" s="154">
        <v>0</v>
      </c>
      <c r="H1062" s="154">
        <v>0</v>
      </c>
      <c r="I1062" s="154">
        <v>0</v>
      </c>
      <c r="J1062" s="154">
        <v>0</v>
      </c>
      <c r="K1062" s="154">
        <v>0</v>
      </c>
      <c r="L1062" s="154">
        <v>0</v>
      </c>
      <c r="M1062" s="154">
        <v>0</v>
      </c>
      <c r="N1062" s="154">
        <v>0</v>
      </c>
      <c r="O1062" s="154">
        <v>0</v>
      </c>
      <c r="P1062" s="154">
        <v>0</v>
      </c>
      <c r="Q1062" s="156">
        <v>118.3</v>
      </c>
    </row>
    <row r="1063" spans="1:17" x14ac:dyDescent="0.35">
      <c r="A1063" s="167"/>
      <c r="B1063" s="170"/>
      <c r="C1063" s="151" t="s">
        <v>562</v>
      </c>
      <c r="D1063" s="170"/>
      <c r="E1063" s="155"/>
      <c r="F1063" s="155"/>
      <c r="G1063" s="155"/>
      <c r="H1063" s="155"/>
      <c r="I1063" s="155"/>
      <c r="J1063" s="155"/>
      <c r="K1063" s="155"/>
      <c r="L1063" s="155"/>
      <c r="M1063" s="155"/>
      <c r="N1063" s="155"/>
      <c r="O1063" s="155"/>
      <c r="P1063" s="155"/>
      <c r="Q1063" s="157"/>
    </row>
    <row r="1064" spans="1:17" ht="15" thickBot="1" x14ac:dyDescent="0.4">
      <c r="A1064" s="168"/>
      <c r="B1064" s="171"/>
      <c r="C1064" s="148" t="s">
        <v>1431</v>
      </c>
      <c r="D1064" s="171"/>
      <c r="E1064" s="158"/>
      <c r="F1064" s="158"/>
      <c r="G1064" s="158"/>
      <c r="H1064" s="158"/>
      <c r="I1064" s="158"/>
      <c r="J1064" s="158"/>
      <c r="K1064" s="158"/>
      <c r="L1064" s="158"/>
      <c r="M1064" s="158"/>
      <c r="N1064" s="158"/>
      <c r="O1064" s="158"/>
      <c r="P1064" s="158"/>
      <c r="Q1064" s="159"/>
    </row>
    <row r="1065" spans="1:17" x14ac:dyDescent="0.35">
      <c r="A1065" s="166"/>
      <c r="B1065" s="169">
        <v>355</v>
      </c>
      <c r="C1065" s="147"/>
      <c r="D1065" s="169"/>
      <c r="E1065" s="154">
        <v>0</v>
      </c>
      <c r="F1065" s="154">
        <v>0</v>
      </c>
      <c r="G1065" s="154">
        <v>0</v>
      </c>
      <c r="H1065" s="154">
        <v>0</v>
      </c>
      <c r="I1065" s="154">
        <v>0</v>
      </c>
      <c r="J1065" s="154">
        <v>0</v>
      </c>
      <c r="K1065" s="154">
        <v>0</v>
      </c>
      <c r="L1065" s="154">
        <v>0</v>
      </c>
      <c r="M1065" s="154">
        <v>0</v>
      </c>
      <c r="N1065" s="154">
        <v>0</v>
      </c>
      <c r="O1065" s="154">
        <v>0</v>
      </c>
      <c r="P1065" s="154">
        <v>0</v>
      </c>
      <c r="Q1065" s="156">
        <v>114.9</v>
      </c>
    </row>
    <row r="1066" spans="1:17" x14ac:dyDescent="0.35">
      <c r="A1066" s="167"/>
      <c r="B1066" s="170"/>
      <c r="C1066" s="151" t="s">
        <v>530</v>
      </c>
      <c r="D1066" s="170"/>
      <c r="E1066" s="155"/>
      <c r="F1066" s="155"/>
      <c r="G1066" s="155"/>
      <c r="H1066" s="155"/>
      <c r="I1066" s="155"/>
      <c r="J1066" s="155"/>
      <c r="K1066" s="155"/>
      <c r="L1066" s="155"/>
      <c r="M1066" s="155"/>
      <c r="N1066" s="155"/>
      <c r="O1066" s="155"/>
      <c r="P1066" s="155"/>
      <c r="Q1066" s="157"/>
    </row>
    <row r="1067" spans="1:17" ht="15" thickBot="1" x14ac:dyDescent="0.4">
      <c r="A1067" s="168"/>
      <c r="B1067" s="171"/>
      <c r="C1067" s="148" t="s">
        <v>1143</v>
      </c>
      <c r="D1067" s="171"/>
      <c r="E1067" s="158"/>
      <c r="F1067" s="158"/>
      <c r="G1067" s="158"/>
      <c r="H1067" s="158"/>
      <c r="I1067" s="158"/>
      <c r="J1067" s="158"/>
      <c r="K1067" s="158"/>
      <c r="L1067" s="158"/>
      <c r="M1067" s="158"/>
      <c r="N1067" s="158"/>
      <c r="O1067" s="158"/>
      <c r="P1067" s="158"/>
      <c r="Q1067" s="159"/>
    </row>
    <row r="1068" spans="1:17" x14ac:dyDescent="0.35">
      <c r="A1068" s="166"/>
      <c r="B1068" s="169">
        <v>356</v>
      </c>
      <c r="C1068" s="147"/>
      <c r="D1068" s="169"/>
      <c r="E1068" s="154">
        <v>0</v>
      </c>
      <c r="F1068" s="154">
        <v>0</v>
      </c>
      <c r="G1068" s="154">
        <v>0</v>
      </c>
      <c r="H1068" s="154">
        <v>0</v>
      </c>
      <c r="I1068" s="154">
        <v>0</v>
      </c>
      <c r="J1068" s="154">
        <v>0</v>
      </c>
      <c r="K1068" s="154">
        <v>0</v>
      </c>
      <c r="L1068" s="154">
        <v>0</v>
      </c>
      <c r="M1068" s="154">
        <v>0</v>
      </c>
      <c r="N1068" s="154">
        <v>0</v>
      </c>
      <c r="O1068" s="154">
        <v>0</v>
      </c>
      <c r="P1068" s="154">
        <v>0</v>
      </c>
      <c r="Q1068" s="156">
        <v>111.1</v>
      </c>
    </row>
    <row r="1069" spans="1:17" x14ac:dyDescent="0.35">
      <c r="A1069" s="167"/>
      <c r="B1069" s="170"/>
      <c r="C1069" s="151" t="s">
        <v>451</v>
      </c>
      <c r="D1069" s="170"/>
      <c r="E1069" s="155"/>
      <c r="F1069" s="155"/>
      <c r="G1069" s="155"/>
      <c r="H1069" s="155"/>
      <c r="I1069" s="155"/>
      <c r="J1069" s="155"/>
      <c r="K1069" s="155"/>
      <c r="L1069" s="155"/>
      <c r="M1069" s="155"/>
      <c r="N1069" s="155"/>
      <c r="O1069" s="155"/>
      <c r="P1069" s="155"/>
      <c r="Q1069" s="157"/>
    </row>
    <row r="1070" spans="1:17" ht="15" thickBot="1" x14ac:dyDescent="0.4">
      <c r="A1070" s="168"/>
      <c r="B1070" s="171"/>
      <c r="C1070" s="148" t="s">
        <v>1175</v>
      </c>
      <c r="D1070" s="171"/>
      <c r="E1070" s="158"/>
      <c r="F1070" s="158"/>
      <c r="G1070" s="158"/>
      <c r="H1070" s="158"/>
      <c r="I1070" s="158"/>
      <c r="J1070" s="158"/>
      <c r="K1070" s="158"/>
      <c r="L1070" s="158"/>
      <c r="M1070" s="158"/>
      <c r="N1070" s="158"/>
      <c r="O1070" s="158"/>
      <c r="P1070" s="158"/>
      <c r="Q1070" s="159"/>
    </row>
    <row r="1071" spans="1:17" x14ac:dyDescent="0.35">
      <c r="A1071" s="166"/>
      <c r="B1071" s="169">
        <v>357</v>
      </c>
      <c r="C1071" s="147"/>
      <c r="D1071" s="169"/>
      <c r="E1071" s="154">
        <v>0</v>
      </c>
      <c r="F1071" s="154">
        <v>0</v>
      </c>
      <c r="G1071" s="154">
        <v>0</v>
      </c>
      <c r="H1071" s="154">
        <v>0</v>
      </c>
      <c r="I1071" s="154">
        <v>0</v>
      </c>
      <c r="J1071" s="154">
        <v>0</v>
      </c>
      <c r="K1071" s="154">
        <v>0</v>
      </c>
      <c r="L1071" s="154">
        <v>0</v>
      </c>
      <c r="M1071" s="154">
        <v>0</v>
      </c>
      <c r="N1071" s="154">
        <v>0</v>
      </c>
      <c r="O1071" s="154">
        <v>0</v>
      </c>
      <c r="P1071" s="154">
        <v>0</v>
      </c>
      <c r="Q1071" s="156">
        <v>113.1</v>
      </c>
    </row>
    <row r="1072" spans="1:17" x14ac:dyDescent="0.35">
      <c r="A1072" s="167"/>
      <c r="B1072" s="170"/>
      <c r="C1072" s="151" t="s">
        <v>746</v>
      </c>
      <c r="D1072" s="170"/>
      <c r="E1072" s="155"/>
      <c r="F1072" s="155"/>
      <c r="G1072" s="155"/>
      <c r="H1072" s="155"/>
      <c r="I1072" s="155"/>
      <c r="J1072" s="155"/>
      <c r="K1072" s="155"/>
      <c r="L1072" s="155"/>
      <c r="M1072" s="155"/>
      <c r="N1072" s="155"/>
      <c r="O1072" s="155"/>
      <c r="P1072" s="155"/>
      <c r="Q1072" s="157"/>
    </row>
    <row r="1073" spans="1:17" ht="15" thickBot="1" x14ac:dyDescent="0.4">
      <c r="A1073" s="168"/>
      <c r="B1073" s="171"/>
      <c r="C1073" s="148" t="s">
        <v>1433</v>
      </c>
      <c r="D1073" s="171"/>
      <c r="E1073" s="158"/>
      <c r="F1073" s="158"/>
      <c r="G1073" s="158"/>
      <c r="H1073" s="158"/>
      <c r="I1073" s="158"/>
      <c r="J1073" s="158"/>
      <c r="K1073" s="158"/>
      <c r="L1073" s="158"/>
      <c r="M1073" s="158"/>
      <c r="N1073" s="158"/>
      <c r="O1073" s="158"/>
      <c r="P1073" s="158"/>
      <c r="Q1073" s="159"/>
    </row>
    <row r="1074" spans="1:17" x14ac:dyDescent="0.35">
      <c r="A1074" s="166"/>
      <c r="B1074" s="169">
        <v>358</v>
      </c>
      <c r="C1074" s="147"/>
      <c r="D1074" s="169"/>
      <c r="E1074" s="154" t="s">
        <v>1543</v>
      </c>
      <c r="F1074" s="154" t="s">
        <v>1543</v>
      </c>
      <c r="G1074" s="154" t="s">
        <v>1543</v>
      </c>
      <c r="H1074" s="154" t="s">
        <v>1543</v>
      </c>
      <c r="I1074" s="154" t="s">
        <v>1543</v>
      </c>
      <c r="J1074" s="154" t="s">
        <v>1543</v>
      </c>
      <c r="K1074" s="154" t="s">
        <v>1543</v>
      </c>
      <c r="L1074" s="154" t="s">
        <v>1543</v>
      </c>
      <c r="M1074" s="154" t="s">
        <v>1543</v>
      </c>
      <c r="N1074" s="154" t="s">
        <v>1543</v>
      </c>
      <c r="O1074" s="154" t="s">
        <v>1543</v>
      </c>
      <c r="P1074" s="154" t="s">
        <v>1543</v>
      </c>
      <c r="Q1074" s="156">
        <v>0</v>
      </c>
    </row>
    <row r="1075" spans="1:17" x14ac:dyDescent="0.35">
      <c r="A1075" s="167"/>
      <c r="B1075" s="170"/>
      <c r="C1075" s="151" t="s">
        <v>1330</v>
      </c>
      <c r="D1075" s="170"/>
      <c r="E1075" s="155"/>
      <c r="F1075" s="155"/>
      <c r="G1075" s="155"/>
      <c r="H1075" s="155"/>
      <c r="I1075" s="155"/>
      <c r="J1075" s="155"/>
      <c r="K1075" s="155"/>
      <c r="L1075" s="155"/>
      <c r="M1075" s="155"/>
      <c r="N1075" s="155"/>
      <c r="O1075" s="155"/>
      <c r="P1075" s="155"/>
      <c r="Q1075" s="157"/>
    </row>
    <row r="1076" spans="1:17" ht="15" thickBot="1" x14ac:dyDescent="0.4">
      <c r="A1076" s="168"/>
      <c r="B1076" s="171"/>
      <c r="C1076" s="148" t="s">
        <v>1140</v>
      </c>
      <c r="D1076" s="171"/>
      <c r="E1076" s="158"/>
      <c r="F1076" s="158"/>
      <c r="G1076" s="158"/>
      <c r="H1076" s="158"/>
      <c r="I1076" s="158"/>
      <c r="J1076" s="158"/>
      <c r="K1076" s="158"/>
      <c r="L1076" s="158"/>
      <c r="M1076" s="158"/>
      <c r="N1076" s="158"/>
      <c r="O1076" s="158"/>
      <c r="P1076" s="158"/>
      <c r="Q1076" s="159"/>
    </row>
    <row r="1077" spans="1:17" x14ac:dyDescent="0.35">
      <c r="A1077" s="166"/>
      <c r="B1077" s="169">
        <v>359</v>
      </c>
      <c r="C1077" s="147"/>
      <c r="D1077" s="169"/>
      <c r="E1077" s="154">
        <v>0</v>
      </c>
      <c r="F1077" s="154">
        <v>0</v>
      </c>
      <c r="G1077" s="154">
        <v>0</v>
      </c>
      <c r="H1077" s="154">
        <v>0</v>
      </c>
      <c r="I1077" s="154">
        <v>0</v>
      </c>
      <c r="J1077" s="154">
        <v>0</v>
      </c>
      <c r="K1077" s="154">
        <v>0</v>
      </c>
      <c r="L1077" s="154">
        <v>0</v>
      </c>
      <c r="M1077" s="154">
        <v>0</v>
      </c>
      <c r="N1077" s="154">
        <v>0</v>
      </c>
      <c r="O1077" s="154">
        <v>0</v>
      </c>
      <c r="P1077" s="154">
        <v>0</v>
      </c>
      <c r="Q1077" s="156">
        <v>111.9</v>
      </c>
    </row>
    <row r="1078" spans="1:17" x14ac:dyDescent="0.35">
      <c r="A1078" s="167"/>
      <c r="B1078" s="170"/>
      <c r="C1078" s="151" t="s">
        <v>631</v>
      </c>
      <c r="D1078" s="170"/>
      <c r="E1078" s="155"/>
      <c r="F1078" s="155"/>
      <c r="G1078" s="155"/>
      <c r="H1078" s="155"/>
      <c r="I1078" s="155"/>
      <c r="J1078" s="155"/>
      <c r="K1078" s="155"/>
      <c r="L1078" s="155"/>
      <c r="M1078" s="155"/>
      <c r="N1078" s="155"/>
      <c r="O1078" s="155"/>
      <c r="P1078" s="155"/>
      <c r="Q1078" s="157"/>
    </row>
    <row r="1079" spans="1:17" ht="15" thickBot="1" x14ac:dyDescent="0.4">
      <c r="A1079" s="168"/>
      <c r="B1079" s="171"/>
      <c r="C1079" s="148" t="s">
        <v>1434</v>
      </c>
      <c r="D1079" s="171"/>
      <c r="E1079" s="158"/>
      <c r="F1079" s="158"/>
      <c r="G1079" s="158"/>
      <c r="H1079" s="158"/>
      <c r="I1079" s="158"/>
      <c r="J1079" s="158"/>
      <c r="K1079" s="158"/>
      <c r="L1079" s="158"/>
      <c r="M1079" s="158"/>
      <c r="N1079" s="158"/>
      <c r="O1079" s="158"/>
      <c r="P1079" s="158"/>
      <c r="Q1079" s="159"/>
    </row>
    <row r="1080" spans="1:17" x14ac:dyDescent="0.35">
      <c r="A1080" s="166"/>
      <c r="B1080" s="169">
        <v>360</v>
      </c>
      <c r="C1080" s="147"/>
      <c r="D1080" s="169"/>
      <c r="E1080" s="154">
        <v>0</v>
      </c>
      <c r="F1080" s="154">
        <v>0</v>
      </c>
      <c r="G1080" s="154">
        <v>0</v>
      </c>
      <c r="H1080" s="154">
        <v>0</v>
      </c>
      <c r="I1080" s="154">
        <v>0</v>
      </c>
      <c r="J1080" s="154">
        <v>0</v>
      </c>
      <c r="K1080" s="154">
        <v>0</v>
      </c>
      <c r="L1080" s="154">
        <v>0</v>
      </c>
      <c r="M1080" s="154">
        <v>0</v>
      </c>
      <c r="N1080" s="154">
        <v>0</v>
      </c>
      <c r="O1080" s="154">
        <v>0</v>
      </c>
      <c r="P1080" s="154">
        <v>0</v>
      </c>
      <c r="Q1080" s="156">
        <v>112.4</v>
      </c>
    </row>
    <row r="1081" spans="1:17" x14ac:dyDescent="0.35">
      <c r="A1081" s="167"/>
      <c r="B1081" s="170"/>
      <c r="C1081" s="151" t="s">
        <v>1553</v>
      </c>
      <c r="D1081" s="170"/>
      <c r="E1081" s="155"/>
      <c r="F1081" s="155"/>
      <c r="G1081" s="155"/>
      <c r="H1081" s="155"/>
      <c r="I1081" s="155"/>
      <c r="J1081" s="155"/>
      <c r="K1081" s="155"/>
      <c r="L1081" s="155"/>
      <c r="M1081" s="155"/>
      <c r="N1081" s="155"/>
      <c r="O1081" s="155"/>
      <c r="P1081" s="155"/>
      <c r="Q1081" s="157"/>
    </row>
    <row r="1082" spans="1:17" ht="15" thickBot="1" x14ac:dyDescent="0.4">
      <c r="A1082" s="168"/>
      <c r="B1082" s="171"/>
      <c r="C1082" s="148" t="s">
        <v>1140</v>
      </c>
      <c r="D1082" s="171"/>
      <c r="E1082" s="158"/>
      <c r="F1082" s="158"/>
      <c r="G1082" s="158"/>
      <c r="H1082" s="158"/>
      <c r="I1082" s="158"/>
      <c r="J1082" s="158"/>
      <c r="K1082" s="158"/>
      <c r="L1082" s="158"/>
      <c r="M1082" s="158"/>
      <c r="N1082" s="158"/>
      <c r="O1082" s="158"/>
      <c r="P1082" s="158"/>
      <c r="Q1082" s="159"/>
    </row>
    <row r="1083" spans="1:17" x14ac:dyDescent="0.35">
      <c r="A1083" s="166"/>
      <c r="B1083" s="169">
        <v>361</v>
      </c>
      <c r="C1083" s="147"/>
      <c r="D1083" s="169"/>
      <c r="E1083" s="154">
        <v>0</v>
      </c>
      <c r="F1083" s="154">
        <v>0</v>
      </c>
      <c r="G1083" s="154">
        <v>0</v>
      </c>
      <c r="H1083" s="154">
        <v>0</v>
      </c>
      <c r="I1083" s="154">
        <v>0</v>
      </c>
      <c r="J1083" s="154">
        <v>0</v>
      </c>
      <c r="K1083" s="154">
        <v>0</v>
      </c>
      <c r="L1083" s="154">
        <v>0</v>
      </c>
      <c r="M1083" s="154">
        <v>0</v>
      </c>
      <c r="N1083" s="154">
        <v>0</v>
      </c>
      <c r="O1083" s="154">
        <v>0</v>
      </c>
      <c r="P1083" s="154">
        <v>0</v>
      </c>
      <c r="Q1083" s="156">
        <v>105.2</v>
      </c>
    </row>
    <row r="1084" spans="1:17" x14ac:dyDescent="0.35">
      <c r="A1084" s="167"/>
      <c r="B1084" s="170"/>
      <c r="C1084" s="151" t="s">
        <v>701</v>
      </c>
      <c r="D1084" s="170"/>
      <c r="E1084" s="155"/>
      <c r="F1084" s="155"/>
      <c r="G1084" s="155"/>
      <c r="H1084" s="155"/>
      <c r="I1084" s="155"/>
      <c r="J1084" s="155"/>
      <c r="K1084" s="155"/>
      <c r="L1084" s="155"/>
      <c r="M1084" s="155"/>
      <c r="N1084" s="155"/>
      <c r="O1084" s="155"/>
      <c r="P1084" s="155"/>
      <c r="Q1084" s="157"/>
    </row>
    <row r="1085" spans="1:17" ht="15" thickBot="1" x14ac:dyDescent="0.4">
      <c r="A1085" s="168"/>
      <c r="B1085" s="171"/>
      <c r="C1085" s="148" t="s">
        <v>1435</v>
      </c>
      <c r="D1085" s="171"/>
      <c r="E1085" s="158"/>
      <c r="F1085" s="158"/>
      <c r="G1085" s="158"/>
      <c r="H1085" s="158"/>
      <c r="I1085" s="158"/>
      <c r="J1085" s="158"/>
      <c r="K1085" s="158"/>
      <c r="L1085" s="158"/>
      <c r="M1085" s="158"/>
      <c r="N1085" s="158"/>
      <c r="O1085" s="158"/>
      <c r="P1085" s="158"/>
      <c r="Q1085" s="159"/>
    </row>
    <row r="1086" spans="1:17" x14ac:dyDescent="0.35">
      <c r="A1086" s="166"/>
      <c r="B1086" s="169">
        <v>362</v>
      </c>
      <c r="C1086" s="147"/>
      <c r="D1086" s="169"/>
      <c r="E1086" s="154">
        <v>0</v>
      </c>
      <c r="F1086" s="154">
        <v>0</v>
      </c>
      <c r="G1086" s="154">
        <v>0</v>
      </c>
      <c r="H1086" s="154">
        <v>0</v>
      </c>
      <c r="I1086" s="154">
        <v>0</v>
      </c>
      <c r="J1086" s="154">
        <v>0</v>
      </c>
      <c r="K1086" s="154">
        <v>0</v>
      </c>
      <c r="L1086" s="154">
        <v>0</v>
      </c>
      <c r="M1086" s="154">
        <v>0</v>
      </c>
      <c r="N1086" s="154">
        <v>0</v>
      </c>
      <c r="O1086" s="154">
        <v>0</v>
      </c>
      <c r="P1086" s="154">
        <v>0</v>
      </c>
      <c r="Q1086" s="156">
        <v>109.5</v>
      </c>
    </row>
    <row r="1087" spans="1:17" x14ac:dyDescent="0.35">
      <c r="A1087" s="167"/>
      <c r="B1087" s="170"/>
      <c r="C1087" s="151" t="s">
        <v>810</v>
      </c>
      <c r="D1087" s="170"/>
      <c r="E1087" s="155"/>
      <c r="F1087" s="155"/>
      <c r="G1087" s="155"/>
      <c r="H1087" s="155"/>
      <c r="I1087" s="155"/>
      <c r="J1087" s="155"/>
      <c r="K1087" s="155"/>
      <c r="L1087" s="155"/>
      <c r="M1087" s="155"/>
      <c r="N1087" s="155"/>
      <c r="O1087" s="155"/>
      <c r="P1087" s="155"/>
      <c r="Q1087" s="157"/>
    </row>
    <row r="1088" spans="1:17" ht="15" thickBot="1" x14ac:dyDescent="0.4">
      <c r="A1088" s="168"/>
      <c r="B1088" s="171"/>
      <c r="C1088" s="148" t="s">
        <v>1436</v>
      </c>
      <c r="D1088" s="171"/>
      <c r="E1088" s="158"/>
      <c r="F1088" s="158"/>
      <c r="G1088" s="158"/>
      <c r="H1088" s="158"/>
      <c r="I1088" s="158"/>
      <c r="J1088" s="158"/>
      <c r="K1088" s="158"/>
      <c r="L1088" s="158"/>
      <c r="M1088" s="158"/>
      <c r="N1088" s="158"/>
      <c r="O1088" s="158"/>
      <c r="P1088" s="158"/>
      <c r="Q1088" s="159"/>
    </row>
    <row r="1089" spans="1:17" x14ac:dyDescent="0.35">
      <c r="A1089" s="166"/>
      <c r="B1089" s="169">
        <v>363</v>
      </c>
      <c r="C1089" s="147"/>
      <c r="D1089" s="169"/>
      <c r="E1089" s="154">
        <v>0</v>
      </c>
      <c r="F1089" s="154">
        <v>0</v>
      </c>
      <c r="G1089" s="154">
        <v>0</v>
      </c>
      <c r="H1089" s="154">
        <v>0</v>
      </c>
      <c r="I1089" s="154">
        <v>0</v>
      </c>
      <c r="J1089" s="154">
        <v>0</v>
      </c>
      <c r="K1089" s="154">
        <v>0</v>
      </c>
      <c r="L1089" s="154">
        <v>0</v>
      </c>
      <c r="M1089" s="154">
        <v>0</v>
      </c>
      <c r="N1089" s="154">
        <v>0</v>
      </c>
      <c r="O1089" s="154">
        <v>0</v>
      </c>
      <c r="P1089" s="154">
        <v>0</v>
      </c>
      <c r="Q1089" s="156">
        <v>100.8</v>
      </c>
    </row>
    <row r="1090" spans="1:17" x14ac:dyDescent="0.35">
      <c r="A1090" s="167"/>
      <c r="B1090" s="170"/>
      <c r="C1090" s="151" t="s">
        <v>795</v>
      </c>
      <c r="D1090" s="170"/>
      <c r="E1090" s="155"/>
      <c r="F1090" s="155"/>
      <c r="G1090" s="155"/>
      <c r="H1090" s="155"/>
      <c r="I1090" s="155"/>
      <c r="J1090" s="155"/>
      <c r="K1090" s="155"/>
      <c r="L1090" s="155"/>
      <c r="M1090" s="155"/>
      <c r="N1090" s="155"/>
      <c r="O1090" s="155"/>
      <c r="P1090" s="155"/>
      <c r="Q1090" s="157"/>
    </row>
    <row r="1091" spans="1:17" ht="15" thickBot="1" x14ac:dyDescent="0.4">
      <c r="A1091" s="168"/>
      <c r="B1091" s="171"/>
      <c r="C1091" s="148" t="s">
        <v>1437</v>
      </c>
      <c r="D1091" s="171"/>
      <c r="E1091" s="158"/>
      <c r="F1091" s="158"/>
      <c r="G1091" s="158"/>
      <c r="H1091" s="158"/>
      <c r="I1091" s="158"/>
      <c r="J1091" s="158"/>
      <c r="K1091" s="158"/>
      <c r="L1091" s="158"/>
      <c r="M1091" s="158"/>
      <c r="N1091" s="158"/>
      <c r="O1091" s="158"/>
      <c r="P1091" s="158"/>
      <c r="Q1091" s="159"/>
    </row>
    <row r="1092" spans="1:17" x14ac:dyDescent="0.35">
      <c r="A1092" s="166"/>
      <c r="B1092" s="169">
        <v>364</v>
      </c>
      <c r="C1092" s="147"/>
      <c r="D1092" s="169"/>
      <c r="E1092" s="154">
        <v>0</v>
      </c>
      <c r="F1092" s="154">
        <v>0</v>
      </c>
      <c r="G1092" s="154">
        <v>0</v>
      </c>
      <c r="H1092" s="154">
        <v>0</v>
      </c>
      <c r="I1092" s="154">
        <v>0</v>
      </c>
      <c r="J1092" s="154">
        <v>0</v>
      </c>
      <c r="K1092" s="154">
        <v>0</v>
      </c>
      <c r="L1092" s="154">
        <v>0</v>
      </c>
      <c r="M1092" s="154">
        <v>0</v>
      </c>
      <c r="N1092" s="154">
        <v>0</v>
      </c>
      <c r="O1092" s="154">
        <v>0</v>
      </c>
      <c r="P1092" s="154">
        <v>0</v>
      </c>
      <c r="Q1092" s="156">
        <v>104.1</v>
      </c>
    </row>
    <row r="1093" spans="1:17" x14ac:dyDescent="0.35">
      <c r="A1093" s="167"/>
      <c r="B1093" s="170"/>
      <c r="C1093" s="151" t="s">
        <v>1495</v>
      </c>
      <c r="D1093" s="170"/>
      <c r="E1093" s="155"/>
      <c r="F1093" s="155"/>
      <c r="G1093" s="155"/>
      <c r="H1093" s="155"/>
      <c r="I1093" s="155"/>
      <c r="J1093" s="155"/>
      <c r="K1093" s="155"/>
      <c r="L1093" s="155"/>
      <c r="M1093" s="155"/>
      <c r="N1093" s="155"/>
      <c r="O1093" s="155"/>
      <c r="P1093" s="155"/>
      <c r="Q1093" s="157"/>
    </row>
    <row r="1094" spans="1:17" ht="15" thickBot="1" x14ac:dyDescent="0.4">
      <c r="A1094" s="168"/>
      <c r="B1094" s="171"/>
      <c r="C1094" s="148" t="s">
        <v>1438</v>
      </c>
      <c r="D1094" s="171"/>
      <c r="E1094" s="158"/>
      <c r="F1094" s="158"/>
      <c r="G1094" s="158"/>
      <c r="H1094" s="158"/>
      <c r="I1094" s="158"/>
      <c r="J1094" s="158"/>
      <c r="K1094" s="158"/>
      <c r="L1094" s="158"/>
      <c r="M1094" s="158"/>
      <c r="N1094" s="158"/>
      <c r="O1094" s="158"/>
      <c r="P1094" s="158"/>
      <c r="Q1094" s="159"/>
    </row>
    <row r="1095" spans="1:17" x14ac:dyDescent="0.35">
      <c r="A1095" s="166"/>
      <c r="B1095" s="169">
        <v>365</v>
      </c>
      <c r="C1095" s="146"/>
      <c r="D1095" s="169"/>
      <c r="E1095" s="154">
        <v>0</v>
      </c>
      <c r="F1095" s="154">
        <v>0</v>
      </c>
      <c r="G1095" s="154">
        <v>0</v>
      </c>
      <c r="H1095" s="154">
        <v>0</v>
      </c>
      <c r="I1095" s="154">
        <v>0</v>
      </c>
      <c r="J1095" s="154">
        <v>0</v>
      </c>
      <c r="K1095" s="154">
        <v>0</v>
      </c>
      <c r="L1095" s="154">
        <v>0</v>
      </c>
      <c r="M1095" s="154">
        <v>12</v>
      </c>
      <c r="N1095" s="154">
        <v>10</v>
      </c>
      <c r="O1095" s="154">
        <v>379</v>
      </c>
      <c r="P1095" s="154">
        <v>5741</v>
      </c>
      <c r="Q1095" s="156">
        <v>76.900000000000006</v>
      </c>
    </row>
    <row r="1096" spans="1:17" x14ac:dyDescent="0.35">
      <c r="A1096" s="167"/>
      <c r="B1096" s="170"/>
      <c r="C1096" s="151" t="s">
        <v>1158</v>
      </c>
      <c r="D1096" s="170"/>
      <c r="E1096" s="155"/>
      <c r="F1096" s="155"/>
      <c r="G1096" s="155"/>
      <c r="H1096" s="155"/>
      <c r="I1096" s="155"/>
      <c r="J1096" s="155"/>
      <c r="K1096" s="155"/>
      <c r="L1096" s="155"/>
      <c r="M1096" s="155"/>
      <c r="N1096" s="155"/>
      <c r="O1096" s="155"/>
      <c r="P1096" s="155"/>
      <c r="Q1096" s="157"/>
    </row>
    <row r="1097" spans="1:17" ht="15" thickBot="1" x14ac:dyDescent="0.4">
      <c r="A1097" s="168"/>
      <c r="B1097" s="171"/>
      <c r="C1097" s="148" t="s">
        <v>1159</v>
      </c>
      <c r="D1097" s="171"/>
      <c r="E1097" s="158"/>
      <c r="F1097" s="158"/>
      <c r="G1097" s="158"/>
      <c r="H1097" s="158"/>
      <c r="I1097" s="158"/>
      <c r="J1097" s="158"/>
      <c r="K1097" s="158"/>
      <c r="L1097" s="158"/>
      <c r="M1097" s="158"/>
      <c r="N1097" s="158"/>
      <c r="O1097" s="158"/>
      <c r="P1097" s="158"/>
      <c r="Q1097" s="159"/>
    </row>
    <row r="1098" spans="1:17" x14ac:dyDescent="0.35">
      <c r="A1098" s="166"/>
      <c r="B1098" s="169">
        <v>366</v>
      </c>
      <c r="C1098" s="146"/>
      <c r="D1098" s="169"/>
      <c r="E1098" s="154">
        <v>0</v>
      </c>
      <c r="F1098" s="154">
        <v>0</v>
      </c>
      <c r="G1098" s="154">
        <v>0</v>
      </c>
      <c r="H1098" s="154">
        <v>0</v>
      </c>
      <c r="I1098" s="154">
        <v>0</v>
      </c>
      <c r="J1098" s="154">
        <v>0</v>
      </c>
      <c r="K1098" s="154">
        <v>0</v>
      </c>
      <c r="L1098" s="154">
        <v>0</v>
      </c>
      <c r="M1098" s="154">
        <v>12</v>
      </c>
      <c r="N1098" s="154">
        <v>8</v>
      </c>
      <c r="O1098" s="154">
        <v>360</v>
      </c>
      <c r="P1098" s="154">
        <v>5830</v>
      </c>
      <c r="Q1098" s="156">
        <v>73.900000000000006</v>
      </c>
    </row>
    <row r="1099" spans="1:17" x14ac:dyDescent="0.35">
      <c r="A1099" s="167"/>
      <c r="B1099" s="170"/>
      <c r="C1099" s="151" t="s">
        <v>1191</v>
      </c>
      <c r="D1099" s="170"/>
      <c r="E1099" s="155"/>
      <c r="F1099" s="155"/>
      <c r="G1099" s="155"/>
      <c r="H1099" s="155"/>
      <c r="I1099" s="155"/>
      <c r="J1099" s="155"/>
      <c r="K1099" s="155"/>
      <c r="L1099" s="155"/>
      <c r="M1099" s="155"/>
      <c r="N1099" s="155"/>
      <c r="O1099" s="155"/>
      <c r="P1099" s="155"/>
      <c r="Q1099" s="157"/>
    </row>
    <row r="1100" spans="1:17" ht="15" thickBot="1" x14ac:dyDescent="0.4">
      <c r="A1100" s="168"/>
      <c r="B1100" s="171"/>
      <c r="C1100" s="148" t="s">
        <v>1440</v>
      </c>
      <c r="D1100" s="171"/>
      <c r="E1100" s="158"/>
      <c r="F1100" s="158"/>
      <c r="G1100" s="158"/>
      <c r="H1100" s="158"/>
      <c r="I1100" s="158"/>
      <c r="J1100" s="158"/>
      <c r="K1100" s="158"/>
      <c r="L1100" s="158"/>
      <c r="M1100" s="158"/>
      <c r="N1100" s="158"/>
      <c r="O1100" s="158"/>
      <c r="P1100" s="158"/>
      <c r="Q1100" s="159"/>
    </row>
    <row r="1101" spans="1:17" x14ac:dyDescent="0.35">
      <c r="A1101" s="166"/>
      <c r="B1101" s="169">
        <v>367</v>
      </c>
      <c r="C1101" s="146"/>
      <c r="D1101" s="169"/>
      <c r="E1101" s="154">
        <v>0</v>
      </c>
      <c r="F1101" s="154">
        <v>0</v>
      </c>
      <c r="G1101" s="154">
        <v>0</v>
      </c>
      <c r="H1101" s="154">
        <v>0</v>
      </c>
      <c r="I1101" s="154">
        <v>0</v>
      </c>
      <c r="J1101" s="154">
        <v>0</v>
      </c>
      <c r="K1101" s="154">
        <v>0</v>
      </c>
      <c r="L1101" s="154">
        <v>0</v>
      </c>
      <c r="M1101" s="154">
        <v>12</v>
      </c>
      <c r="N1101" s="154">
        <v>8</v>
      </c>
      <c r="O1101" s="154">
        <v>395</v>
      </c>
      <c r="P1101" s="154">
        <v>5678</v>
      </c>
      <c r="Q1101" s="156">
        <v>75.5</v>
      </c>
    </row>
    <row r="1102" spans="1:17" x14ac:dyDescent="0.35">
      <c r="A1102" s="167"/>
      <c r="B1102" s="170"/>
      <c r="C1102" s="151" t="s">
        <v>1195</v>
      </c>
      <c r="D1102" s="170"/>
      <c r="E1102" s="155"/>
      <c r="F1102" s="155"/>
      <c r="G1102" s="155"/>
      <c r="H1102" s="155"/>
      <c r="I1102" s="155"/>
      <c r="J1102" s="155"/>
      <c r="K1102" s="155"/>
      <c r="L1102" s="155"/>
      <c r="M1102" s="155"/>
      <c r="N1102" s="155"/>
      <c r="O1102" s="155"/>
      <c r="P1102" s="155"/>
      <c r="Q1102" s="157"/>
    </row>
    <row r="1103" spans="1:17" ht="15" thickBot="1" x14ac:dyDescent="0.4">
      <c r="A1103" s="168"/>
      <c r="B1103" s="171"/>
      <c r="C1103" s="148" t="s">
        <v>1393</v>
      </c>
      <c r="D1103" s="171"/>
      <c r="E1103" s="158"/>
      <c r="F1103" s="158"/>
      <c r="G1103" s="158"/>
      <c r="H1103" s="158"/>
      <c r="I1103" s="158"/>
      <c r="J1103" s="158"/>
      <c r="K1103" s="158"/>
      <c r="L1103" s="158"/>
      <c r="M1103" s="158"/>
      <c r="N1103" s="158"/>
      <c r="O1103" s="158"/>
      <c r="P1103" s="158"/>
      <c r="Q1103" s="159"/>
    </row>
    <row r="1104" spans="1:17" x14ac:dyDescent="0.35">
      <c r="A1104" s="166"/>
      <c r="B1104" s="169">
        <v>368</v>
      </c>
      <c r="C1104" s="146"/>
      <c r="D1104" s="169"/>
      <c r="E1104" s="154">
        <v>0</v>
      </c>
      <c r="F1104" s="154">
        <v>0</v>
      </c>
      <c r="G1104" s="154">
        <v>0</v>
      </c>
      <c r="H1104" s="154">
        <v>0</v>
      </c>
      <c r="I1104" s="154">
        <v>0</v>
      </c>
      <c r="J1104" s="154">
        <v>0</v>
      </c>
      <c r="K1104" s="154">
        <v>0</v>
      </c>
      <c r="L1104" s="154">
        <v>0</v>
      </c>
      <c r="M1104" s="154">
        <v>13</v>
      </c>
      <c r="N1104" s="154">
        <v>8</v>
      </c>
      <c r="O1104" s="154">
        <v>371</v>
      </c>
      <c r="P1104" s="154">
        <v>5829</v>
      </c>
      <c r="Q1104" s="156">
        <v>72.7</v>
      </c>
    </row>
    <row r="1105" spans="1:17" x14ac:dyDescent="0.35">
      <c r="A1105" s="167"/>
      <c r="B1105" s="170"/>
      <c r="C1105" s="151" t="s">
        <v>1201</v>
      </c>
      <c r="D1105" s="170"/>
      <c r="E1105" s="155"/>
      <c r="F1105" s="155"/>
      <c r="G1105" s="155"/>
      <c r="H1105" s="155"/>
      <c r="I1105" s="155"/>
      <c r="J1105" s="155"/>
      <c r="K1105" s="155"/>
      <c r="L1105" s="155"/>
      <c r="M1105" s="155"/>
      <c r="N1105" s="155"/>
      <c r="O1105" s="155"/>
      <c r="P1105" s="155"/>
      <c r="Q1105" s="157"/>
    </row>
    <row r="1106" spans="1:17" ht="15" thickBot="1" x14ac:dyDescent="0.4">
      <c r="A1106" s="168"/>
      <c r="B1106" s="171"/>
      <c r="C1106" s="148" t="s">
        <v>1444</v>
      </c>
      <c r="D1106" s="171"/>
      <c r="E1106" s="158"/>
      <c r="F1106" s="158"/>
      <c r="G1106" s="158"/>
      <c r="H1106" s="158"/>
      <c r="I1106" s="158"/>
      <c r="J1106" s="158"/>
      <c r="K1106" s="158"/>
      <c r="L1106" s="158"/>
      <c r="M1106" s="158"/>
      <c r="N1106" s="158"/>
      <c r="O1106" s="158"/>
      <c r="P1106" s="158"/>
      <c r="Q1106" s="159"/>
    </row>
    <row r="1107" spans="1:17" x14ac:dyDescent="0.35">
      <c r="A1107" s="166"/>
      <c r="B1107" s="169">
        <v>369</v>
      </c>
      <c r="C1107" s="146"/>
      <c r="D1107" s="169"/>
      <c r="E1107" s="154">
        <v>0</v>
      </c>
      <c r="F1107" s="154">
        <v>0</v>
      </c>
      <c r="G1107" s="154">
        <v>0</v>
      </c>
      <c r="H1107" s="154">
        <v>0</v>
      </c>
      <c r="I1107" s="154">
        <v>0</v>
      </c>
      <c r="J1107" s="154">
        <v>0</v>
      </c>
      <c r="K1107" s="154">
        <v>0</v>
      </c>
      <c r="L1107" s="154">
        <v>0</v>
      </c>
      <c r="M1107" s="154">
        <v>12</v>
      </c>
      <c r="N1107" s="154">
        <v>10</v>
      </c>
      <c r="O1107" s="154">
        <v>391</v>
      </c>
      <c r="P1107" s="154">
        <v>5838</v>
      </c>
      <c r="Q1107" s="156">
        <v>68.3</v>
      </c>
    </row>
    <row r="1108" spans="1:17" x14ac:dyDescent="0.35">
      <c r="A1108" s="167"/>
      <c r="B1108" s="170"/>
      <c r="C1108" s="151" t="s">
        <v>1193</v>
      </c>
      <c r="D1108" s="170"/>
      <c r="E1108" s="155"/>
      <c r="F1108" s="155"/>
      <c r="G1108" s="155"/>
      <c r="H1108" s="155"/>
      <c r="I1108" s="155"/>
      <c r="J1108" s="155"/>
      <c r="K1108" s="155"/>
      <c r="L1108" s="155"/>
      <c r="M1108" s="155"/>
      <c r="N1108" s="155"/>
      <c r="O1108" s="155"/>
      <c r="P1108" s="155"/>
      <c r="Q1108" s="157"/>
    </row>
    <row r="1109" spans="1:17" ht="15" thickBot="1" x14ac:dyDescent="0.4">
      <c r="A1109" s="168"/>
      <c r="B1109" s="171"/>
      <c r="C1109" s="148" t="s">
        <v>1443</v>
      </c>
      <c r="D1109" s="171"/>
      <c r="E1109" s="158"/>
      <c r="F1109" s="158"/>
      <c r="G1109" s="158"/>
      <c r="H1109" s="158"/>
      <c r="I1109" s="158"/>
      <c r="J1109" s="158"/>
      <c r="K1109" s="158"/>
      <c r="L1109" s="158"/>
      <c r="M1109" s="158"/>
      <c r="N1109" s="158"/>
      <c r="O1109" s="158"/>
      <c r="P1109" s="158"/>
      <c r="Q1109" s="159"/>
    </row>
    <row r="1110" spans="1:17" x14ac:dyDescent="0.35">
      <c r="A1110" s="166"/>
      <c r="B1110" s="169">
        <v>370</v>
      </c>
      <c r="C1110" s="146"/>
      <c r="D1110" s="169"/>
      <c r="E1110" s="154">
        <v>0</v>
      </c>
      <c r="F1110" s="154">
        <v>0</v>
      </c>
      <c r="G1110" s="154">
        <v>0</v>
      </c>
      <c r="H1110" s="154">
        <v>0</v>
      </c>
      <c r="I1110" s="154">
        <v>0</v>
      </c>
      <c r="J1110" s="154">
        <v>0</v>
      </c>
      <c r="K1110" s="154">
        <v>0</v>
      </c>
      <c r="L1110" s="154">
        <v>0</v>
      </c>
      <c r="M1110" s="154">
        <v>12</v>
      </c>
      <c r="N1110" s="154">
        <v>9</v>
      </c>
      <c r="O1110" s="154">
        <v>386</v>
      </c>
      <c r="P1110" s="154">
        <v>5877</v>
      </c>
      <c r="Q1110" s="156">
        <v>63.1</v>
      </c>
    </row>
    <row r="1111" spans="1:17" x14ac:dyDescent="0.35">
      <c r="A1111" s="167"/>
      <c r="B1111" s="170"/>
      <c r="C1111" s="151" t="s">
        <v>1496</v>
      </c>
      <c r="D1111" s="170"/>
      <c r="E1111" s="155"/>
      <c r="F1111" s="155"/>
      <c r="G1111" s="155"/>
      <c r="H1111" s="155"/>
      <c r="I1111" s="155"/>
      <c r="J1111" s="155"/>
      <c r="K1111" s="155"/>
      <c r="L1111" s="155"/>
      <c r="M1111" s="155"/>
      <c r="N1111" s="155"/>
      <c r="O1111" s="155"/>
      <c r="P1111" s="155"/>
      <c r="Q1111" s="157"/>
    </row>
    <row r="1112" spans="1:17" ht="15" thickBot="1" x14ac:dyDescent="0.4">
      <c r="A1112" s="168"/>
      <c r="B1112" s="171"/>
      <c r="C1112" s="148" t="s">
        <v>1446</v>
      </c>
      <c r="D1112" s="171"/>
      <c r="E1112" s="158"/>
      <c r="F1112" s="158"/>
      <c r="G1112" s="158"/>
      <c r="H1112" s="158"/>
      <c r="I1112" s="158"/>
      <c r="J1112" s="158"/>
      <c r="K1112" s="158"/>
      <c r="L1112" s="158"/>
      <c r="M1112" s="158"/>
      <c r="N1112" s="158"/>
      <c r="O1112" s="158"/>
      <c r="P1112" s="158"/>
      <c r="Q1112" s="159"/>
    </row>
    <row r="1113" spans="1:17" x14ac:dyDescent="0.35">
      <c r="A1113" s="166"/>
      <c r="B1113" s="169">
        <v>371</v>
      </c>
      <c r="C1113" s="146"/>
      <c r="D1113" s="169"/>
      <c r="E1113" s="154">
        <v>0</v>
      </c>
      <c r="F1113" s="154">
        <v>0</v>
      </c>
      <c r="G1113" s="154">
        <v>0</v>
      </c>
      <c r="H1113" s="154">
        <v>0</v>
      </c>
      <c r="I1113" s="154">
        <v>0</v>
      </c>
      <c r="J1113" s="154">
        <v>0</v>
      </c>
      <c r="K1113" s="154">
        <v>0</v>
      </c>
      <c r="L1113" s="154">
        <v>0</v>
      </c>
      <c r="M1113" s="154">
        <v>12</v>
      </c>
      <c r="N1113" s="154">
        <v>9</v>
      </c>
      <c r="O1113" s="154">
        <v>418</v>
      </c>
      <c r="P1113" s="154">
        <v>5832</v>
      </c>
      <c r="Q1113" s="156">
        <v>64.2</v>
      </c>
    </row>
    <row r="1114" spans="1:17" x14ac:dyDescent="0.35">
      <c r="A1114" s="167"/>
      <c r="B1114" s="170"/>
      <c r="C1114" s="151" t="s">
        <v>1114</v>
      </c>
      <c r="D1114" s="170"/>
      <c r="E1114" s="155"/>
      <c r="F1114" s="155"/>
      <c r="G1114" s="155"/>
      <c r="H1114" s="155"/>
      <c r="I1114" s="155"/>
      <c r="J1114" s="155"/>
      <c r="K1114" s="155"/>
      <c r="L1114" s="155"/>
      <c r="M1114" s="155"/>
      <c r="N1114" s="155"/>
      <c r="O1114" s="155"/>
      <c r="P1114" s="155"/>
      <c r="Q1114" s="157"/>
    </row>
    <row r="1115" spans="1:17" ht="15" thickBot="1" x14ac:dyDescent="0.4">
      <c r="A1115" s="168"/>
      <c r="B1115" s="171"/>
      <c r="C1115" s="148" t="s">
        <v>1115</v>
      </c>
      <c r="D1115" s="171"/>
      <c r="E1115" s="158"/>
      <c r="F1115" s="158"/>
      <c r="G1115" s="158"/>
      <c r="H1115" s="158"/>
      <c r="I1115" s="158"/>
      <c r="J1115" s="158"/>
      <c r="K1115" s="158"/>
      <c r="L1115" s="158"/>
      <c r="M1115" s="158"/>
      <c r="N1115" s="158"/>
      <c r="O1115" s="158"/>
      <c r="P1115" s="158"/>
      <c r="Q1115" s="159"/>
    </row>
    <row r="1116" spans="1:17" x14ac:dyDescent="0.35">
      <c r="A1116" s="166"/>
      <c r="B1116" s="169">
        <v>372</v>
      </c>
      <c r="C1116" s="146"/>
      <c r="D1116" s="169"/>
      <c r="E1116" s="154">
        <v>0</v>
      </c>
      <c r="F1116" s="154">
        <v>0</v>
      </c>
      <c r="G1116" s="154">
        <v>0</v>
      </c>
      <c r="H1116" s="154">
        <v>0</v>
      </c>
      <c r="I1116" s="154">
        <v>0</v>
      </c>
      <c r="J1116" s="154">
        <v>0</v>
      </c>
      <c r="K1116" s="154">
        <v>0</v>
      </c>
      <c r="L1116" s="154">
        <v>0</v>
      </c>
      <c r="M1116" s="154">
        <v>11</v>
      </c>
      <c r="N1116" s="154">
        <v>9</v>
      </c>
      <c r="O1116" s="154">
        <v>381</v>
      </c>
      <c r="P1116" s="154">
        <v>5928</v>
      </c>
      <c r="Q1116" s="156">
        <v>60.5</v>
      </c>
    </row>
    <row r="1117" spans="1:17" x14ac:dyDescent="0.35">
      <c r="A1117" s="167"/>
      <c r="B1117" s="170"/>
      <c r="C1117" s="151" t="s">
        <v>1192</v>
      </c>
      <c r="D1117" s="170"/>
      <c r="E1117" s="155"/>
      <c r="F1117" s="155"/>
      <c r="G1117" s="155"/>
      <c r="H1117" s="155"/>
      <c r="I1117" s="155"/>
      <c r="J1117" s="155"/>
      <c r="K1117" s="155"/>
      <c r="L1117" s="155"/>
      <c r="M1117" s="155"/>
      <c r="N1117" s="155"/>
      <c r="O1117" s="155"/>
      <c r="P1117" s="155"/>
      <c r="Q1117" s="157"/>
    </row>
    <row r="1118" spans="1:17" ht="15" thickBot="1" x14ac:dyDescent="0.4">
      <c r="A1118" s="168"/>
      <c r="B1118" s="171"/>
      <c r="C1118" s="148" t="s">
        <v>1445</v>
      </c>
      <c r="D1118" s="171"/>
      <c r="E1118" s="158"/>
      <c r="F1118" s="158"/>
      <c r="G1118" s="158"/>
      <c r="H1118" s="158"/>
      <c r="I1118" s="158"/>
      <c r="J1118" s="158"/>
      <c r="K1118" s="158"/>
      <c r="L1118" s="158"/>
      <c r="M1118" s="158"/>
      <c r="N1118" s="158"/>
      <c r="O1118" s="158"/>
      <c r="P1118" s="158"/>
      <c r="Q1118" s="159"/>
    </row>
    <row r="1119" spans="1:17" x14ac:dyDescent="0.35">
      <c r="A1119" s="166"/>
      <c r="B1119" s="169">
        <v>373</v>
      </c>
      <c r="C1119" s="146"/>
      <c r="D1119" s="169"/>
      <c r="E1119" s="154">
        <v>0</v>
      </c>
      <c r="F1119" s="154">
        <v>0</v>
      </c>
      <c r="G1119" s="154">
        <v>0</v>
      </c>
      <c r="H1119" s="154">
        <v>0</v>
      </c>
      <c r="I1119" s="154">
        <v>0</v>
      </c>
      <c r="J1119" s="154">
        <v>0</v>
      </c>
      <c r="K1119" s="154">
        <v>0</v>
      </c>
      <c r="L1119" s="154">
        <v>0</v>
      </c>
      <c r="M1119" s="154">
        <v>12</v>
      </c>
      <c r="N1119" s="154">
        <v>8</v>
      </c>
      <c r="O1119" s="154">
        <v>393</v>
      </c>
      <c r="P1119" s="154">
        <v>5967</v>
      </c>
      <c r="Q1119" s="156">
        <v>58</v>
      </c>
    </row>
    <row r="1120" spans="1:17" x14ac:dyDescent="0.35">
      <c r="A1120" s="167"/>
      <c r="B1120" s="170"/>
      <c r="C1120" s="151" t="s">
        <v>1196</v>
      </c>
      <c r="D1120" s="170"/>
      <c r="E1120" s="155"/>
      <c r="F1120" s="155"/>
      <c r="G1120" s="155"/>
      <c r="H1120" s="155"/>
      <c r="I1120" s="155"/>
      <c r="J1120" s="155"/>
      <c r="K1120" s="155"/>
      <c r="L1120" s="155"/>
      <c r="M1120" s="155"/>
      <c r="N1120" s="155"/>
      <c r="O1120" s="155"/>
      <c r="P1120" s="155"/>
      <c r="Q1120" s="157"/>
    </row>
    <row r="1121" spans="1:17" ht="15" thickBot="1" x14ac:dyDescent="0.4">
      <c r="A1121" s="168"/>
      <c r="B1121" s="171"/>
      <c r="C1121" s="148" t="s">
        <v>1447</v>
      </c>
      <c r="D1121" s="171"/>
      <c r="E1121" s="158"/>
      <c r="F1121" s="158"/>
      <c r="G1121" s="158"/>
      <c r="H1121" s="158"/>
      <c r="I1121" s="158"/>
      <c r="J1121" s="158"/>
      <c r="K1121" s="158"/>
      <c r="L1121" s="158"/>
      <c r="M1121" s="158"/>
      <c r="N1121" s="158"/>
      <c r="O1121" s="158"/>
      <c r="P1121" s="158"/>
      <c r="Q1121" s="159"/>
    </row>
    <row r="1122" spans="1:17" x14ac:dyDescent="0.35">
      <c r="A1122" s="166"/>
      <c r="B1122" s="169">
        <v>374</v>
      </c>
      <c r="C1122" s="146"/>
      <c r="D1122" s="169"/>
      <c r="E1122" s="154">
        <v>0</v>
      </c>
      <c r="F1122" s="154">
        <v>0</v>
      </c>
      <c r="G1122" s="154">
        <v>0</v>
      </c>
      <c r="H1122" s="154">
        <v>0</v>
      </c>
      <c r="I1122" s="154">
        <v>0</v>
      </c>
      <c r="J1122" s="154">
        <v>0</v>
      </c>
      <c r="K1122" s="154">
        <v>0</v>
      </c>
      <c r="L1122" s="154">
        <v>0</v>
      </c>
      <c r="M1122" s="154">
        <v>11</v>
      </c>
      <c r="N1122" s="154">
        <v>7</v>
      </c>
      <c r="O1122" s="154">
        <v>427</v>
      </c>
      <c r="P1122" s="154">
        <v>6028</v>
      </c>
      <c r="Q1122" s="156">
        <v>48.7</v>
      </c>
    </row>
    <row r="1123" spans="1:17" x14ac:dyDescent="0.35">
      <c r="A1123" s="167"/>
      <c r="B1123" s="170"/>
      <c r="C1123" s="151" t="s">
        <v>1190</v>
      </c>
      <c r="D1123" s="170"/>
      <c r="E1123" s="155"/>
      <c r="F1123" s="155"/>
      <c r="G1123" s="155"/>
      <c r="H1123" s="155"/>
      <c r="I1123" s="155"/>
      <c r="J1123" s="155"/>
      <c r="K1123" s="155"/>
      <c r="L1123" s="155"/>
      <c r="M1123" s="155"/>
      <c r="N1123" s="155"/>
      <c r="O1123" s="155"/>
      <c r="P1123" s="155"/>
      <c r="Q1123" s="157"/>
    </row>
    <row r="1124" spans="1:17" ht="15" thickBot="1" x14ac:dyDescent="0.4">
      <c r="A1124" s="168"/>
      <c r="B1124" s="171"/>
      <c r="C1124" s="148" t="s">
        <v>1448</v>
      </c>
      <c r="D1124" s="171"/>
      <c r="E1124" s="158"/>
      <c r="F1124" s="158"/>
      <c r="G1124" s="158"/>
      <c r="H1124" s="158"/>
      <c r="I1124" s="158"/>
      <c r="J1124" s="158"/>
      <c r="K1124" s="158"/>
      <c r="L1124" s="158"/>
      <c r="M1124" s="158"/>
      <c r="N1124" s="158"/>
      <c r="O1124" s="158"/>
      <c r="P1124" s="158"/>
      <c r="Q1124" s="159"/>
    </row>
    <row r="1125" spans="1:17" x14ac:dyDescent="0.35">
      <c r="A1125" s="166"/>
      <c r="B1125" s="169">
        <v>375</v>
      </c>
      <c r="C1125" s="147"/>
      <c r="D1125" s="169"/>
      <c r="E1125" s="154" t="s">
        <v>1543</v>
      </c>
      <c r="F1125" s="154" t="s">
        <v>1543</v>
      </c>
      <c r="G1125" s="154" t="s">
        <v>1543</v>
      </c>
      <c r="H1125" s="154" t="s">
        <v>1543</v>
      </c>
      <c r="I1125" s="154" t="s">
        <v>1543</v>
      </c>
      <c r="J1125" s="154" t="s">
        <v>1543</v>
      </c>
      <c r="K1125" s="154" t="s">
        <v>1543</v>
      </c>
      <c r="L1125" s="154" t="s">
        <v>1543</v>
      </c>
      <c r="M1125" s="154" t="s">
        <v>1543</v>
      </c>
      <c r="N1125" s="154" t="s">
        <v>1543</v>
      </c>
      <c r="O1125" s="154" t="s">
        <v>1543</v>
      </c>
      <c r="P1125" s="154" t="s">
        <v>1543</v>
      </c>
      <c r="Q1125" s="156">
        <v>0</v>
      </c>
    </row>
    <row r="1126" spans="1:17" x14ac:dyDescent="0.35">
      <c r="A1126" s="167"/>
      <c r="B1126" s="170"/>
      <c r="C1126" s="151" t="s">
        <v>1554</v>
      </c>
      <c r="D1126" s="170"/>
      <c r="E1126" s="155"/>
      <c r="F1126" s="155"/>
      <c r="G1126" s="155"/>
      <c r="H1126" s="155"/>
      <c r="I1126" s="155"/>
      <c r="J1126" s="155"/>
      <c r="K1126" s="155"/>
      <c r="L1126" s="155"/>
      <c r="M1126" s="155"/>
      <c r="N1126" s="155"/>
      <c r="O1126" s="155"/>
      <c r="P1126" s="155"/>
      <c r="Q1126" s="157"/>
    </row>
    <row r="1127" spans="1:17" ht="15" thickBot="1" x14ac:dyDescent="0.4">
      <c r="A1127" s="168"/>
      <c r="B1127" s="171"/>
      <c r="C1127" s="148" t="s">
        <v>1040</v>
      </c>
      <c r="D1127" s="171"/>
      <c r="E1127" s="158"/>
      <c r="F1127" s="158"/>
      <c r="G1127" s="158"/>
      <c r="H1127" s="158"/>
      <c r="I1127" s="158"/>
      <c r="J1127" s="158"/>
      <c r="K1127" s="158"/>
      <c r="L1127" s="158"/>
      <c r="M1127" s="158"/>
      <c r="N1127" s="158"/>
      <c r="O1127" s="158"/>
      <c r="P1127" s="158"/>
      <c r="Q1127" s="159"/>
    </row>
    <row r="1128" spans="1:17" x14ac:dyDescent="0.35">
      <c r="A1128" s="166"/>
      <c r="B1128" s="169">
        <v>376</v>
      </c>
      <c r="C1128" s="147"/>
      <c r="D1128" s="169"/>
      <c r="E1128" s="154">
        <v>0</v>
      </c>
      <c r="F1128" s="154">
        <v>0</v>
      </c>
      <c r="G1128" s="154">
        <v>0</v>
      </c>
      <c r="H1128" s="154">
        <v>0</v>
      </c>
      <c r="I1128" s="154">
        <v>0</v>
      </c>
      <c r="J1128" s="154">
        <v>29</v>
      </c>
      <c r="K1128" s="154">
        <v>342</v>
      </c>
      <c r="L1128" s="154">
        <v>2</v>
      </c>
      <c r="M1128" s="154">
        <v>0</v>
      </c>
      <c r="N1128" s="154">
        <v>0</v>
      </c>
      <c r="O1128" s="154">
        <v>0</v>
      </c>
      <c r="P1128" s="154">
        <v>0</v>
      </c>
      <c r="Q1128" s="156">
        <v>59</v>
      </c>
    </row>
    <row r="1129" spans="1:17" x14ac:dyDescent="0.35">
      <c r="A1129" s="167"/>
      <c r="B1129" s="170"/>
      <c r="C1129" s="151" t="s">
        <v>1476</v>
      </c>
      <c r="D1129" s="170"/>
      <c r="E1129" s="155"/>
      <c r="F1129" s="155"/>
      <c r="G1129" s="155"/>
      <c r="H1129" s="155"/>
      <c r="I1129" s="155"/>
      <c r="J1129" s="155"/>
      <c r="K1129" s="155"/>
      <c r="L1129" s="155"/>
      <c r="M1129" s="155"/>
      <c r="N1129" s="155"/>
      <c r="O1129" s="155"/>
      <c r="P1129" s="155"/>
      <c r="Q1129" s="157"/>
    </row>
    <row r="1130" spans="1:17" ht="15" thickBot="1" x14ac:dyDescent="0.4">
      <c r="A1130" s="168"/>
      <c r="B1130" s="171"/>
      <c r="C1130" s="148" t="s">
        <v>1106</v>
      </c>
      <c r="D1130" s="171"/>
      <c r="E1130" s="158"/>
      <c r="F1130" s="158"/>
      <c r="G1130" s="158"/>
      <c r="H1130" s="158"/>
      <c r="I1130" s="158"/>
      <c r="J1130" s="158"/>
      <c r="K1130" s="158"/>
      <c r="L1130" s="158"/>
      <c r="M1130" s="158"/>
      <c r="N1130" s="158"/>
      <c r="O1130" s="158"/>
      <c r="P1130" s="158"/>
      <c r="Q1130" s="159"/>
    </row>
    <row r="1131" spans="1:17" x14ac:dyDescent="0.35">
      <c r="A1131" s="166"/>
      <c r="B1131" s="169">
        <v>377</v>
      </c>
      <c r="C1131" s="147"/>
      <c r="D1131" s="169"/>
      <c r="E1131" s="154">
        <v>0</v>
      </c>
      <c r="F1131" s="154">
        <v>0</v>
      </c>
      <c r="G1131" s="154">
        <v>0</v>
      </c>
      <c r="H1131" s="154">
        <v>0</v>
      </c>
      <c r="I1131" s="154">
        <v>0</v>
      </c>
      <c r="J1131" s="154">
        <v>28</v>
      </c>
      <c r="K1131" s="154">
        <v>370</v>
      </c>
      <c r="L1131" s="154">
        <v>1</v>
      </c>
      <c r="M1131" s="154">
        <v>0</v>
      </c>
      <c r="N1131" s="154">
        <v>0</v>
      </c>
      <c r="O1131" s="154">
        <v>0</v>
      </c>
      <c r="P1131" s="154">
        <v>0</v>
      </c>
      <c r="Q1131" s="156">
        <v>58.8</v>
      </c>
    </row>
    <row r="1132" spans="1:17" x14ac:dyDescent="0.35">
      <c r="A1132" s="167"/>
      <c r="B1132" s="170"/>
      <c r="C1132" s="151" t="s">
        <v>1555</v>
      </c>
      <c r="D1132" s="170"/>
      <c r="E1132" s="155"/>
      <c r="F1132" s="155"/>
      <c r="G1132" s="155"/>
      <c r="H1132" s="155"/>
      <c r="I1132" s="155"/>
      <c r="J1132" s="155"/>
      <c r="K1132" s="155"/>
      <c r="L1132" s="155"/>
      <c r="M1132" s="155"/>
      <c r="N1132" s="155"/>
      <c r="O1132" s="155"/>
      <c r="P1132" s="155"/>
      <c r="Q1132" s="157"/>
    </row>
    <row r="1133" spans="1:17" ht="15" thickBot="1" x14ac:dyDescent="0.4">
      <c r="A1133" s="168"/>
      <c r="B1133" s="171"/>
      <c r="C1133" s="148" t="s">
        <v>1153</v>
      </c>
      <c r="D1133" s="171"/>
      <c r="E1133" s="158"/>
      <c r="F1133" s="158"/>
      <c r="G1133" s="158"/>
      <c r="H1133" s="158"/>
      <c r="I1133" s="158"/>
      <c r="J1133" s="158"/>
      <c r="K1133" s="158"/>
      <c r="L1133" s="158"/>
      <c r="M1133" s="158"/>
      <c r="N1133" s="158"/>
      <c r="O1133" s="158"/>
      <c r="P1133" s="158"/>
      <c r="Q1133" s="159"/>
    </row>
    <row r="1134" spans="1:17" x14ac:dyDescent="0.35">
      <c r="A1134" s="166"/>
      <c r="B1134" s="169">
        <v>378</v>
      </c>
      <c r="C1134" s="147"/>
      <c r="D1134" s="169"/>
      <c r="E1134" s="154">
        <v>0</v>
      </c>
      <c r="F1134" s="154">
        <v>0</v>
      </c>
      <c r="G1134" s="154">
        <v>0</v>
      </c>
      <c r="H1134" s="154">
        <v>14</v>
      </c>
      <c r="I1134" s="154">
        <v>0</v>
      </c>
      <c r="J1134" s="154">
        <v>18</v>
      </c>
      <c r="K1134" s="154">
        <v>239</v>
      </c>
      <c r="L1134" s="154">
        <v>2</v>
      </c>
      <c r="M1134" s="154">
        <v>0</v>
      </c>
      <c r="N1134" s="154">
        <v>0</v>
      </c>
      <c r="O1134" s="154">
        <v>0</v>
      </c>
      <c r="P1134" s="154">
        <v>0</v>
      </c>
      <c r="Q1134" s="156">
        <v>47.4</v>
      </c>
    </row>
    <row r="1135" spans="1:17" x14ac:dyDescent="0.35">
      <c r="A1135" s="167"/>
      <c r="B1135" s="170"/>
      <c r="C1135" s="151" t="s">
        <v>1412</v>
      </c>
      <c r="D1135" s="170"/>
      <c r="E1135" s="155"/>
      <c r="F1135" s="155"/>
      <c r="G1135" s="155"/>
      <c r="H1135" s="155"/>
      <c r="I1135" s="155"/>
      <c r="J1135" s="155"/>
      <c r="K1135" s="155"/>
      <c r="L1135" s="155"/>
      <c r="M1135" s="155"/>
      <c r="N1135" s="155"/>
      <c r="O1135" s="155"/>
      <c r="P1135" s="155"/>
      <c r="Q1135" s="157"/>
    </row>
    <row r="1136" spans="1:17" ht="15" thickBot="1" x14ac:dyDescent="0.4">
      <c r="A1136" s="168"/>
      <c r="B1136" s="171"/>
      <c r="C1136" s="148" t="s">
        <v>1060</v>
      </c>
      <c r="D1136" s="171"/>
      <c r="E1136" s="158"/>
      <c r="F1136" s="158"/>
      <c r="G1136" s="158"/>
      <c r="H1136" s="158"/>
      <c r="I1136" s="158"/>
      <c r="J1136" s="158"/>
      <c r="K1136" s="158"/>
      <c r="L1136" s="158"/>
      <c r="M1136" s="158"/>
      <c r="N1136" s="158"/>
      <c r="O1136" s="158"/>
      <c r="P1136" s="158"/>
      <c r="Q1136" s="159"/>
    </row>
    <row r="1137" spans="1:17" x14ac:dyDescent="0.35">
      <c r="A1137" s="166"/>
      <c r="B1137" s="169">
        <v>379</v>
      </c>
      <c r="C1137" s="147"/>
      <c r="D1137" s="169"/>
      <c r="E1137" s="154">
        <v>0</v>
      </c>
      <c r="F1137" s="154">
        <v>0</v>
      </c>
      <c r="G1137" s="154">
        <v>0</v>
      </c>
      <c r="H1137" s="154">
        <v>0</v>
      </c>
      <c r="I1137" s="154">
        <v>0</v>
      </c>
      <c r="J1137" s="154">
        <v>12</v>
      </c>
      <c r="K1137" s="154">
        <v>169</v>
      </c>
      <c r="L1137" s="154">
        <v>1</v>
      </c>
      <c r="M1137" s="154">
        <v>0</v>
      </c>
      <c r="N1137" s="154">
        <v>0</v>
      </c>
      <c r="O1137" s="154">
        <v>0</v>
      </c>
      <c r="P1137" s="154">
        <v>0</v>
      </c>
      <c r="Q1137" s="156">
        <v>29</v>
      </c>
    </row>
    <row r="1138" spans="1:17" x14ac:dyDescent="0.35">
      <c r="A1138" s="167"/>
      <c r="B1138" s="170"/>
      <c r="C1138" s="151" t="s">
        <v>463</v>
      </c>
      <c r="D1138" s="170"/>
      <c r="E1138" s="155"/>
      <c r="F1138" s="155"/>
      <c r="G1138" s="155"/>
      <c r="H1138" s="155"/>
      <c r="I1138" s="155"/>
      <c r="J1138" s="155"/>
      <c r="K1138" s="155"/>
      <c r="L1138" s="155"/>
      <c r="M1138" s="155"/>
      <c r="N1138" s="155"/>
      <c r="O1138" s="155"/>
      <c r="P1138" s="155"/>
      <c r="Q1138" s="157"/>
    </row>
    <row r="1139" spans="1:17" ht="15" thickBot="1" x14ac:dyDescent="0.4">
      <c r="A1139" s="168"/>
      <c r="B1139" s="171"/>
      <c r="C1139" s="148" t="s">
        <v>1027</v>
      </c>
      <c r="D1139" s="171"/>
      <c r="E1139" s="158"/>
      <c r="F1139" s="158"/>
      <c r="G1139" s="158"/>
      <c r="H1139" s="158"/>
      <c r="I1139" s="158"/>
      <c r="J1139" s="158"/>
      <c r="K1139" s="158"/>
      <c r="L1139" s="158"/>
      <c r="M1139" s="158"/>
      <c r="N1139" s="158"/>
      <c r="O1139" s="158"/>
      <c r="P1139" s="158"/>
      <c r="Q1139" s="159"/>
    </row>
    <row r="1140" spans="1:17" x14ac:dyDescent="0.35">
      <c r="A1140" s="166"/>
      <c r="B1140" s="169">
        <v>380</v>
      </c>
      <c r="C1140" s="147"/>
      <c r="D1140" s="169"/>
      <c r="E1140" s="154">
        <v>0</v>
      </c>
      <c r="F1140" s="154">
        <v>0</v>
      </c>
      <c r="G1140" s="154">
        <v>0</v>
      </c>
      <c r="H1140" s="154">
        <v>0</v>
      </c>
      <c r="I1140" s="154">
        <v>0</v>
      </c>
      <c r="J1140" s="154">
        <v>16</v>
      </c>
      <c r="K1140" s="154">
        <v>258</v>
      </c>
      <c r="L1140" s="154">
        <v>2</v>
      </c>
      <c r="M1140" s="154">
        <v>0</v>
      </c>
      <c r="N1140" s="154">
        <v>0</v>
      </c>
      <c r="O1140" s="154">
        <v>0</v>
      </c>
      <c r="P1140" s="154">
        <v>0</v>
      </c>
      <c r="Q1140" s="156">
        <v>44.5</v>
      </c>
    </row>
    <row r="1141" spans="1:17" x14ac:dyDescent="0.35">
      <c r="A1141" s="167"/>
      <c r="B1141" s="170"/>
      <c r="C1141" s="151" t="s">
        <v>712</v>
      </c>
      <c r="D1141" s="170"/>
      <c r="E1141" s="155"/>
      <c r="F1141" s="155"/>
      <c r="G1141" s="155"/>
      <c r="H1141" s="155"/>
      <c r="I1141" s="155"/>
      <c r="J1141" s="155"/>
      <c r="K1141" s="155"/>
      <c r="L1141" s="155"/>
      <c r="M1141" s="155"/>
      <c r="N1141" s="155"/>
      <c r="O1141" s="155"/>
      <c r="P1141" s="155"/>
      <c r="Q1141" s="157"/>
    </row>
    <row r="1142" spans="1:17" ht="15" thickBot="1" x14ac:dyDescent="0.4">
      <c r="A1142" s="168"/>
      <c r="B1142" s="171"/>
      <c r="C1142" s="148" t="s">
        <v>1060</v>
      </c>
      <c r="D1142" s="171"/>
      <c r="E1142" s="158"/>
      <c r="F1142" s="158"/>
      <c r="G1142" s="158"/>
      <c r="H1142" s="158"/>
      <c r="I1142" s="158"/>
      <c r="J1142" s="158"/>
      <c r="K1142" s="158"/>
      <c r="L1142" s="158"/>
      <c r="M1142" s="158"/>
      <c r="N1142" s="158"/>
      <c r="O1142" s="158"/>
      <c r="P1142" s="158"/>
      <c r="Q1142" s="159"/>
    </row>
    <row r="1143" spans="1:17" x14ac:dyDescent="0.35">
      <c r="A1143" s="166"/>
      <c r="B1143" s="169">
        <v>381</v>
      </c>
      <c r="C1143" s="147"/>
      <c r="D1143" s="169"/>
      <c r="E1143" s="154">
        <v>0</v>
      </c>
      <c r="F1143" s="154">
        <v>0</v>
      </c>
      <c r="G1143" s="154">
        <v>0</v>
      </c>
      <c r="H1143" s="154">
        <v>0</v>
      </c>
      <c r="I1143" s="154">
        <v>0</v>
      </c>
      <c r="J1143" s="154">
        <v>17</v>
      </c>
      <c r="K1143" s="154">
        <v>232</v>
      </c>
      <c r="L1143" s="154">
        <v>2</v>
      </c>
      <c r="M1143" s="154">
        <v>0</v>
      </c>
      <c r="N1143" s="154">
        <v>0</v>
      </c>
      <c r="O1143" s="154">
        <v>0</v>
      </c>
      <c r="P1143" s="154">
        <v>0</v>
      </c>
      <c r="Q1143" s="156">
        <v>44.1</v>
      </c>
    </row>
    <row r="1144" spans="1:17" x14ac:dyDescent="0.35">
      <c r="A1144" s="167"/>
      <c r="B1144" s="170"/>
      <c r="C1144" s="151" t="s">
        <v>381</v>
      </c>
      <c r="D1144" s="170"/>
      <c r="E1144" s="155"/>
      <c r="F1144" s="155"/>
      <c r="G1144" s="155"/>
      <c r="H1144" s="155"/>
      <c r="I1144" s="155"/>
      <c r="J1144" s="155"/>
      <c r="K1144" s="155"/>
      <c r="L1144" s="155"/>
      <c r="M1144" s="155"/>
      <c r="N1144" s="155"/>
      <c r="O1144" s="155"/>
      <c r="P1144" s="155"/>
      <c r="Q1144" s="157"/>
    </row>
    <row r="1145" spans="1:17" ht="15" thickBot="1" x14ac:dyDescent="0.4">
      <c r="A1145" s="168"/>
      <c r="B1145" s="171"/>
      <c r="C1145" s="148" t="s">
        <v>1026</v>
      </c>
      <c r="D1145" s="171"/>
      <c r="E1145" s="158"/>
      <c r="F1145" s="158"/>
      <c r="G1145" s="158"/>
      <c r="H1145" s="158"/>
      <c r="I1145" s="158"/>
      <c r="J1145" s="158"/>
      <c r="K1145" s="158"/>
      <c r="L1145" s="158"/>
      <c r="M1145" s="158"/>
      <c r="N1145" s="158"/>
      <c r="O1145" s="158"/>
      <c r="P1145" s="158"/>
      <c r="Q1145" s="159"/>
    </row>
    <row r="1146" spans="1:17" x14ac:dyDescent="0.35">
      <c r="A1146" s="166"/>
      <c r="B1146" s="169">
        <v>382</v>
      </c>
      <c r="C1146" s="147"/>
      <c r="D1146" s="169"/>
      <c r="E1146" s="154">
        <v>0</v>
      </c>
      <c r="F1146" s="154">
        <v>0</v>
      </c>
      <c r="G1146" s="154">
        <v>0</v>
      </c>
      <c r="H1146" s="154">
        <v>0</v>
      </c>
      <c r="I1146" s="154">
        <v>0</v>
      </c>
      <c r="J1146" s="154">
        <v>19</v>
      </c>
      <c r="K1146" s="154">
        <v>240</v>
      </c>
      <c r="L1146" s="154">
        <v>1</v>
      </c>
      <c r="M1146" s="154">
        <v>0</v>
      </c>
      <c r="N1146" s="154">
        <v>0</v>
      </c>
      <c r="O1146" s="154">
        <v>0</v>
      </c>
      <c r="P1146" s="154">
        <v>0</v>
      </c>
      <c r="Q1146" s="156">
        <v>42.3</v>
      </c>
    </row>
    <row r="1147" spans="1:17" x14ac:dyDescent="0.35">
      <c r="A1147" s="167"/>
      <c r="B1147" s="170"/>
      <c r="C1147" s="151" t="s">
        <v>1451</v>
      </c>
      <c r="D1147" s="170"/>
      <c r="E1147" s="155"/>
      <c r="F1147" s="155"/>
      <c r="G1147" s="155"/>
      <c r="H1147" s="155"/>
      <c r="I1147" s="155"/>
      <c r="J1147" s="155"/>
      <c r="K1147" s="155"/>
      <c r="L1147" s="155"/>
      <c r="M1147" s="155"/>
      <c r="N1147" s="155"/>
      <c r="O1147" s="155"/>
      <c r="P1147" s="155"/>
      <c r="Q1147" s="157"/>
    </row>
    <row r="1148" spans="1:17" ht="15" thickBot="1" x14ac:dyDescent="0.4">
      <c r="A1148" s="168"/>
      <c r="B1148" s="171"/>
      <c r="C1148" s="148" t="s">
        <v>1053</v>
      </c>
      <c r="D1148" s="171"/>
      <c r="E1148" s="158"/>
      <c r="F1148" s="158"/>
      <c r="G1148" s="158"/>
      <c r="H1148" s="158"/>
      <c r="I1148" s="158"/>
      <c r="J1148" s="158"/>
      <c r="K1148" s="158"/>
      <c r="L1148" s="158"/>
      <c r="M1148" s="158"/>
      <c r="N1148" s="158"/>
      <c r="O1148" s="158"/>
      <c r="P1148" s="158"/>
      <c r="Q1148" s="159"/>
    </row>
    <row r="1149" spans="1:17" x14ac:dyDescent="0.35">
      <c r="A1149" s="166"/>
      <c r="B1149" s="169">
        <v>383</v>
      </c>
      <c r="C1149" s="147"/>
      <c r="D1149" s="169"/>
      <c r="E1149" s="154">
        <v>0</v>
      </c>
      <c r="F1149" s="154">
        <v>0</v>
      </c>
      <c r="G1149" s="154">
        <v>0</v>
      </c>
      <c r="H1149" s="154">
        <v>0</v>
      </c>
      <c r="I1149" s="154">
        <v>0</v>
      </c>
      <c r="J1149" s="154">
        <v>19</v>
      </c>
      <c r="K1149" s="154">
        <v>210</v>
      </c>
      <c r="L1149" s="154">
        <v>2</v>
      </c>
      <c r="M1149" s="154">
        <v>0</v>
      </c>
      <c r="N1149" s="154">
        <v>0</v>
      </c>
      <c r="O1149" s="154">
        <v>0</v>
      </c>
      <c r="P1149" s="154">
        <v>0</v>
      </c>
      <c r="Q1149" s="156">
        <v>39.700000000000003</v>
      </c>
    </row>
    <row r="1150" spans="1:17" x14ac:dyDescent="0.35">
      <c r="A1150" s="167"/>
      <c r="B1150" s="170"/>
      <c r="C1150" s="151" t="s">
        <v>445</v>
      </c>
      <c r="D1150" s="170"/>
      <c r="E1150" s="155"/>
      <c r="F1150" s="155"/>
      <c r="G1150" s="155"/>
      <c r="H1150" s="155"/>
      <c r="I1150" s="155"/>
      <c r="J1150" s="155"/>
      <c r="K1150" s="155"/>
      <c r="L1150" s="155"/>
      <c r="M1150" s="155"/>
      <c r="N1150" s="155"/>
      <c r="O1150" s="155"/>
      <c r="P1150" s="155"/>
      <c r="Q1150" s="157"/>
    </row>
    <row r="1151" spans="1:17" ht="15" thickBot="1" x14ac:dyDescent="0.4">
      <c r="A1151" s="168"/>
      <c r="B1151" s="171"/>
      <c r="C1151" s="148" t="s">
        <v>1388</v>
      </c>
      <c r="D1151" s="171"/>
      <c r="E1151" s="158"/>
      <c r="F1151" s="158"/>
      <c r="G1151" s="158"/>
      <c r="H1151" s="158"/>
      <c r="I1151" s="158"/>
      <c r="J1151" s="158"/>
      <c r="K1151" s="158"/>
      <c r="L1151" s="158"/>
      <c r="M1151" s="158"/>
      <c r="N1151" s="158"/>
      <c r="O1151" s="158"/>
      <c r="P1151" s="158"/>
      <c r="Q1151" s="159"/>
    </row>
    <row r="1152" spans="1:17" x14ac:dyDescent="0.35">
      <c r="A1152" s="166"/>
      <c r="B1152" s="169">
        <v>384</v>
      </c>
      <c r="C1152" s="147"/>
      <c r="D1152" s="169"/>
      <c r="E1152" s="154">
        <v>0</v>
      </c>
      <c r="F1152" s="154">
        <v>0</v>
      </c>
      <c r="G1152" s="154">
        <v>0</v>
      </c>
      <c r="H1152" s="154">
        <v>0</v>
      </c>
      <c r="I1152" s="154">
        <v>0</v>
      </c>
      <c r="J1152" s="154">
        <v>16</v>
      </c>
      <c r="K1152" s="154">
        <v>223</v>
      </c>
      <c r="L1152" s="154">
        <v>2</v>
      </c>
      <c r="M1152" s="154">
        <v>0</v>
      </c>
      <c r="N1152" s="154">
        <v>0</v>
      </c>
      <c r="O1152" s="154">
        <v>0</v>
      </c>
      <c r="P1152" s="154">
        <v>0</v>
      </c>
      <c r="Q1152" s="156">
        <v>40.200000000000003</v>
      </c>
    </row>
    <row r="1153" spans="1:17" x14ac:dyDescent="0.35">
      <c r="A1153" s="167"/>
      <c r="B1153" s="170"/>
      <c r="C1153" s="151" t="s">
        <v>909</v>
      </c>
      <c r="D1153" s="170"/>
      <c r="E1153" s="155"/>
      <c r="F1153" s="155"/>
      <c r="G1153" s="155"/>
      <c r="H1153" s="155"/>
      <c r="I1153" s="155"/>
      <c r="J1153" s="155"/>
      <c r="K1153" s="155"/>
      <c r="L1153" s="155"/>
      <c r="M1153" s="155"/>
      <c r="N1153" s="155"/>
      <c r="O1153" s="155"/>
      <c r="P1153" s="155"/>
      <c r="Q1153" s="157"/>
    </row>
    <row r="1154" spans="1:17" ht="15" thickBot="1" x14ac:dyDescent="0.4">
      <c r="A1154" s="168"/>
      <c r="B1154" s="171"/>
      <c r="C1154" s="148" t="s">
        <v>1045</v>
      </c>
      <c r="D1154" s="171"/>
      <c r="E1154" s="158"/>
      <c r="F1154" s="158"/>
      <c r="G1154" s="158"/>
      <c r="H1154" s="158"/>
      <c r="I1154" s="158"/>
      <c r="J1154" s="158"/>
      <c r="K1154" s="158"/>
      <c r="L1154" s="158"/>
      <c r="M1154" s="158"/>
      <c r="N1154" s="158"/>
      <c r="O1154" s="158"/>
      <c r="P1154" s="158"/>
      <c r="Q1154" s="159"/>
    </row>
    <row r="1155" spans="1:17" x14ac:dyDescent="0.35">
      <c r="A1155" s="166"/>
      <c r="B1155" s="169">
        <v>385</v>
      </c>
      <c r="C1155" s="147"/>
      <c r="D1155" s="169"/>
      <c r="E1155" s="154">
        <v>0</v>
      </c>
      <c r="F1155" s="154">
        <v>0</v>
      </c>
      <c r="G1155" s="154">
        <v>0</v>
      </c>
      <c r="H1155" s="154">
        <v>0</v>
      </c>
      <c r="I1155" s="154">
        <v>0</v>
      </c>
      <c r="J1155" s="154">
        <v>19</v>
      </c>
      <c r="K1155" s="154">
        <v>191</v>
      </c>
      <c r="L1155" s="154">
        <v>1</v>
      </c>
      <c r="M1155" s="154">
        <v>0</v>
      </c>
      <c r="N1155" s="154">
        <v>0</v>
      </c>
      <c r="O1155" s="154">
        <v>0</v>
      </c>
      <c r="P1155" s="154">
        <v>0</v>
      </c>
      <c r="Q1155" s="156">
        <v>37.1</v>
      </c>
    </row>
    <row r="1156" spans="1:17" x14ac:dyDescent="0.35">
      <c r="A1156" s="167"/>
      <c r="B1156" s="170"/>
      <c r="C1156" s="151" t="s">
        <v>672</v>
      </c>
      <c r="D1156" s="170"/>
      <c r="E1156" s="155"/>
      <c r="F1156" s="155"/>
      <c r="G1156" s="155"/>
      <c r="H1156" s="155"/>
      <c r="I1156" s="155"/>
      <c r="J1156" s="155"/>
      <c r="K1156" s="155"/>
      <c r="L1156" s="155"/>
      <c r="M1156" s="155"/>
      <c r="N1156" s="155"/>
      <c r="O1156" s="155"/>
      <c r="P1156" s="155"/>
      <c r="Q1156" s="157"/>
    </row>
    <row r="1157" spans="1:17" ht="15" thickBot="1" x14ac:dyDescent="0.4">
      <c r="A1157" s="168"/>
      <c r="B1157" s="171"/>
      <c r="C1157" s="148" t="s">
        <v>1164</v>
      </c>
      <c r="D1157" s="171"/>
      <c r="E1157" s="158"/>
      <c r="F1157" s="158"/>
      <c r="G1157" s="158"/>
      <c r="H1157" s="158"/>
      <c r="I1157" s="158"/>
      <c r="J1157" s="158"/>
      <c r="K1157" s="158"/>
      <c r="L1157" s="158"/>
      <c r="M1157" s="158"/>
      <c r="N1157" s="158"/>
      <c r="O1157" s="158"/>
      <c r="P1157" s="158"/>
      <c r="Q1157" s="159"/>
    </row>
    <row r="1158" spans="1:17" x14ac:dyDescent="0.35">
      <c r="A1158" s="166"/>
      <c r="B1158" s="169">
        <v>386</v>
      </c>
      <c r="C1158" s="147"/>
      <c r="D1158" s="169"/>
      <c r="E1158" s="154">
        <v>0</v>
      </c>
      <c r="F1158" s="154">
        <v>0</v>
      </c>
      <c r="G1158" s="154">
        <v>0</v>
      </c>
      <c r="H1158" s="154">
        <v>0</v>
      </c>
      <c r="I1158" s="154">
        <v>0</v>
      </c>
      <c r="J1158" s="154">
        <v>15</v>
      </c>
      <c r="K1158" s="154">
        <v>199</v>
      </c>
      <c r="L1158" s="154">
        <v>2</v>
      </c>
      <c r="M1158" s="154">
        <v>0</v>
      </c>
      <c r="N1158" s="154">
        <v>0</v>
      </c>
      <c r="O1158" s="154">
        <v>0</v>
      </c>
      <c r="P1158" s="154">
        <v>0</v>
      </c>
      <c r="Q1158" s="156">
        <v>38.4</v>
      </c>
    </row>
    <row r="1159" spans="1:17" x14ac:dyDescent="0.35">
      <c r="A1159" s="167"/>
      <c r="B1159" s="170"/>
      <c r="C1159" s="151" t="s">
        <v>642</v>
      </c>
      <c r="D1159" s="170"/>
      <c r="E1159" s="155"/>
      <c r="F1159" s="155"/>
      <c r="G1159" s="155"/>
      <c r="H1159" s="155"/>
      <c r="I1159" s="155"/>
      <c r="J1159" s="155"/>
      <c r="K1159" s="155"/>
      <c r="L1159" s="155"/>
      <c r="M1159" s="155"/>
      <c r="N1159" s="155"/>
      <c r="O1159" s="155"/>
      <c r="P1159" s="155"/>
      <c r="Q1159" s="157"/>
    </row>
    <row r="1160" spans="1:17" ht="15" thickBot="1" x14ac:dyDescent="0.4">
      <c r="A1160" s="168"/>
      <c r="B1160" s="171"/>
      <c r="C1160" s="148" t="s">
        <v>1093</v>
      </c>
      <c r="D1160" s="171"/>
      <c r="E1160" s="158"/>
      <c r="F1160" s="158"/>
      <c r="G1160" s="158"/>
      <c r="H1160" s="158"/>
      <c r="I1160" s="158"/>
      <c r="J1160" s="158"/>
      <c r="K1160" s="158"/>
      <c r="L1160" s="158"/>
      <c r="M1160" s="158"/>
      <c r="N1160" s="158"/>
      <c r="O1160" s="158"/>
      <c r="P1160" s="158"/>
      <c r="Q1160" s="159"/>
    </row>
    <row r="1161" spans="1:17" x14ac:dyDescent="0.35">
      <c r="A1161" s="166"/>
      <c r="B1161" s="169">
        <v>387</v>
      </c>
      <c r="C1161" s="147"/>
      <c r="D1161" s="169"/>
      <c r="E1161" s="154">
        <v>0</v>
      </c>
      <c r="F1161" s="154">
        <v>0</v>
      </c>
      <c r="G1161" s="154">
        <v>0</v>
      </c>
      <c r="H1161" s="154">
        <v>0</v>
      </c>
      <c r="I1161" s="154">
        <v>0</v>
      </c>
      <c r="J1161" s="154">
        <v>18</v>
      </c>
      <c r="K1161" s="154">
        <v>198</v>
      </c>
      <c r="L1161" s="154">
        <v>1</v>
      </c>
      <c r="M1161" s="154">
        <v>0</v>
      </c>
      <c r="N1161" s="154">
        <v>0</v>
      </c>
      <c r="O1161" s="154">
        <v>0</v>
      </c>
      <c r="P1161" s="154">
        <v>0</v>
      </c>
      <c r="Q1161" s="156">
        <v>36.1</v>
      </c>
    </row>
    <row r="1162" spans="1:17" x14ac:dyDescent="0.35">
      <c r="A1162" s="167"/>
      <c r="B1162" s="170"/>
      <c r="C1162" s="151" t="s">
        <v>975</v>
      </c>
      <c r="D1162" s="170"/>
      <c r="E1162" s="155"/>
      <c r="F1162" s="155"/>
      <c r="G1162" s="155"/>
      <c r="H1162" s="155"/>
      <c r="I1162" s="155"/>
      <c r="J1162" s="155"/>
      <c r="K1162" s="155"/>
      <c r="L1162" s="155"/>
      <c r="M1162" s="155"/>
      <c r="N1162" s="155"/>
      <c r="O1162" s="155"/>
      <c r="P1162" s="155"/>
      <c r="Q1162" s="157"/>
    </row>
    <row r="1163" spans="1:17" ht="15" thickBot="1" x14ac:dyDescent="0.4">
      <c r="A1163" s="168"/>
      <c r="B1163" s="171"/>
      <c r="C1163" s="148" t="s">
        <v>1180</v>
      </c>
      <c r="D1163" s="171"/>
      <c r="E1163" s="158"/>
      <c r="F1163" s="158"/>
      <c r="G1163" s="158"/>
      <c r="H1163" s="158"/>
      <c r="I1163" s="158"/>
      <c r="J1163" s="158"/>
      <c r="K1163" s="158"/>
      <c r="L1163" s="158"/>
      <c r="M1163" s="158"/>
      <c r="N1163" s="158"/>
      <c r="O1163" s="158"/>
      <c r="P1163" s="158"/>
      <c r="Q1163" s="159"/>
    </row>
    <row r="1164" spans="1:17" x14ac:dyDescent="0.35">
      <c r="A1164" s="166"/>
      <c r="B1164" s="169">
        <v>388</v>
      </c>
      <c r="C1164" s="147"/>
      <c r="D1164" s="169"/>
      <c r="E1164" s="154">
        <v>0</v>
      </c>
      <c r="F1164" s="154">
        <v>0</v>
      </c>
      <c r="G1164" s="154">
        <v>0</v>
      </c>
      <c r="H1164" s="154">
        <v>0</v>
      </c>
      <c r="I1164" s="154">
        <v>0</v>
      </c>
      <c r="J1164" s="154">
        <v>14</v>
      </c>
      <c r="K1164" s="154">
        <v>136</v>
      </c>
      <c r="L1164" s="154">
        <v>1</v>
      </c>
      <c r="M1164" s="154">
        <v>0</v>
      </c>
      <c r="N1164" s="154">
        <v>0</v>
      </c>
      <c r="O1164" s="154">
        <v>0</v>
      </c>
      <c r="P1164" s="154">
        <v>0</v>
      </c>
      <c r="Q1164" s="156">
        <v>27</v>
      </c>
    </row>
    <row r="1165" spans="1:17" x14ac:dyDescent="0.35">
      <c r="A1165" s="167"/>
      <c r="B1165" s="170"/>
      <c r="C1165" s="151" t="s">
        <v>759</v>
      </c>
      <c r="D1165" s="170"/>
      <c r="E1165" s="155"/>
      <c r="F1165" s="155"/>
      <c r="G1165" s="155"/>
      <c r="H1165" s="155"/>
      <c r="I1165" s="155"/>
      <c r="J1165" s="155"/>
      <c r="K1165" s="155"/>
      <c r="L1165" s="155"/>
      <c r="M1165" s="155"/>
      <c r="N1165" s="155"/>
      <c r="O1165" s="155"/>
      <c r="P1165" s="155"/>
      <c r="Q1165" s="157"/>
    </row>
    <row r="1166" spans="1:17" ht="15" thickBot="1" x14ac:dyDescent="0.4">
      <c r="A1166" s="168"/>
      <c r="B1166" s="171"/>
      <c r="C1166" s="148" t="s">
        <v>1163</v>
      </c>
      <c r="D1166" s="171"/>
      <c r="E1166" s="158"/>
      <c r="F1166" s="158"/>
      <c r="G1166" s="158"/>
      <c r="H1166" s="158"/>
      <c r="I1166" s="158"/>
      <c r="J1166" s="158"/>
      <c r="K1166" s="158"/>
      <c r="L1166" s="158"/>
      <c r="M1166" s="158"/>
      <c r="N1166" s="158"/>
      <c r="O1166" s="158"/>
      <c r="P1166" s="158"/>
      <c r="Q1166" s="159"/>
    </row>
    <row r="1167" spans="1:17" x14ac:dyDescent="0.35">
      <c r="A1167" s="166"/>
      <c r="B1167" s="169">
        <v>389</v>
      </c>
      <c r="C1167" s="147"/>
      <c r="D1167" s="169"/>
      <c r="E1167" s="154">
        <v>0</v>
      </c>
      <c r="F1167" s="154">
        <v>0</v>
      </c>
      <c r="G1167" s="154">
        <v>0</v>
      </c>
      <c r="H1167" s="154">
        <v>0</v>
      </c>
      <c r="I1167" s="154">
        <v>0</v>
      </c>
      <c r="J1167" s="154">
        <v>15</v>
      </c>
      <c r="K1167" s="154">
        <v>180</v>
      </c>
      <c r="L1167" s="154">
        <v>1</v>
      </c>
      <c r="M1167" s="154">
        <v>0</v>
      </c>
      <c r="N1167" s="154">
        <v>0</v>
      </c>
      <c r="O1167" s="154">
        <v>0</v>
      </c>
      <c r="P1167" s="154">
        <v>0</v>
      </c>
      <c r="Q1167" s="156">
        <v>33</v>
      </c>
    </row>
    <row r="1168" spans="1:17" x14ac:dyDescent="0.35">
      <c r="A1168" s="167"/>
      <c r="B1168" s="170"/>
      <c r="C1168" s="151" t="s">
        <v>1449</v>
      </c>
      <c r="D1168" s="170"/>
      <c r="E1168" s="155"/>
      <c r="F1168" s="155"/>
      <c r="G1168" s="155"/>
      <c r="H1168" s="155"/>
      <c r="I1168" s="155"/>
      <c r="J1168" s="155"/>
      <c r="K1168" s="155"/>
      <c r="L1168" s="155"/>
      <c r="M1168" s="155"/>
      <c r="N1168" s="155"/>
      <c r="O1168" s="155"/>
      <c r="P1168" s="155"/>
      <c r="Q1168" s="157"/>
    </row>
    <row r="1169" spans="1:17" ht="15" thickBot="1" x14ac:dyDescent="0.4">
      <c r="A1169" s="168"/>
      <c r="B1169" s="171"/>
      <c r="C1169" s="148" t="s">
        <v>1028</v>
      </c>
      <c r="D1169" s="171"/>
      <c r="E1169" s="158"/>
      <c r="F1169" s="158"/>
      <c r="G1169" s="158"/>
      <c r="H1169" s="158"/>
      <c r="I1169" s="158"/>
      <c r="J1169" s="158"/>
      <c r="K1169" s="158"/>
      <c r="L1169" s="158"/>
      <c r="M1169" s="158"/>
      <c r="N1169" s="158"/>
      <c r="O1169" s="158"/>
      <c r="P1169" s="158"/>
      <c r="Q1169" s="159"/>
    </row>
    <row r="1170" spans="1:17" x14ac:dyDescent="0.35">
      <c r="A1170" s="166"/>
      <c r="B1170" s="169">
        <v>390</v>
      </c>
      <c r="C1170" s="147"/>
      <c r="D1170" s="169"/>
      <c r="E1170" s="154">
        <v>0</v>
      </c>
      <c r="F1170" s="154">
        <v>0</v>
      </c>
      <c r="G1170" s="154">
        <v>0</v>
      </c>
      <c r="H1170" s="154">
        <v>0</v>
      </c>
      <c r="I1170" s="154">
        <v>0</v>
      </c>
      <c r="J1170" s="154">
        <v>15</v>
      </c>
      <c r="K1170" s="154">
        <v>146</v>
      </c>
      <c r="L1170" s="154">
        <v>2</v>
      </c>
      <c r="M1170" s="154">
        <v>0</v>
      </c>
      <c r="N1170" s="154">
        <v>0</v>
      </c>
      <c r="O1170" s="154">
        <v>0</v>
      </c>
      <c r="P1170" s="154">
        <v>0</v>
      </c>
      <c r="Q1170" s="156">
        <v>32.6</v>
      </c>
    </row>
    <row r="1171" spans="1:17" x14ac:dyDescent="0.35">
      <c r="A1171" s="167"/>
      <c r="B1171" s="170"/>
      <c r="C1171" s="151" t="s">
        <v>777</v>
      </c>
      <c r="D1171" s="170"/>
      <c r="E1171" s="155"/>
      <c r="F1171" s="155"/>
      <c r="G1171" s="155"/>
      <c r="H1171" s="155"/>
      <c r="I1171" s="155"/>
      <c r="J1171" s="155"/>
      <c r="K1171" s="155"/>
      <c r="L1171" s="155"/>
      <c r="M1171" s="155"/>
      <c r="N1171" s="155"/>
      <c r="O1171" s="155"/>
      <c r="P1171" s="155"/>
      <c r="Q1171" s="157"/>
    </row>
    <row r="1172" spans="1:17" ht="15" thickBot="1" x14ac:dyDescent="0.4">
      <c r="A1172" s="168"/>
      <c r="B1172" s="171"/>
      <c r="C1172" s="148" t="s">
        <v>1074</v>
      </c>
      <c r="D1172" s="171"/>
      <c r="E1172" s="158"/>
      <c r="F1172" s="158"/>
      <c r="G1172" s="158"/>
      <c r="H1172" s="158"/>
      <c r="I1172" s="158"/>
      <c r="J1172" s="158"/>
      <c r="K1172" s="158"/>
      <c r="L1172" s="158"/>
      <c r="M1172" s="158"/>
      <c r="N1172" s="158"/>
      <c r="O1172" s="158"/>
      <c r="P1172" s="158"/>
      <c r="Q1172" s="159"/>
    </row>
    <row r="1173" spans="1:17" x14ac:dyDescent="0.35">
      <c r="A1173" s="166"/>
      <c r="B1173" s="169">
        <v>391</v>
      </c>
      <c r="C1173" s="147"/>
      <c r="D1173" s="169"/>
      <c r="E1173" s="154">
        <v>0</v>
      </c>
      <c r="F1173" s="154">
        <v>0</v>
      </c>
      <c r="G1173" s="154">
        <v>0</v>
      </c>
      <c r="H1173" s="154">
        <v>0</v>
      </c>
      <c r="I1173" s="154">
        <v>0</v>
      </c>
      <c r="J1173" s="154">
        <v>16</v>
      </c>
      <c r="K1173" s="154">
        <v>173</v>
      </c>
      <c r="L1173" s="154">
        <v>1</v>
      </c>
      <c r="M1173" s="154">
        <v>0</v>
      </c>
      <c r="N1173" s="154">
        <v>0</v>
      </c>
      <c r="O1173" s="154">
        <v>0</v>
      </c>
      <c r="P1173" s="154">
        <v>0</v>
      </c>
      <c r="Q1173" s="156">
        <v>31.2</v>
      </c>
    </row>
    <row r="1174" spans="1:17" x14ac:dyDescent="0.35">
      <c r="A1174" s="167"/>
      <c r="B1174" s="170"/>
      <c r="C1174" s="151" t="s">
        <v>335</v>
      </c>
      <c r="D1174" s="170"/>
      <c r="E1174" s="155"/>
      <c r="F1174" s="155"/>
      <c r="G1174" s="155"/>
      <c r="H1174" s="155"/>
      <c r="I1174" s="155"/>
      <c r="J1174" s="155"/>
      <c r="K1174" s="155"/>
      <c r="L1174" s="155"/>
      <c r="M1174" s="155"/>
      <c r="N1174" s="155"/>
      <c r="O1174" s="155"/>
      <c r="P1174" s="155"/>
      <c r="Q1174" s="157"/>
    </row>
    <row r="1175" spans="1:17" ht="15" thickBot="1" x14ac:dyDescent="0.4">
      <c r="A1175" s="168"/>
      <c r="B1175" s="171"/>
      <c r="C1175" s="148" t="s">
        <v>1083</v>
      </c>
      <c r="D1175" s="171"/>
      <c r="E1175" s="158"/>
      <c r="F1175" s="158"/>
      <c r="G1175" s="158"/>
      <c r="H1175" s="158"/>
      <c r="I1175" s="158"/>
      <c r="J1175" s="158"/>
      <c r="K1175" s="158"/>
      <c r="L1175" s="158"/>
      <c r="M1175" s="158"/>
      <c r="N1175" s="158"/>
      <c r="O1175" s="158"/>
      <c r="P1175" s="158"/>
      <c r="Q1175" s="159"/>
    </row>
    <row r="1176" spans="1:17" x14ac:dyDescent="0.35">
      <c r="A1176" s="166"/>
      <c r="B1176" s="169">
        <v>392</v>
      </c>
      <c r="C1176" s="147"/>
      <c r="D1176" s="169"/>
      <c r="E1176" s="154">
        <v>0</v>
      </c>
      <c r="F1176" s="154">
        <v>0</v>
      </c>
      <c r="G1176" s="154">
        <v>0</v>
      </c>
      <c r="H1176" s="154">
        <v>0</v>
      </c>
      <c r="I1176" s="154">
        <v>0</v>
      </c>
      <c r="J1176" s="154">
        <v>15</v>
      </c>
      <c r="K1176" s="154">
        <v>167</v>
      </c>
      <c r="L1176" s="154">
        <v>1</v>
      </c>
      <c r="M1176" s="154">
        <v>0</v>
      </c>
      <c r="N1176" s="154">
        <v>0</v>
      </c>
      <c r="O1176" s="154">
        <v>0</v>
      </c>
      <c r="P1176" s="154">
        <v>0</v>
      </c>
      <c r="Q1176" s="156">
        <v>31.6</v>
      </c>
    </row>
    <row r="1177" spans="1:17" x14ac:dyDescent="0.35">
      <c r="A1177" s="167"/>
      <c r="B1177" s="170"/>
      <c r="C1177" s="151" t="s">
        <v>953</v>
      </c>
      <c r="D1177" s="170"/>
      <c r="E1177" s="155"/>
      <c r="F1177" s="155"/>
      <c r="G1177" s="155"/>
      <c r="H1177" s="155"/>
      <c r="I1177" s="155"/>
      <c r="J1177" s="155"/>
      <c r="K1177" s="155"/>
      <c r="L1177" s="155"/>
      <c r="M1177" s="155"/>
      <c r="N1177" s="155"/>
      <c r="O1177" s="155"/>
      <c r="P1177" s="155"/>
      <c r="Q1177" s="157"/>
    </row>
    <row r="1178" spans="1:17" ht="15" thickBot="1" x14ac:dyDescent="0.4">
      <c r="A1178" s="168"/>
      <c r="B1178" s="171"/>
      <c r="C1178" s="148" t="s">
        <v>1399</v>
      </c>
      <c r="D1178" s="171"/>
      <c r="E1178" s="158"/>
      <c r="F1178" s="158"/>
      <c r="G1178" s="158"/>
      <c r="H1178" s="158"/>
      <c r="I1178" s="158"/>
      <c r="J1178" s="158"/>
      <c r="K1178" s="158"/>
      <c r="L1178" s="158"/>
      <c r="M1178" s="158"/>
      <c r="N1178" s="158"/>
      <c r="O1178" s="158"/>
      <c r="P1178" s="158"/>
      <c r="Q1178" s="159"/>
    </row>
    <row r="1179" spans="1:17" x14ac:dyDescent="0.35">
      <c r="A1179" s="166"/>
      <c r="B1179" s="169">
        <v>393</v>
      </c>
      <c r="C1179" s="147"/>
      <c r="D1179" s="169"/>
      <c r="E1179" s="154">
        <v>0</v>
      </c>
      <c r="F1179" s="154">
        <v>0</v>
      </c>
      <c r="G1179" s="154">
        <v>0</v>
      </c>
      <c r="H1179" s="154">
        <v>27</v>
      </c>
      <c r="I1179" s="154">
        <v>0</v>
      </c>
      <c r="J1179" s="154">
        <v>10</v>
      </c>
      <c r="K1179" s="154">
        <v>157</v>
      </c>
      <c r="L1179" s="154">
        <v>1</v>
      </c>
      <c r="M1179" s="154">
        <v>0</v>
      </c>
      <c r="N1179" s="154">
        <v>0</v>
      </c>
      <c r="O1179" s="154">
        <v>0</v>
      </c>
      <c r="P1179" s="154">
        <v>0</v>
      </c>
      <c r="Q1179" s="156">
        <v>33.299999999999997</v>
      </c>
    </row>
    <row r="1180" spans="1:17" x14ac:dyDescent="0.35">
      <c r="A1180" s="167"/>
      <c r="B1180" s="170"/>
      <c r="C1180" s="151" t="s">
        <v>417</v>
      </c>
      <c r="D1180" s="170"/>
      <c r="E1180" s="155"/>
      <c r="F1180" s="155"/>
      <c r="G1180" s="155"/>
      <c r="H1180" s="155"/>
      <c r="I1180" s="155"/>
      <c r="J1180" s="155"/>
      <c r="K1180" s="155"/>
      <c r="L1180" s="155"/>
      <c r="M1180" s="155"/>
      <c r="N1180" s="155"/>
      <c r="O1180" s="155"/>
      <c r="P1180" s="155"/>
      <c r="Q1180" s="157"/>
    </row>
    <row r="1181" spans="1:17" ht="15" thickBot="1" x14ac:dyDescent="0.4">
      <c r="A1181" s="168"/>
      <c r="B1181" s="171"/>
      <c r="C1181" s="148" t="s">
        <v>1060</v>
      </c>
      <c r="D1181" s="171"/>
      <c r="E1181" s="158"/>
      <c r="F1181" s="158"/>
      <c r="G1181" s="158"/>
      <c r="H1181" s="158"/>
      <c r="I1181" s="158"/>
      <c r="J1181" s="158"/>
      <c r="K1181" s="158"/>
      <c r="L1181" s="158"/>
      <c r="M1181" s="158"/>
      <c r="N1181" s="158"/>
      <c r="O1181" s="158"/>
      <c r="P1181" s="158"/>
      <c r="Q1181" s="159"/>
    </row>
    <row r="1182" spans="1:17" x14ac:dyDescent="0.35">
      <c r="A1182" s="166"/>
      <c r="B1182" s="169">
        <v>394</v>
      </c>
      <c r="C1182" s="147"/>
      <c r="D1182" s="169"/>
      <c r="E1182" s="154">
        <v>0</v>
      </c>
      <c r="F1182" s="154">
        <v>0</v>
      </c>
      <c r="G1182" s="154">
        <v>0</v>
      </c>
      <c r="H1182" s="154">
        <v>19</v>
      </c>
      <c r="I1182" s="154">
        <v>0</v>
      </c>
      <c r="J1182" s="154">
        <v>15</v>
      </c>
      <c r="K1182" s="154">
        <v>150</v>
      </c>
      <c r="L1182" s="154">
        <v>1</v>
      </c>
      <c r="M1182" s="154">
        <v>0</v>
      </c>
      <c r="N1182" s="154">
        <v>0</v>
      </c>
      <c r="O1182" s="154">
        <v>0</v>
      </c>
      <c r="P1182" s="154">
        <v>0</v>
      </c>
      <c r="Q1182" s="156">
        <v>29.7</v>
      </c>
    </row>
    <row r="1183" spans="1:17" x14ac:dyDescent="0.35">
      <c r="A1183" s="167"/>
      <c r="B1183" s="170"/>
      <c r="C1183" s="151" t="s">
        <v>916</v>
      </c>
      <c r="D1183" s="170"/>
      <c r="E1183" s="155"/>
      <c r="F1183" s="155"/>
      <c r="G1183" s="155"/>
      <c r="H1183" s="155"/>
      <c r="I1183" s="155"/>
      <c r="J1183" s="155"/>
      <c r="K1183" s="155"/>
      <c r="L1183" s="155"/>
      <c r="M1183" s="155"/>
      <c r="N1183" s="155"/>
      <c r="O1183" s="155"/>
      <c r="P1183" s="155"/>
      <c r="Q1183" s="157"/>
    </row>
    <row r="1184" spans="1:17" ht="15" thickBot="1" x14ac:dyDescent="0.4">
      <c r="A1184" s="168"/>
      <c r="B1184" s="171"/>
      <c r="C1184" s="148" t="s">
        <v>1084</v>
      </c>
      <c r="D1184" s="171"/>
      <c r="E1184" s="158"/>
      <c r="F1184" s="158"/>
      <c r="G1184" s="158"/>
      <c r="H1184" s="158"/>
      <c r="I1184" s="158"/>
      <c r="J1184" s="158"/>
      <c r="K1184" s="158"/>
      <c r="L1184" s="158"/>
      <c r="M1184" s="158"/>
      <c r="N1184" s="158"/>
      <c r="O1184" s="158"/>
      <c r="P1184" s="158"/>
      <c r="Q1184" s="159"/>
    </row>
    <row r="1185" spans="1:17" x14ac:dyDescent="0.35">
      <c r="A1185" s="166"/>
      <c r="B1185" s="169">
        <v>395</v>
      </c>
      <c r="C1185" s="147"/>
      <c r="D1185" s="169"/>
      <c r="E1185" s="154">
        <v>0</v>
      </c>
      <c r="F1185" s="154">
        <v>0</v>
      </c>
      <c r="G1185" s="154">
        <v>0</v>
      </c>
      <c r="H1185" s="154">
        <v>35</v>
      </c>
      <c r="I1185" s="154">
        <v>0</v>
      </c>
      <c r="J1185" s="154">
        <v>15</v>
      </c>
      <c r="K1185" s="154">
        <v>132</v>
      </c>
      <c r="L1185" s="154">
        <v>1</v>
      </c>
      <c r="M1185" s="154">
        <v>0</v>
      </c>
      <c r="N1185" s="154">
        <v>0</v>
      </c>
      <c r="O1185" s="154">
        <v>0</v>
      </c>
      <c r="P1185" s="154">
        <v>0</v>
      </c>
      <c r="Q1185" s="156">
        <v>29.3</v>
      </c>
    </row>
    <row r="1186" spans="1:17" x14ac:dyDescent="0.35">
      <c r="A1186" s="167"/>
      <c r="B1186" s="170"/>
      <c r="C1186" s="151" t="s">
        <v>1450</v>
      </c>
      <c r="D1186" s="170"/>
      <c r="E1186" s="155"/>
      <c r="F1186" s="155"/>
      <c r="G1186" s="155"/>
      <c r="H1186" s="155"/>
      <c r="I1186" s="155"/>
      <c r="J1186" s="155"/>
      <c r="K1186" s="155"/>
      <c r="L1186" s="155"/>
      <c r="M1186" s="155"/>
      <c r="N1186" s="155"/>
      <c r="O1186" s="155"/>
      <c r="P1186" s="155"/>
      <c r="Q1186" s="157"/>
    </row>
    <row r="1187" spans="1:17" ht="15" thickBot="1" x14ac:dyDescent="0.4">
      <c r="A1187" s="168"/>
      <c r="B1187" s="171"/>
      <c r="C1187" s="148" t="s">
        <v>1036</v>
      </c>
      <c r="D1187" s="171"/>
      <c r="E1187" s="158"/>
      <c r="F1187" s="158"/>
      <c r="G1187" s="158"/>
      <c r="H1187" s="158"/>
      <c r="I1187" s="158"/>
      <c r="J1187" s="158"/>
      <c r="K1187" s="158"/>
      <c r="L1187" s="158"/>
      <c r="M1187" s="158"/>
      <c r="N1187" s="158"/>
      <c r="O1187" s="158"/>
      <c r="P1187" s="158"/>
      <c r="Q1187" s="159"/>
    </row>
    <row r="1188" spans="1:17" x14ac:dyDescent="0.35">
      <c r="A1188" s="166"/>
      <c r="B1188" s="169">
        <v>396</v>
      </c>
      <c r="C1188" s="147"/>
      <c r="D1188" s="169"/>
      <c r="E1188" s="154">
        <v>0</v>
      </c>
      <c r="F1188" s="154">
        <v>0</v>
      </c>
      <c r="G1188" s="154">
        <v>0</v>
      </c>
      <c r="H1188" s="154">
        <v>0</v>
      </c>
      <c r="I1188" s="154">
        <v>0</v>
      </c>
      <c r="J1188" s="154">
        <v>11</v>
      </c>
      <c r="K1188" s="154">
        <v>135</v>
      </c>
      <c r="L1188" s="154">
        <v>1</v>
      </c>
      <c r="M1188" s="154">
        <v>0</v>
      </c>
      <c r="N1188" s="154">
        <v>0</v>
      </c>
      <c r="O1188" s="154">
        <v>0</v>
      </c>
      <c r="P1188" s="154">
        <v>0</v>
      </c>
      <c r="Q1188" s="156">
        <v>25.7</v>
      </c>
    </row>
    <row r="1189" spans="1:17" x14ac:dyDescent="0.35">
      <c r="A1189" s="167"/>
      <c r="B1189" s="170"/>
      <c r="C1189" s="151" t="s">
        <v>945</v>
      </c>
      <c r="D1189" s="170"/>
      <c r="E1189" s="155"/>
      <c r="F1189" s="155"/>
      <c r="G1189" s="155"/>
      <c r="H1189" s="155"/>
      <c r="I1189" s="155"/>
      <c r="J1189" s="155"/>
      <c r="K1189" s="155"/>
      <c r="L1189" s="155"/>
      <c r="M1189" s="155"/>
      <c r="N1189" s="155"/>
      <c r="O1189" s="155"/>
      <c r="P1189" s="155"/>
      <c r="Q1189" s="157"/>
    </row>
    <row r="1190" spans="1:17" ht="15" thickBot="1" x14ac:dyDescent="0.4">
      <c r="A1190" s="168"/>
      <c r="B1190" s="171"/>
      <c r="C1190" s="148" t="s">
        <v>1097</v>
      </c>
      <c r="D1190" s="171"/>
      <c r="E1190" s="158"/>
      <c r="F1190" s="158"/>
      <c r="G1190" s="158"/>
      <c r="H1190" s="158"/>
      <c r="I1190" s="158"/>
      <c r="J1190" s="158"/>
      <c r="K1190" s="158"/>
      <c r="L1190" s="158"/>
      <c r="M1190" s="158"/>
      <c r="N1190" s="158"/>
      <c r="O1190" s="158"/>
      <c r="P1190" s="158"/>
      <c r="Q1190" s="159"/>
    </row>
    <row r="1191" spans="1:17" x14ac:dyDescent="0.35">
      <c r="A1191" s="166"/>
      <c r="B1191" s="169">
        <v>397</v>
      </c>
      <c r="C1191" s="147"/>
      <c r="D1191" s="169"/>
      <c r="E1191" s="154">
        <v>0</v>
      </c>
      <c r="F1191" s="154">
        <v>0</v>
      </c>
      <c r="G1191" s="154">
        <v>0</v>
      </c>
      <c r="H1191" s="154">
        <v>0</v>
      </c>
      <c r="I1191" s="154">
        <v>0</v>
      </c>
      <c r="J1191" s="154">
        <v>18</v>
      </c>
      <c r="K1191" s="154">
        <v>179</v>
      </c>
      <c r="L1191" s="154">
        <v>2</v>
      </c>
      <c r="M1191" s="154">
        <v>0</v>
      </c>
      <c r="N1191" s="154">
        <v>0</v>
      </c>
      <c r="O1191" s="154">
        <v>0</v>
      </c>
      <c r="P1191" s="154">
        <v>0</v>
      </c>
      <c r="Q1191" s="156">
        <v>36.4</v>
      </c>
    </row>
    <row r="1192" spans="1:17" x14ac:dyDescent="0.35">
      <c r="A1192" s="167"/>
      <c r="B1192" s="170"/>
      <c r="C1192" s="151" t="s">
        <v>763</v>
      </c>
      <c r="D1192" s="170"/>
      <c r="E1192" s="155"/>
      <c r="F1192" s="155"/>
      <c r="G1192" s="155"/>
      <c r="H1192" s="155"/>
      <c r="I1192" s="155"/>
      <c r="J1192" s="155"/>
      <c r="K1192" s="155"/>
      <c r="L1192" s="155"/>
      <c r="M1192" s="155"/>
      <c r="N1192" s="155"/>
      <c r="O1192" s="155"/>
      <c r="P1192" s="155"/>
      <c r="Q1192" s="157"/>
    </row>
    <row r="1193" spans="1:17" ht="15" thickBot="1" x14ac:dyDescent="0.4">
      <c r="A1193" s="168"/>
      <c r="B1193" s="171"/>
      <c r="C1193" s="148" t="s">
        <v>1385</v>
      </c>
      <c r="D1193" s="171"/>
      <c r="E1193" s="158"/>
      <c r="F1193" s="158"/>
      <c r="G1193" s="158"/>
      <c r="H1193" s="158"/>
      <c r="I1193" s="158"/>
      <c r="J1193" s="158"/>
      <c r="K1193" s="158"/>
      <c r="L1193" s="158"/>
      <c r="M1193" s="158"/>
      <c r="N1193" s="158"/>
      <c r="O1193" s="158"/>
      <c r="P1193" s="158"/>
      <c r="Q1193" s="159"/>
    </row>
    <row r="1194" spans="1:17" x14ac:dyDescent="0.35">
      <c r="A1194" s="166"/>
      <c r="B1194" s="169">
        <v>398</v>
      </c>
      <c r="C1194" s="147"/>
      <c r="D1194" s="169"/>
      <c r="E1194" s="154">
        <v>0</v>
      </c>
      <c r="F1194" s="154">
        <v>0</v>
      </c>
      <c r="G1194" s="154">
        <v>0</v>
      </c>
      <c r="H1194" s="154">
        <v>0</v>
      </c>
      <c r="I1194" s="154">
        <v>0</v>
      </c>
      <c r="J1194" s="154">
        <v>12</v>
      </c>
      <c r="K1194" s="154">
        <v>163</v>
      </c>
      <c r="L1194" s="154">
        <v>1</v>
      </c>
      <c r="M1194" s="154">
        <v>0</v>
      </c>
      <c r="N1194" s="154">
        <v>0</v>
      </c>
      <c r="O1194" s="154">
        <v>0</v>
      </c>
      <c r="P1194" s="154">
        <v>0</v>
      </c>
      <c r="Q1194" s="156">
        <v>29.5</v>
      </c>
    </row>
    <row r="1195" spans="1:17" x14ac:dyDescent="0.35">
      <c r="A1195" s="167"/>
      <c r="B1195" s="170"/>
      <c r="C1195" s="151" t="s">
        <v>598</v>
      </c>
      <c r="D1195" s="170"/>
      <c r="E1195" s="155"/>
      <c r="F1195" s="155"/>
      <c r="G1195" s="155"/>
      <c r="H1195" s="155"/>
      <c r="I1195" s="155"/>
      <c r="J1195" s="155"/>
      <c r="K1195" s="155"/>
      <c r="L1195" s="155"/>
      <c r="M1195" s="155"/>
      <c r="N1195" s="155"/>
      <c r="O1195" s="155"/>
      <c r="P1195" s="155"/>
      <c r="Q1195" s="157"/>
    </row>
    <row r="1196" spans="1:17" ht="15" thickBot="1" x14ac:dyDescent="0.4">
      <c r="A1196" s="168"/>
      <c r="B1196" s="171"/>
      <c r="C1196" s="148" t="s">
        <v>1029</v>
      </c>
      <c r="D1196" s="171"/>
      <c r="E1196" s="158"/>
      <c r="F1196" s="158"/>
      <c r="G1196" s="158"/>
      <c r="H1196" s="158"/>
      <c r="I1196" s="158"/>
      <c r="J1196" s="158"/>
      <c r="K1196" s="158"/>
      <c r="L1196" s="158"/>
      <c r="M1196" s="158"/>
      <c r="N1196" s="158"/>
      <c r="O1196" s="158"/>
      <c r="P1196" s="158"/>
      <c r="Q1196" s="159"/>
    </row>
    <row r="1197" spans="1:17" x14ac:dyDescent="0.35">
      <c r="A1197" s="166"/>
      <c r="B1197" s="169">
        <v>399</v>
      </c>
      <c r="C1197" s="147"/>
      <c r="D1197" s="169"/>
      <c r="E1197" s="154">
        <v>0</v>
      </c>
      <c r="F1197" s="154">
        <v>0</v>
      </c>
      <c r="G1197" s="154">
        <v>0</v>
      </c>
      <c r="H1197" s="154">
        <v>0</v>
      </c>
      <c r="I1197" s="154">
        <v>0</v>
      </c>
      <c r="J1197" s="154">
        <v>14</v>
      </c>
      <c r="K1197" s="154">
        <v>143</v>
      </c>
      <c r="L1197" s="154">
        <v>1</v>
      </c>
      <c r="M1197" s="154">
        <v>0</v>
      </c>
      <c r="N1197" s="154">
        <v>0</v>
      </c>
      <c r="O1197" s="154">
        <v>0</v>
      </c>
      <c r="P1197" s="154">
        <v>0</v>
      </c>
      <c r="Q1197" s="156">
        <v>28.3</v>
      </c>
    </row>
    <row r="1198" spans="1:17" x14ac:dyDescent="0.35">
      <c r="A1198" s="167"/>
      <c r="B1198" s="170"/>
      <c r="C1198" s="151" t="s">
        <v>1258</v>
      </c>
      <c r="D1198" s="170"/>
      <c r="E1198" s="155"/>
      <c r="F1198" s="155"/>
      <c r="G1198" s="155"/>
      <c r="H1198" s="155"/>
      <c r="I1198" s="155"/>
      <c r="J1198" s="155"/>
      <c r="K1198" s="155"/>
      <c r="L1198" s="155"/>
      <c r="M1198" s="155"/>
      <c r="N1198" s="155"/>
      <c r="O1198" s="155"/>
      <c r="P1198" s="155"/>
      <c r="Q1198" s="157"/>
    </row>
    <row r="1199" spans="1:17" ht="15" thickBot="1" x14ac:dyDescent="0.4">
      <c r="A1199" s="168"/>
      <c r="B1199" s="171"/>
      <c r="C1199" s="148" t="s">
        <v>1071</v>
      </c>
      <c r="D1199" s="171"/>
      <c r="E1199" s="158"/>
      <c r="F1199" s="158"/>
      <c r="G1199" s="158"/>
      <c r="H1199" s="158"/>
      <c r="I1199" s="158"/>
      <c r="J1199" s="158"/>
      <c r="K1199" s="158"/>
      <c r="L1199" s="158"/>
      <c r="M1199" s="158"/>
      <c r="N1199" s="158"/>
      <c r="O1199" s="158"/>
      <c r="P1199" s="158"/>
      <c r="Q1199" s="159"/>
    </row>
    <row r="1200" spans="1:17" x14ac:dyDescent="0.35">
      <c r="A1200" s="166"/>
      <c r="B1200" s="169">
        <v>400</v>
      </c>
      <c r="C1200" s="147"/>
      <c r="D1200" s="169"/>
      <c r="E1200" s="154">
        <v>0</v>
      </c>
      <c r="F1200" s="154">
        <v>0</v>
      </c>
      <c r="G1200" s="154">
        <v>0</v>
      </c>
      <c r="H1200" s="154">
        <v>152</v>
      </c>
      <c r="I1200" s="154">
        <v>1</v>
      </c>
      <c r="J1200" s="154">
        <v>6</v>
      </c>
      <c r="K1200" s="154">
        <v>60</v>
      </c>
      <c r="L1200" s="154">
        <v>0</v>
      </c>
      <c r="M1200" s="154">
        <v>0</v>
      </c>
      <c r="N1200" s="154">
        <v>0</v>
      </c>
      <c r="O1200" s="154">
        <v>0</v>
      </c>
      <c r="P1200" s="154">
        <v>0</v>
      </c>
      <c r="Q1200" s="156">
        <v>32.200000000000003</v>
      </c>
    </row>
    <row r="1201" spans="1:17" x14ac:dyDescent="0.35">
      <c r="A1201" s="167"/>
      <c r="B1201" s="170"/>
      <c r="C1201" s="151" t="s">
        <v>602</v>
      </c>
      <c r="D1201" s="170"/>
      <c r="E1201" s="155"/>
      <c r="F1201" s="155"/>
      <c r="G1201" s="155"/>
      <c r="H1201" s="155"/>
      <c r="I1201" s="155"/>
      <c r="J1201" s="155"/>
      <c r="K1201" s="155"/>
      <c r="L1201" s="155"/>
      <c r="M1201" s="155"/>
      <c r="N1201" s="155"/>
      <c r="O1201" s="155"/>
      <c r="P1201" s="155"/>
      <c r="Q1201" s="157"/>
    </row>
    <row r="1202" spans="1:17" x14ac:dyDescent="0.35">
      <c r="A1202" s="167"/>
      <c r="B1202" s="170"/>
      <c r="C1202" s="147" t="s">
        <v>1064</v>
      </c>
      <c r="D1202" s="170"/>
      <c r="E1202" s="155"/>
      <c r="F1202" s="155"/>
      <c r="G1202" s="155"/>
      <c r="H1202" s="155"/>
      <c r="I1202" s="155"/>
      <c r="J1202" s="155"/>
      <c r="K1202" s="155"/>
      <c r="L1202" s="155"/>
      <c r="M1202" s="155"/>
      <c r="N1202" s="155"/>
      <c r="O1202" s="155"/>
      <c r="P1202" s="155"/>
      <c r="Q1202" s="157"/>
    </row>
    <row r="1203" spans="1:17" x14ac:dyDescent="0.35">
      <c r="A1203" s="73" t="s">
        <v>1183</v>
      </c>
    </row>
  </sheetData>
  <sortState xmlns:xlrd2="http://schemas.microsoft.com/office/spreadsheetml/2017/richdata2" ref="Y4:Y59">
    <sortCondition ref="Y4:Y59"/>
  </sortState>
  <mergeCells count="6416">
    <mergeCell ref="O750:O752"/>
    <mergeCell ref="P750:P752"/>
    <mergeCell ref="Q750:Q752"/>
    <mergeCell ref="I750:I752"/>
    <mergeCell ref="J750:J752"/>
    <mergeCell ref="K750:K752"/>
    <mergeCell ref="L750:L752"/>
    <mergeCell ref="M750:M752"/>
    <mergeCell ref="N750:N752"/>
    <mergeCell ref="O747:O749"/>
    <mergeCell ref="P747:P749"/>
    <mergeCell ref="Q747:Q749"/>
    <mergeCell ref="E750:E752"/>
    <mergeCell ref="F750:F752"/>
    <mergeCell ref="G750:G752"/>
    <mergeCell ref="H750:H752"/>
    <mergeCell ref="I747:I749"/>
    <mergeCell ref="J747:J749"/>
    <mergeCell ref="K747:K749"/>
    <mergeCell ref="L747:L749"/>
    <mergeCell ref="M747:M749"/>
    <mergeCell ref="N747:N749"/>
    <mergeCell ref="O744:O746"/>
    <mergeCell ref="P744:P746"/>
    <mergeCell ref="Q744:Q746"/>
    <mergeCell ref="E747:E749"/>
    <mergeCell ref="F747:F749"/>
    <mergeCell ref="G747:G749"/>
    <mergeCell ref="H747:H749"/>
    <mergeCell ref="I744:I746"/>
    <mergeCell ref="J744:J746"/>
    <mergeCell ref="K744:K746"/>
    <mergeCell ref="L744:L746"/>
    <mergeCell ref="M744:M746"/>
    <mergeCell ref="N744:N746"/>
    <mergeCell ref="O741:O743"/>
    <mergeCell ref="P741:P743"/>
    <mergeCell ref="Q741:Q743"/>
    <mergeCell ref="E744:E746"/>
    <mergeCell ref="F744:F746"/>
    <mergeCell ref="G744:G746"/>
    <mergeCell ref="H744:H746"/>
    <mergeCell ref="I741:I743"/>
    <mergeCell ref="J741:J743"/>
    <mergeCell ref="K741:K743"/>
    <mergeCell ref="L741:L743"/>
    <mergeCell ref="M741:M743"/>
    <mergeCell ref="N741:N743"/>
    <mergeCell ref="O738:O740"/>
    <mergeCell ref="P738:P740"/>
    <mergeCell ref="Q738:Q740"/>
    <mergeCell ref="E741:E743"/>
    <mergeCell ref="F741:F743"/>
    <mergeCell ref="G741:G743"/>
    <mergeCell ref="H741:H743"/>
    <mergeCell ref="I738:I740"/>
    <mergeCell ref="J738:J740"/>
    <mergeCell ref="K738:K740"/>
    <mergeCell ref="L738:L740"/>
    <mergeCell ref="M738:M740"/>
    <mergeCell ref="N738:N740"/>
    <mergeCell ref="O735:O737"/>
    <mergeCell ref="P735:P737"/>
    <mergeCell ref="Q735:Q737"/>
    <mergeCell ref="E738:E740"/>
    <mergeCell ref="F738:F740"/>
    <mergeCell ref="G738:G740"/>
    <mergeCell ref="H738:H740"/>
    <mergeCell ref="I735:I737"/>
    <mergeCell ref="J735:J737"/>
    <mergeCell ref="K735:K737"/>
    <mergeCell ref="L735:L737"/>
    <mergeCell ref="M735:M737"/>
    <mergeCell ref="N735:N737"/>
    <mergeCell ref="O732:O734"/>
    <mergeCell ref="P732:P734"/>
    <mergeCell ref="Q732:Q734"/>
    <mergeCell ref="E735:E737"/>
    <mergeCell ref="F735:F737"/>
    <mergeCell ref="G735:G737"/>
    <mergeCell ref="H735:H737"/>
    <mergeCell ref="I732:I734"/>
    <mergeCell ref="J732:J734"/>
    <mergeCell ref="K732:K734"/>
    <mergeCell ref="L732:L734"/>
    <mergeCell ref="M732:M734"/>
    <mergeCell ref="N732:N734"/>
    <mergeCell ref="O729:O731"/>
    <mergeCell ref="P729:P731"/>
    <mergeCell ref="Q729:Q731"/>
    <mergeCell ref="E732:E734"/>
    <mergeCell ref="F732:F734"/>
    <mergeCell ref="G732:G734"/>
    <mergeCell ref="H732:H734"/>
    <mergeCell ref="I729:I731"/>
    <mergeCell ref="J729:J731"/>
    <mergeCell ref="K729:K731"/>
    <mergeCell ref="L729:L731"/>
    <mergeCell ref="M729:M731"/>
    <mergeCell ref="N729:N731"/>
    <mergeCell ref="O726:O728"/>
    <mergeCell ref="P726:P728"/>
    <mergeCell ref="Q726:Q728"/>
    <mergeCell ref="E729:E731"/>
    <mergeCell ref="F729:F731"/>
    <mergeCell ref="G729:G731"/>
    <mergeCell ref="H729:H731"/>
    <mergeCell ref="I726:I728"/>
    <mergeCell ref="J726:J728"/>
    <mergeCell ref="K726:K728"/>
    <mergeCell ref="L726:L728"/>
    <mergeCell ref="M726:M728"/>
    <mergeCell ref="N726:N728"/>
    <mergeCell ref="O723:O725"/>
    <mergeCell ref="P723:P725"/>
    <mergeCell ref="Q723:Q725"/>
    <mergeCell ref="E726:E728"/>
    <mergeCell ref="F726:F728"/>
    <mergeCell ref="G726:G728"/>
    <mergeCell ref="H726:H728"/>
    <mergeCell ref="I723:I725"/>
    <mergeCell ref="J723:J725"/>
    <mergeCell ref="K723:K725"/>
    <mergeCell ref="L723:L725"/>
    <mergeCell ref="M723:M725"/>
    <mergeCell ref="N723:N725"/>
    <mergeCell ref="O720:O722"/>
    <mergeCell ref="P720:P722"/>
    <mergeCell ref="Q720:Q722"/>
    <mergeCell ref="E723:E725"/>
    <mergeCell ref="F723:F725"/>
    <mergeCell ref="G723:G725"/>
    <mergeCell ref="H723:H725"/>
    <mergeCell ref="I720:I722"/>
    <mergeCell ref="J720:J722"/>
    <mergeCell ref="K720:K722"/>
    <mergeCell ref="L720:L722"/>
    <mergeCell ref="M720:M722"/>
    <mergeCell ref="N720:N722"/>
    <mergeCell ref="O717:O719"/>
    <mergeCell ref="P717:P719"/>
    <mergeCell ref="Q717:Q719"/>
    <mergeCell ref="E720:E722"/>
    <mergeCell ref="F720:F722"/>
    <mergeCell ref="G720:G722"/>
    <mergeCell ref="H720:H722"/>
    <mergeCell ref="I717:I719"/>
    <mergeCell ref="J717:J719"/>
    <mergeCell ref="K717:K719"/>
    <mergeCell ref="L717:L719"/>
    <mergeCell ref="M717:M719"/>
    <mergeCell ref="N717:N719"/>
    <mergeCell ref="O714:O716"/>
    <mergeCell ref="P714:P716"/>
    <mergeCell ref="Q714:Q716"/>
    <mergeCell ref="E717:E719"/>
    <mergeCell ref="F717:F719"/>
    <mergeCell ref="G717:G719"/>
    <mergeCell ref="H717:H719"/>
    <mergeCell ref="I714:I716"/>
    <mergeCell ref="J714:J716"/>
    <mergeCell ref="K714:K716"/>
    <mergeCell ref="L714:L716"/>
    <mergeCell ref="M714:M716"/>
    <mergeCell ref="N714:N716"/>
    <mergeCell ref="O711:O713"/>
    <mergeCell ref="P711:P713"/>
    <mergeCell ref="Q711:Q713"/>
    <mergeCell ref="E714:E716"/>
    <mergeCell ref="F714:F716"/>
    <mergeCell ref="G714:G716"/>
    <mergeCell ref="H714:H716"/>
    <mergeCell ref="I711:I713"/>
    <mergeCell ref="J711:J713"/>
    <mergeCell ref="K711:K713"/>
    <mergeCell ref="L711:L713"/>
    <mergeCell ref="M711:M713"/>
    <mergeCell ref="N711:N713"/>
    <mergeCell ref="O708:O710"/>
    <mergeCell ref="P708:P710"/>
    <mergeCell ref="Q708:Q710"/>
    <mergeCell ref="E711:E713"/>
    <mergeCell ref="F711:F713"/>
    <mergeCell ref="G711:G713"/>
    <mergeCell ref="H711:H713"/>
    <mergeCell ref="I708:I710"/>
    <mergeCell ref="J708:J710"/>
    <mergeCell ref="K708:K710"/>
    <mergeCell ref="L708:L710"/>
    <mergeCell ref="M708:M710"/>
    <mergeCell ref="N708:N710"/>
    <mergeCell ref="O705:O707"/>
    <mergeCell ref="P705:P707"/>
    <mergeCell ref="Q705:Q707"/>
    <mergeCell ref="E708:E710"/>
    <mergeCell ref="F708:F710"/>
    <mergeCell ref="G708:G710"/>
    <mergeCell ref="H708:H710"/>
    <mergeCell ref="I705:I707"/>
    <mergeCell ref="J705:J707"/>
    <mergeCell ref="K705:K707"/>
    <mergeCell ref="L705:L707"/>
    <mergeCell ref="M705:M707"/>
    <mergeCell ref="N705:N707"/>
    <mergeCell ref="O702:O704"/>
    <mergeCell ref="P702:P704"/>
    <mergeCell ref="Q702:Q704"/>
    <mergeCell ref="E705:E707"/>
    <mergeCell ref="F705:F707"/>
    <mergeCell ref="G705:G707"/>
    <mergeCell ref="H705:H707"/>
    <mergeCell ref="I702:I704"/>
    <mergeCell ref="J702:J704"/>
    <mergeCell ref="K702:K704"/>
    <mergeCell ref="L702:L704"/>
    <mergeCell ref="M702:M704"/>
    <mergeCell ref="N702:N704"/>
    <mergeCell ref="O699:O701"/>
    <mergeCell ref="P699:P701"/>
    <mergeCell ref="Q699:Q701"/>
    <mergeCell ref="E702:E704"/>
    <mergeCell ref="F702:F704"/>
    <mergeCell ref="G702:G704"/>
    <mergeCell ref="H702:H704"/>
    <mergeCell ref="I699:I701"/>
    <mergeCell ref="J699:J701"/>
    <mergeCell ref="K699:K701"/>
    <mergeCell ref="L699:L701"/>
    <mergeCell ref="M699:M701"/>
    <mergeCell ref="N699:N701"/>
    <mergeCell ref="O696:O698"/>
    <mergeCell ref="P696:P698"/>
    <mergeCell ref="Q696:Q698"/>
    <mergeCell ref="E699:E701"/>
    <mergeCell ref="F699:F701"/>
    <mergeCell ref="G699:G701"/>
    <mergeCell ref="H699:H701"/>
    <mergeCell ref="I696:I698"/>
    <mergeCell ref="J696:J698"/>
    <mergeCell ref="K696:K698"/>
    <mergeCell ref="L696:L698"/>
    <mergeCell ref="M696:M698"/>
    <mergeCell ref="N696:N698"/>
    <mergeCell ref="O693:O695"/>
    <mergeCell ref="P693:P695"/>
    <mergeCell ref="Q693:Q695"/>
    <mergeCell ref="E696:E698"/>
    <mergeCell ref="F696:F698"/>
    <mergeCell ref="G696:G698"/>
    <mergeCell ref="H696:H698"/>
    <mergeCell ref="I693:I695"/>
    <mergeCell ref="J693:J695"/>
    <mergeCell ref="K693:K695"/>
    <mergeCell ref="L693:L695"/>
    <mergeCell ref="M693:M695"/>
    <mergeCell ref="N693:N695"/>
    <mergeCell ref="O690:O692"/>
    <mergeCell ref="P690:P692"/>
    <mergeCell ref="Q690:Q692"/>
    <mergeCell ref="E693:E695"/>
    <mergeCell ref="F693:F695"/>
    <mergeCell ref="G693:G695"/>
    <mergeCell ref="H693:H695"/>
    <mergeCell ref="I690:I692"/>
    <mergeCell ref="J690:J692"/>
    <mergeCell ref="K690:K692"/>
    <mergeCell ref="L690:L692"/>
    <mergeCell ref="M690:M692"/>
    <mergeCell ref="N690:N692"/>
    <mergeCell ref="O687:O689"/>
    <mergeCell ref="P687:P689"/>
    <mergeCell ref="Q687:Q689"/>
    <mergeCell ref="E690:E692"/>
    <mergeCell ref="F690:F692"/>
    <mergeCell ref="G690:G692"/>
    <mergeCell ref="H690:H692"/>
    <mergeCell ref="I687:I689"/>
    <mergeCell ref="J687:J689"/>
    <mergeCell ref="K687:K689"/>
    <mergeCell ref="L687:L689"/>
    <mergeCell ref="M687:M689"/>
    <mergeCell ref="N687:N689"/>
    <mergeCell ref="O684:O686"/>
    <mergeCell ref="P684:P686"/>
    <mergeCell ref="Q684:Q686"/>
    <mergeCell ref="E687:E689"/>
    <mergeCell ref="F687:F689"/>
    <mergeCell ref="G687:G689"/>
    <mergeCell ref="H687:H689"/>
    <mergeCell ref="I684:I686"/>
    <mergeCell ref="J684:J686"/>
    <mergeCell ref="K684:K686"/>
    <mergeCell ref="L684:L686"/>
    <mergeCell ref="M684:M686"/>
    <mergeCell ref="N684:N686"/>
    <mergeCell ref="O681:O683"/>
    <mergeCell ref="P681:P683"/>
    <mergeCell ref="Q681:Q683"/>
    <mergeCell ref="E684:E686"/>
    <mergeCell ref="F684:F686"/>
    <mergeCell ref="G684:G686"/>
    <mergeCell ref="H684:H686"/>
    <mergeCell ref="I681:I683"/>
    <mergeCell ref="J681:J683"/>
    <mergeCell ref="K681:K683"/>
    <mergeCell ref="L681:L683"/>
    <mergeCell ref="M681:M683"/>
    <mergeCell ref="N681:N683"/>
    <mergeCell ref="O678:O680"/>
    <mergeCell ref="P678:P680"/>
    <mergeCell ref="Q678:Q680"/>
    <mergeCell ref="E681:E683"/>
    <mergeCell ref="F681:F683"/>
    <mergeCell ref="G681:G683"/>
    <mergeCell ref="H681:H683"/>
    <mergeCell ref="I678:I680"/>
    <mergeCell ref="J678:J680"/>
    <mergeCell ref="K678:K680"/>
    <mergeCell ref="L678:L680"/>
    <mergeCell ref="M678:M680"/>
    <mergeCell ref="N678:N680"/>
    <mergeCell ref="O675:O677"/>
    <mergeCell ref="P675:P677"/>
    <mergeCell ref="Q675:Q677"/>
    <mergeCell ref="E678:E680"/>
    <mergeCell ref="F678:F680"/>
    <mergeCell ref="G678:G680"/>
    <mergeCell ref="H678:H680"/>
    <mergeCell ref="I675:I677"/>
    <mergeCell ref="J675:J677"/>
    <mergeCell ref="K675:K677"/>
    <mergeCell ref="L675:L677"/>
    <mergeCell ref="M675:M677"/>
    <mergeCell ref="N675:N677"/>
    <mergeCell ref="O672:O674"/>
    <mergeCell ref="P672:P674"/>
    <mergeCell ref="Q672:Q674"/>
    <mergeCell ref="E675:E677"/>
    <mergeCell ref="F675:F677"/>
    <mergeCell ref="G675:G677"/>
    <mergeCell ref="H675:H677"/>
    <mergeCell ref="I672:I674"/>
    <mergeCell ref="J672:J674"/>
    <mergeCell ref="K672:K674"/>
    <mergeCell ref="L672:L674"/>
    <mergeCell ref="M672:M674"/>
    <mergeCell ref="N672:N674"/>
    <mergeCell ref="O669:O671"/>
    <mergeCell ref="P669:P671"/>
    <mergeCell ref="Q669:Q671"/>
    <mergeCell ref="E672:E674"/>
    <mergeCell ref="F672:F674"/>
    <mergeCell ref="G672:G674"/>
    <mergeCell ref="H672:H674"/>
    <mergeCell ref="I669:I671"/>
    <mergeCell ref="J669:J671"/>
    <mergeCell ref="K669:K671"/>
    <mergeCell ref="L669:L671"/>
    <mergeCell ref="M669:M671"/>
    <mergeCell ref="N669:N671"/>
    <mergeCell ref="O666:O668"/>
    <mergeCell ref="P666:P668"/>
    <mergeCell ref="Q666:Q668"/>
    <mergeCell ref="E669:E671"/>
    <mergeCell ref="F669:F671"/>
    <mergeCell ref="G669:G671"/>
    <mergeCell ref="H669:H671"/>
    <mergeCell ref="I666:I668"/>
    <mergeCell ref="J666:J668"/>
    <mergeCell ref="K666:K668"/>
    <mergeCell ref="L666:L668"/>
    <mergeCell ref="M666:M668"/>
    <mergeCell ref="N666:N668"/>
    <mergeCell ref="O663:O665"/>
    <mergeCell ref="P663:P665"/>
    <mergeCell ref="Q663:Q665"/>
    <mergeCell ref="E666:E668"/>
    <mergeCell ref="F666:F668"/>
    <mergeCell ref="G666:G668"/>
    <mergeCell ref="H666:H668"/>
    <mergeCell ref="I663:I665"/>
    <mergeCell ref="J663:J665"/>
    <mergeCell ref="K663:K665"/>
    <mergeCell ref="L663:L665"/>
    <mergeCell ref="M663:M665"/>
    <mergeCell ref="N663:N665"/>
    <mergeCell ref="O660:O662"/>
    <mergeCell ref="P660:P662"/>
    <mergeCell ref="Q660:Q662"/>
    <mergeCell ref="E663:E665"/>
    <mergeCell ref="F663:F665"/>
    <mergeCell ref="G663:G665"/>
    <mergeCell ref="H663:H665"/>
    <mergeCell ref="I660:I662"/>
    <mergeCell ref="J660:J662"/>
    <mergeCell ref="K660:K662"/>
    <mergeCell ref="L660:L662"/>
    <mergeCell ref="M660:M662"/>
    <mergeCell ref="N660:N662"/>
    <mergeCell ref="O657:O659"/>
    <mergeCell ref="P657:P659"/>
    <mergeCell ref="Q657:Q659"/>
    <mergeCell ref="E660:E662"/>
    <mergeCell ref="F660:F662"/>
    <mergeCell ref="G660:G662"/>
    <mergeCell ref="H660:H662"/>
    <mergeCell ref="I657:I659"/>
    <mergeCell ref="J657:J659"/>
    <mergeCell ref="K657:K659"/>
    <mergeCell ref="L657:L659"/>
    <mergeCell ref="M657:M659"/>
    <mergeCell ref="N657:N659"/>
    <mergeCell ref="O654:O656"/>
    <mergeCell ref="P654:P656"/>
    <mergeCell ref="Q654:Q656"/>
    <mergeCell ref="E657:E659"/>
    <mergeCell ref="F657:F659"/>
    <mergeCell ref="G657:G659"/>
    <mergeCell ref="H657:H659"/>
    <mergeCell ref="I654:I656"/>
    <mergeCell ref="J654:J656"/>
    <mergeCell ref="K654:K656"/>
    <mergeCell ref="L654:L656"/>
    <mergeCell ref="M654:M656"/>
    <mergeCell ref="N654:N656"/>
    <mergeCell ref="O651:O653"/>
    <mergeCell ref="P651:P653"/>
    <mergeCell ref="Q651:Q653"/>
    <mergeCell ref="E654:E656"/>
    <mergeCell ref="F654:F656"/>
    <mergeCell ref="G654:G656"/>
    <mergeCell ref="H654:H656"/>
    <mergeCell ref="I651:I653"/>
    <mergeCell ref="J651:J653"/>
    <mergeCell ref="K651:K653"/>
    <mergeCell ref="L651:L653"/>
    <mergeCell ref="M651:M653"/>
    <mergeCell ref="N651:N653"/>
    <mergeCell ref="O648:O650"/>
    <mergeCell ref="P648:P650"/>
    <mergeCell ref="Q648:Q650"/>
    <mergeCell ref="E651:E653"/>
    <mergeCell ref="F651:F653"/>
    <mergeCell ref="G651:G653"/>
    <mergeCell ref="H651:H653"/>
    <mergeCell ref="I648:I650"/>
    <mergeCell ref="J648:J650"/>
    <mergeCell ref="K648:K650"/>
    <mergeCell ref="L648:L650"/>
    <mergeCell ref="M648:M650"/>
    <mergeCell ref="N648:N650"/>
    <mergeCell ref="O645:O647"/>
    <mergeCell ref="P645:P647"/>
    <mergeCell ref="Q645:Q647"/>
    <mergeCell ref="E648:E650"/>
    <mergeCell ref="F648:F650"/>
    <mergeCell ref="G648:G650"/>
    <mergeCell ref="H648:H650"/>
    <mergeCell ref="I645:I647"/>
    <mergeCell ref="J645:J647"/>
    <mergeCell ref="K645:K647"/>
    <mergeCell ref="L645:L647"/>
    <mergeCell ref="M645:M647"/>
    <mergeCell ref="N645:N647"/>
    <mergeCell ref="O642:O644"/>
    <mergeCell ref="P642:P644"/>
    <mergeCell ref="Q642:Q644"/>
    <mergeCell ref="E645:E647"/>
    <mergeCell ref="F645:F647"/>
    <mergeCell ref="G645:G647"/>
    <mergeCell ref="H645:H647"/>
    <mergeCell ref="I642:I644"/>
    <mergeCell ref="J642:J644"/>
    <mergeCell ref="K642:K644"/>
    <mergeCell ref="L642:L644"/>
    <mergeCell ref="M642:M644"/>
    <mergeCell ref="N642:N644"/>
    <mergeCell ref="O639:O641"/>
    <mergeCell ref="P639:P641"/>
    <mergeCell ref="Q639:Q641"/>
    <mergeCell ref="E642:E644"/>
    <mergeCell ref="F642:F644"/>
    <mergeCell ref="G642:G644"/>
    <mergeCell ref="H642:H644"/>
    <mergeCell ref="I639:I641"/>
    <mergeCell ref="J639:J641"/>
    <mergeCell ref="K639:K641"/>
    <mergeCell ref="L639:L641"/>
    <mergeCell ref="M639:M641"/>
    <mergeCell ref="N639:N641"/>
    <mergeCell ref="O636:O638"/>
    <mergeCell ref="P636:P638"/>
    <mergeCell ref="Q636:Q638"/>
    <mergeCell ref="E639:E641"/>
    <mergeCell ref="F639:F641"/>
    <mergeCell ref="G639:G641"/>
    <mergeCell ref="H639:H641"/>
    <mergeCell ref="I636:I638"/>
    <mergeCell ref="J636:J638"/>
    <mergeCell ref="K636:K638"/>
    <mergeCell ref="L636:L638"/>
    <mergeCell ref="M636:M638"/>
    <mergeCell ref="N636:N638"/>
    <mergeCell ref="O633:O635"/>
    <mergeCell ref="P633:P635"/>
    <mergeCell ref="Q633:Q635"/>
    <mergeCell ref="E636:E638"/>
    <mergeCell ref="F636:F638"/>
    <mergeCell ref="G636:G638"/>
    <mergeCell ref="H636:H638"/>
    <mergeCell ref="I633:I635"/>
    <mergeCell ref="J633:J635"/>
    <mergeCell ref="K633:K635"/>
    <mergeCell ref="L633:L635"/>
    <mergeCell ref="M633:M635"/>
    <mergeCell ref="N633:N635"/>
    <mergeCell ref="O630:O632"/>
    <mergeCell ref="P630:P632"/>
    <mergeCell ref="Q630:Q632"/>
    <mergeCell ref="E633:E635"/>
    <mergeCell ref="F633:F635"/>
    <mergeCell ref="G633:G635"/>
    <mergeCell ref="H633:H635"/>
    <mergeCell ref="I630:I632"/>
    <mergeCell ref="J630:J632"/>
    <mergeCell ref="K630:K632"/>
    <mergeCell ref="L630:L632"/>
    <mergeCell ref="M630:M632"/>
    <mergeCell ref="N630:N632"/>
    <mergeCell ref="O627:O629"/>
    <mergeCell ref="P627:P629"/>
    <mergeCell ref="Q627:Q629"/>
    <mergeCell ref="E630:E632"/>
    <mergeCell ref="F630:F632"/>
    <mergeCell ref="G630:G632"/>
    <mergeCell ref="H630:H632"/>
    <mergeCell ref="I627:I629"/>
    <mergeCell ref="J627:J629"/>
    <mergeCell ref="K627:K629"/>
    <mergeCell ref="L627:L629"/>
    <mergeCell ref="M627:M629"/>
    <mergeCell ref="N627:N629"/>
    <mergeCell ref="O624:O626"/>
    <mergeCell ref="P624:P626"/>
    <mergeCell ref="Q624:Q626"/>
    <mergeCell ref="E627:E629"/>
    <mergeCell ref="F627:F629"/>
    <mergeCell ref="G627:G629"/>
    <mergeCell ref="H627:H629"/>
    <mergeCell ref="I624:I626"/>
    <mergeCell ref="J624:J626"/>
    <mergeCell ref="K624:K626"/>
    <mergeCell ref="L624:L626"/>
    <mergeCell ref="M624:M626"/>
    <mergeCell ref="N624:N626"/>
    <mergeCell ref="O621:O623"/>
    <mergeCell ref="P621:P623"/>
    <mergeCell ref="Q621:Q623"/>
    <mergeCell ref="E624:E626"/>
    <mergeCell ref="F624:F626"/>
    <mergeCell ref="G624:G626"/>
    <mergeCell ref="H624:H626"/>
    <mergeCell ref="I621:I623"/>
    <mergeCell ref="J621:J623"/>
    <mergeCell ref="K621:K623"/>
    <mergeCell ref="L621:L623"/>
    <mergeCell ref="M621:M623"/>
    <mergeCell ref="N621:N623"/>
    <mergeCell ref="O618:O620"/>
    <mergeCell ref="P618:P620"/>
    <mergeCell ref="Q618:Q620"/>
    <mergeCell ref="E621:E623"/>
    <mergeCell ref="F621:F623"/>
    <mergeCell ref="G621:G623"/>
    <mergeCell ref="H621:H623"/>
    <mergeCell ref="I618:I620"/>
    <mergeCell ref="J618:J620"/>
    <mergeCell ref="K618:K620"/>
    <mergeCell ref="L618:L620"/>
    <mergeCell ref="M618:M620"/>
    <mergeCell ref="N618:N620"/>
    <mergeCell ref="O615:O617"/>
    <mergeCell ref="P615:P617"/>
    <mergeCell ref="Q615:Q617"/>
    <mergeCell ref="E618:E620"/>
    <mergeCell ref="F618:F620"/>
    <mergeCell ref="G618:G620"/>
    <mergeCell ref="H618:H620"/>
    <mergeCell ref="I615:I617"/>
    <mergeCell ref="J615:J617"/>
    <mergeCell ref="K615:K617"/>
    <mergeCell ref="L615:L617"/>
    <mergeCell ref="M615:M617"/>
    <mergeCell ref="N615:N617"/>
    <mergeCell ref="O612:O614"/>
    <mergeCell ref="P612:P614"/>
    <mergeCell ref="Q612:Q614"/>
    <mergeCell ref="E615:E617"/>
    <mergeCell ref="F615:F617"/>
    <mergeCell ref="G615:G617"/>
    <mergeCell ref="H615:H617"/>
    <mergeCell ref="I612:I614"/>
    <mergeCell ref="J612:J614"/>
    <mergeCell ref="K612:K614"/>
    <mergeCell ref="L612:L614"/>
    <mergeCell ref="M612:M614"/>
    <mergeCell ref="N612:N614"/>
    <mergeCell ref="O609:O611"/>
    <mergeCell ref="P609:P611"/>
    <mergeCell ref="Q609:Q611"/>
    <mergeCell ref="E612:E614"/>
    <mergeCell ref="F612:F614"/>
    <mergeCell ref="G612:G614"/>
    <mergeCell ref="H612:H614"/>
    <mergeCell ref="I609:I611"/>
    <mergeCell ref="J609:J611"/>
    <mergeCell ref="K609:K611"/>
    <mergeCell ref="L609:L611"/>
    <mergeCell ref="M609:M611"/>
    <mergeCell ref="N609:N611"/>
    <mergeCell ref="O606:O608"/>
    <mergeCell ref="P606:P608"/>
    <mergeCell ref="Q606:Q608"/>
    <mergeCell ref="E609:E611"/>
    <mergeCell ref="F609:F611"/>
    <mergeCell ref="G609:G611"/>
    <mergeCell ref="H609:H611"/>
    <mergeCell ref="I606:I608"/>
    <mergeCell ref="J606:J608"/>
    <mergeCell ref="K606:K608"/>
    <mergeCell ref="L606:L608"/>
    <mergeCell ref="M606:M608"/>
    <mergeCell ref="N606:N608"/>
    <mergeCell ref="O603:O605"/>
    <mergeCell ref="P603:P605"/>
    <mergeCell ref="Q603:Q605"/>
    <mergeCell ref="E606:E608"/>
    <mergeCell ref="F606:F608"/>
    <mergeCell ref="G606:G608"/>
    <mergeCell ref="H606:H608"/>
    <mergeCell ref="I603:I605"/>
    <mergeCell ref="J603:J605"/>
    <mergeCell ref="K603:K605"/>
    <mergeCell ref="L603:L605"/>
    <mergeCell ref="M603:M605"/>
    <mergeCell ref="N603:N605"/>
    <mergeCell ref="O600:O602"/>
    <mergeCell ref="P600:P602"/>
    <mergeCell ref="Q600:Q602"/>
    <mergeCell ref="E603:E605"/>
    <mergeCell ref="F603:F605"/>
    <mergeCell ref="G603:G605"/>
    <mergeCell ref="H603:H605"/>
    <mergeCell ref="I600:I602"/>
    <mergeCell ref="J600:J602"/>
    <mergeCell ref="K600:K602"/>
    <mergeCell ref="L600:L602"/>
    <mergeCell ref="M600:M602"/>
    <mergeCell ref="N600:N602"/>
    <mergeCell ref="O597:O599"/>
    <mergeCell ref="P597:P599"/>
    <mergeCell ref="Q597:Q599"/>
    <mergeCell ref="E600:E602"/>
    <mergeCell ref="F600:F602"/>
    <mergeCell ref="G600:G602"/>
    <mergeCell ref="H600:H602"/>
    <mergeCell ref="I597:I599"/>
    <mergeCell ref="J597:J599"/>
    <mergeCell ref="K597:K599"/>
    <mergeCell ref="L597:L599"/>
    <mergeCell ref="M597:M599"/>
    <mergeCell ref="N597:N599"/>
    <mergeCell ref="O594:O596"/>
    <mergeCell ref="P594:P596"/>
    <mergeCell ref="Q594:Q596"/>
    <mergeCell ref="E597:E599"/>
    <mergeCell ref="F597:F599"/>
    <mergeCell ref="G597:G599"/>
    <mergeCell ref="H597:H599"/>
    <mergeCell ref="I594:I596"/>
    <mergeCell ref="J594:J596"/>
    <mergeCell ref="K594:K596"/>
    <mergeCell ref="L594:L596"/>
    <mergeCell ref="M594:M596"/>
    <mergeCell ref="N594:N596"/>
    <mergeCell ref="O591:O593"/>
    <mergeCell ref="P591:P593"/>
    <mergeCell ref="Q591:Q593"/>
    <mergeCell ref="E594:E596"/>
    <mergeCell ref="F594:F596"/>
    <mergeCell ref="G594:G596"/>
    <mergeCell ref="H594:H596"/>
    <mergeCell ref="I591:I593"/>
    <mergeCell ref="J591:J593"/>
    <mergeCell ref="K591:K593"/>
    <mergeCell ref="L591:L593"/>
    <mergeCell ref="M591:M593"/>
    <mergeCell ref="N591:N593"/>
    <mergeCell ref="O588:O590"/>
    <mergeCell ref="P588:P590"/>
    <mergeCell ref="Q588:Q590"/>
    <mergeCell ref="E591:E593"/>
    <mergeCell ref="F591:F593"/>
    <mergeCell ref="G591:G593"/>
    <mergeCell ref="H591:H593"/>
    <mergeCell ref="I588:I590"/>
    <mergeCell ref="J588:J590"/>
    <mergeCell ref="K588:K590"/>
    <mergeCell ref="L588:L590"/>
    <mergeCell ref="M588:M590"/>
    <mergeCell ref="N588:N590"/>
    <mergeCell ref="O585:O587"/>
    <mergeCell ref="P585:P587"/>
    <mergeCell ref="Q585:Q587"/>
    <mergeCell ref="E588:E590"/>
    <mergeCell ref="F588:F590"/>
    <mergeCell ref="G588:G590"/>
    <mergeCell ref="H588:H590"/>
    <mergeCell ref="I585:I587"/>
    <mergeCell ref="J585:J587"/>
    <mergeCell ref="K585:K587"/>
    <mergeCell ref="L585:L587"/>
    <mergeCell ref="M585:M587"/>
    <mergeCell ref="N585:N587"/>
    <mergeCell ref="O582:O584"/>
    <mergeCell ref="P582:P584"/>
    <mergeCell ref="Q582:Q584"/>
    <mergeCell ref="E585:E587"/>
    <mergeCell ref="F585:F587"/>
    <mergeCell ref="G585:G587"/>
    <mergeCell ref="H585:H587"/>
    <mergeCell ref="I582:I584"/>
    <mergeCell ref="J582:J584"/>
    <mergeCell ref="K582:K584"/>
    <mergeCell ref="L582:L584"/>
    <mergeCell ref="M582:M584"/>
    <mergeCell ref="N582:N584"/>
    <mergeCell ref="O579:O581"/>
    <mergeCell ref="P579:P581"/>
    <mergeCell ref="Q579:Q581"/>
    <mergeCell ref="E582:E584"/>
    <mergeCell ref="F582:F584"/>
    <mergeCell ref="G582:G584"/>
    <mergeCell ref="H582:H584"/>
    <mergeCell ref="I579:I581"/>
    <mergeCell ref="J579:J581"/>
    <mergeCell ref="K579:K581"/>
    <mergeCell ref="L579:L581"/>
    <mergeCell ref="M579:M581"/>
    <mergeCell ref="N579:N581"/>
    <mergeCell ref="O576:O578"/>
    <mergeCell ref="P576:P578"/>
    <mergeCell ref="Q576:Q578"/>
    <mergeCell ref="E579:E581"/>
    <mergeCell ref="F579:F581"/>
    <mergeCell ref="G579:G581"/>
    <mergeCell ref="H579:H581"/>
    <mergeCell ref="I576:I578"/>
    <mergeCell ref="J576:J578"/>
    <mergeCell ref="K576:K578"/>
    <mergeCell ref="L576:L578"/>
    <mergeCell ref="M576:M578"/>
    <mergeCell ref="N576:N578"/>
    <mergeCell ref="O573:O575"/>
    <mergeCell ref="P573:P575"/>
    <mergeCell ref="Q573:Q575"/>
    <mergeCell ref="E576:E578"/>
    <mergeCell ref="F576:F578"/>
    <mergeCell ref="G576:G578"/>
    <mergeCell ref="H576:H578"/>
    <mergeCell ref="I573:I575"/>
    <mergeCell ref="J573:J575"/>
    <mergeCell ref="K573:K575"/>
    <mergeCell ref="L573:L575"/>
    <mergeCell ref="M573:M575"/>
    <mergeCell ref="N573:N575"/>
    <mergeCell ref="O570:O572"/>
    <mergeCell ref="P570:P572"/>
    <mergeCell ref="Q570:Q572"/>
    <mergeCell ref="E573:E575"/>
    <mergeCell ref="F573:F575"/>
    <mergeCell ref="G573:G575"/>
    <mergeCell ref="H573:H575"/>
    <mergeCell ref="I570:I572"/>
    <mergeCell ref="J570:J572"/>
    <mergeCell ref="K570:K572"/>
    <mergeCell ref="L570:L572"/>
    <mergeCell ref="M570:M572"/>
    <mergeCell ref="N570:N572"/>
    <mergeCell ref="O567:O569"/>
    <mergeCell ref="P567:P569"/>
    <mergeCell ref="Q567:Q569"/>
    <mergeCell ref="E570:E572"/>
    <mergeCell ref="F570:F572"/>
    <mergeCell ref="G570:G572"/>
    <mergeCell ref="H570:H572"/>
    <mergeCell ref="I567:I569"/>
    <mergeCell ref="J567:J569"/>
    <mergeCell ref="K567:K569"/>
    <mergeCell ref="L567:L569"/>
    <mergeCell ref="M567:M569"/>
    <mergeCell ref="N567:N569"/>
    <mergeCell ref="O564:O566"/>
    <mergeCell ref="P564:P566"/>
    <mergeCell ref="Q564:Q566"/>
    <mergeCell ref="E567:E569"/>
    <mergeCell ref="F567:F569"/>
    <mergeCell ref="G567:G569"/>
    <mergeCell ref="H567:H569"/>
    <mergeCell ref="I564:I566"/>
    <mergeCell ref="J564:J566"/>
    <mergeCell ref="K564:K566"/>
    <mergeCell ref="L564:L566"/>
    <mergeCell ref="M564:M566"/>
    <mergeCell ref="N564:N566"/>
    <mergeCell ref="O561:O563"/>
    <mergeCell ref="P561:P563"/>
    <mergeCell ref="Q561:Q563"/>
    <mergeCell ref="E564:E566"/>
    <mergeCell ref="F564:F566"/>
    <mergeCell ref="G564:G566"/>
    <mergeCell ref="H564:H566"/>
    <mergeCell ref="I561:I563"/>
    <mergeCell ref="J561:J563"/>
    <mergeCell ref="K561:K563"/>
    <mergeCell ref="L561:L563"/>
    <mergeCell ref="M561:M563"/>
    <mergeCell ref="N561:N563"/>
    <mergeCell ref="O558:O560"/>
    <mergeCell ref="P558:P560"/>
    <mergeCell ref="Q558:Q560"/>
    <mergeCell ref="E561:E563"/>
    <mergeCell ref="F561:F563"/>
    <mergeCell ref="G561:G563"/>
    <mergeCell ref="H561:H563"/>
    <mergeCell ref="I558:I560"/>
    <mergeCell ref="J558:J560"/>
    <mergeCell ref="K558:K560"/>
    <mergeCell ref="L558:L560"/>
    <mergeCell ref="M558:M560"/>
    <mergeCell ref="N558:N560"/>
    <mergeCell ref="O555:O557"/>
    <mergeCell ref="P555:P557"/>
    <mergeCell ref="Q555:Q557"/>
    <mergeCell ref="E558:E560"/>
    <mergeCell ref="F558:F560"/>
    <mergeCell ref="G558:G560"/>
    <mergeCell ref="H558:H560"/>
    <mergeCell ref="I555:I557"/>
    <mergeCell ref="J555:J557"/>
    <mergeCell ref="K555:K557"/>
    <mergeCell ref="L555:L557"/>
    <mergeCell ref="M555:M557"/>
    <mergeCell ref="N555:N557"/>
    <mergeCell ref="O552:O554"/>
    <mergeCell ref="P552:P554"/>
    <mergeCell ref="Q552:Q554"/>
    <mergeCell ref="E555:E557"/>
    <mergeCell ref="F555:F557"/>
    <mergeCell ref="G555:G557"/>
    <mergeCell ref="H555:H557"/>
    <mergeCell ref="I552:I554"/>
    <mergeCell ref="J552:J554"/>
    <mergeCell ref="K552:K554"/>
    <mergeCell ref="L552:L554"/>
    <mergeCell ref="M552:M554"/>
    <mergeCell ref="N552:N554"/>
    <mergeCell ref="O549:O551"/>
    <mergeCell ref="P549:P551"/>
    <mergeCell ref="Q549:Q551"/>
    <mergeCell ref="E552:E554"/>
    <mergeCell ref="F552:F554"/>
    <mergeCell ref="G552:G554"/>
    <mergeCell ref="H552:H554"/>
    <mergeCell ref="I549:I551"/>
    <mergeCell ref="J549:J551"/>
    <mergeCell ref="K549:K551"/>
    <mergeCell ref="L549:L551"/>
    <mergeCell ref="M549:M551"/>
    <mergeCell ref="N549:N551"/>
    <mergeCell ref="O546:O548"/>
    <mergeCell ref="P546:P548"/>
    <mergeCell ref="Q546:Q548"/>
    <mergeCell ref="E549:E551"/>
    <mergeCell ref="F549:F551"/>
    <mergeCell ref="G549:G551"/>
    <mergeCell ref="H549:H551"/>
    <mergeCell ref="I546:I548"/>
    <mergeCell ref="J546:J548"/>
    <mergeCell ref="K546:K548"/>
    <mergeCell ref="L546:L548"/>
    <mergeCell ref="M546:M548"/>
    <mergeCell ref="N546:N548"/>
    <mergeCell ref="O543:O545"/>
    <mergeCell ref="P543:P545"/>
    <mergeCell ref="Q543:Q545"/>
    <mergeCell ref="E546:E548"/>
    <mergeCell ref="F546:F548"/>
    <mergeCell ref="G546:G548"/>
    <mergeCell ref="H546:H548"/>
    <mergeCell ref="I543:I545"/>
    <mergeCell ref="J543:J545"/>
    <mergeCell ref="K543:K545"/>
    <mergeCell ref="L543:L545"/>
    <mergeCell ref="M543:M545"/>
    <mergeCell ref="N543:N545"/>
    <mergeCell ref="O540:O542"/>
    <mergeCell ref="P540:P542"/>
    <mergeCell ref="Q540:Q542"/>
    <mergeCell ref="E543:E545"/>
    <mergeCell ref="F543:F545"/>
    <mergeCell ref="G543:G545"/>
    <mergeCell ref="H543:H545"/>
    <mergeCell ref="I540:I542"/>
    <mergeCell ref="J540:J542"/>
    <mergeCell ref="K540:K542"/>
    <mergeCell ref="L540:L542"/>
    <mergeCell ref="M540:M542"/>
    <mergeCell ref="N540:N542"/>
    <mergeCell ref="O537:O539"/>
    <mergeCell ref="P537:P539"/>
    <mergeCell ref="Q537:Q539"/>
    <mergeCell ref="E540:E542"/>
    <mergeCell ref="F540:F542"/>
    <mergeCell ref="G540:G542"/>
    <mergeCell ref="H540:H542"/>
    <mergeCell ref="I537:I539"/>
    <mergeCell ref="J537:J539"/>
    <mergeCell ref="K537:K539"/>
    <mergeCell ref="L537:L539"/>
    <mergeCell ref="M537:M539"/>
    <mergeCell ref="N537:N539"/>
    <mergeCell ref="O534:O536"/>
    <mergeCell ref="P534:P536"/>
    <mergeCell ref="Q534:Q536"/>
    <mergeCell ref="E537:E539"/>
    <mergeCell ref="F537:F539"/>
    <mergeCell ref="G537:G539"/>
    <mergeCell ref="H537:H539"/>
    <mergeCell ref="I534:I536"/>
    <mergeCell ref="J534:J536"/>
    <mergeCell ref="K534:K536"/>
    <mergeCell ref="L534:L536"/>
    <mergeCell ref="M534:M536"/>
    <mergeCell ref="N534:N536"/>
    <mergeCell ref="O531:O533"/>
    <mergeCell ref="P531:P533"/>
    <mergeCell ref="Q531:Q533"/>
    <mergeCell ref="E534:E536"/>
    <mergeCell ref="F534:F536"/>
    <mergeCell ref="G534:G536"/>
    <mergeCell ref="H534:H536"/>
    <mergeCell ref="I531:I533"/>
    <mergeCell ref="J531:J533"/>
    <mergeCell ref="K531:K533"/>
    <mergeCell ref="L531:L533"/>
    <mergeCell ref="M531:M533"/>
    <mergeCell ref="N531:N533"/>
    <mergeCell ref="O528:O530"/>
    <mergeCell ref="P528:P530"/>
    <mergeCell ref="Q528:Q530"/>
    <mergeCell ref="E531:E533"/>
    <mergeCell ref="F531:F533"/>
    <mergeCell ref="G531:G533"/>
    <mergeCell ref="H531:H533"/>
    <mergeCell ref="I528:I530"/>
    <mergeCell ref="J528:J530"/>
    <mergeCell ref="K528:K530"/>
    <mergeCell ref="L528:L530"/>
    <mergeCell ref="M528:M530"/>
    <mergeCell ref="N528:N530"/>
    <mergeCell ref="O525:O527"/>
    <mergeCell ref="P525:P527"/>
    <mergeCell ref="Q525:Q527"/>
    <mergeCell ref="E528:E530"/>
    <mergeCell ref="F528:F530"/>
    <mergeCell ref="G528:G530"/>
    <mergeCell ref="H528:H530"/>
    <mergeCell ref="I525:I527"/>
    <mergeCell ref="J525:J527"/>
    <mergeCell ref="K525:K527"/>
    <mergeCell ref="L525:L527"/>
    <mergeCell ref="M525:M527"/>
    <mergeCell ref="N525:N527"/>
    <mergeCell ref="O522:O524"/>
    <mergeCell ref="P522:P524"/>
    <mergeCell ref="Q522:Q524"/>
    <mergeCell ref="E525:E527"/>
    <mergeCell ref="F525:F527"/>
    <mergeCell ref="G525:G527"/>
    <mergeCell ref="H525:H527"/>
    <mergeCell ref="I522:I524"/>
    <mergeCell ref="J522:J524"/>
    <mergeCell ref="K522:K524"/>
    <mergeCell ref="L522:L524"/>
    <mergeCell ref="M522:M524"/>
    <mergeCell ref="N522:N524"/>
    <mergeCell ref="O519:O521"/>
    <mergeCell ref="P519:P521"/>
    <mergeCell ref="Q519:Q521"/>
    <mergeCell ref="E522:E524"/>
    <mergeCell ref="F522:F524"/>
    <mergeCell ref="G522:G524"/>
    <mergeCell ref="H522:H524"/>
    <mergeCell ref="I519:I521"/>
    <mergeCell ref="J519:J521"/>
    <mergeCell ref="K519:K521"/>
    <mergeCell ref="L519:L521"/>
    <mergeCell ref="M519:M521"/>
    <mergeCell ref="N519:N521"/>
    <mergeCell ref="O516:O518"/>
    <mergeCell ref="P516:P518"/>
    <mergeCell ref="Q516:Q518"/>
    <mergeCell ref="E519:E521"/>
    <mergeCell ref="F519:F521"/>
    <mergeCell ref="G519:G521"/>
    <mergeCell ref="H519:H521"/>
    <mergeCell ref="I516:I518"/>
    <mergeCell ref="J516:J518"/>
    <mergeCell ref="K516:K518"/>
    <mergeCell ref="L516:L518"/>
    <mergeCell ref="M516:M518"/>
    <mergeCell ref="N516:N518"/>
    <mergeCell ref="O513:O515"/>
    <mergeCell ref="P513:P515"/>
    <mergeCell ref="Q513:Q515"/>
    <mergeCell ref="E516:E518"/>
    <mergeCell ref="F516:F518"/>
    <mergeCell ref="G516:G518"/>
    <mergeCell ref="H516:H518"/>
    <mergeCell ref="I513:I515"/>
    <mergeCell ref="J513:J515"/>
    <mergeCell ref="K513:K515"/>
    <mergeCell ref="L513:L515"/>
    <mergeCell ref="M513:M515"/>
    <mergeCell ref="N513:N515"/>
    <mergeCell ref="O510:O512"/>
    <mergeCell ref="P510:P512"/>
    <mergeCell ref="Q510:Q512"/>
    <mergeCell ref="E513:E515"/>
    <mergeCell ref="F513:F515"/>
    <mergeCell ref="G513:G515"/>
    <mergeCell ref="H513:H515"/>
    <mergeCell ref="I510:I512"/>
    <mergeCell ref="J510:J512"/>
    <mergeCell ref="K510:K512"/>
    <mergeCell ref="L510:L512"/>
    <mergeCell ref="M510:M512"/>
    <mergeCell ref="N510:N512"/>
    <mergeCell ref="O507:O509"/>
    <mergeCell ref="P507:P509"/>
    <mergeCell ref="Q507:Q509"/>
    <mergeCell ref="E510:E512"/>
    <mergeCell ref="F510:F512"/>
    <mergeCell ref="G510:G512"/>
    <mergeCell ref="H510:H512"/>
    <mergeCell ref="I507:I509"/>
    <mergeCell ref="J507:J509"/>
    <mergeCell ref="K507:K509"/>
    <mergeCell ref="L507:L509"/>
    <mergeCell ref="M507:M509"/>
    <mergeCell ref="N507:N509"/>
    <mergeCell ref="O504:O506"/>
    <mergeCell ref="P504:P506"/>
    <mergeCell ref="Q504:Q506"/>
    <mergeCell ref="E507:E509"/>
    <mergeCell ref="F507:F509"/>
    <mergeCell ref="G507:G509"/>
    <mergeCell ref="H507:H509"/>
    <mergeCell ref="I504:I506"/>
    <mergeCell ref="J504:J506"/>
    <mergeCell ref="K504:K506"/>
    <mergeCell ref="L504:L506"/>
    <mergeCell ref="M504:M506"/>
    <mergeCell ref="N504:N506"/>
    <mergeCell ref="O501:O503"/>
    <mergeCell ref="P501:P503"/>
    <mergeCell ref="Q501:Q503"/>
    <mergeCell ref="E504:E506"/>
    <mergeCell ref="F504:F506"/>
    <mergeCell ref="G504:G506"/>
    <mergeCell ref="H504:H506"/>
    <mergeCell ref="I501:I503"/>
    <mergeCell ref="J501:J503"/>
    <mergeCell ref="K501:K503"/>
    <mergeCell ref="L501:L503"/>
    <mergeCell ref="M501:M503"/>
    <mergeCell ref="N501:N503"/>
    <mergeCell ref="O498:O500"/>
    <mergeCell ref="P498:P500"/>
    <mergeCell ref="Q498:Q500"/>
    <mergeCell ref="E501:E503"/>
    <mergeCell ref="F501:F503"/>
    <mergeCell ref="G501:G503"/>
    <mergeCell ref="H501:H503"/>
    <mergeCell ref="I498:I500"/>
    <mergeCell ref="J498:J500"/>
    <mergeCell ref="K498:K500"/>
    <mergeCell ref="L498:L500"/>
    <mergeCell ref="M498:M500"/>
    <mergeCell ref="N498:N500"/>
    <mergeCell ref="O495:O497"/>
    <mergeCell ref="P495:P497"/>
    <mergeCell ref="Q495:Q497"/>
    <mergeCell ref="E498:E500"/>
    <mergeCell ref="F498:F500"/>
    <mergeCell ref="G498:G500"/>
    <mergeCell ref="H498:H500"/>
    <mergeCell ref="I495:I497"/>
    <mergeCell ref="J495:J497"/>
    <mergeCell ref="K495:K497"/>
    <mergeCell ref="L495:L497"/>
    <mergeCell ref="M495:M497"/>
    <mergeCell ref="N495:N497"/>
    <mergeCell ref="O492:O494"/>
    <mergeCell ref="P492:P494"/>
    <mergeCell ref="Q492:Q494"/>
    <mergeCell ref="E495:E497"/>
    <mergeCell ref="F495:F497"/>
    <mergeCell ref="G495:G497"/>
    <mergeCell ref="H495:H497"/>
    <mergeCell ref="I492:I494"/>
    <mergeCell ref="J492:J494"/>
    <mergeCell ref="K492:K494"/>
    <mergeCell ref="L492:L494"/>
    <mergeCell ref="M492:M494"/>
    <mergeCell ref="N492:N494"/>
    <mergeCell ref="O489:O491"/>
    <mergeCell ref="P489:P491"/>
    <mergeCell ref="Q489:Q491"/>
    <mergeCell ref="E492:E494"/>
    <mergeCell ref="F492:F494"/>
    <mergeCell ref="G492:G494"/>
    <mergeCell ref="H492:H494"/>
    <mergeCell ref="I489:I491"/>
    <mergeCell ref="J489:J491"/>
    <mergeCell ref="K489:K491"/>
    <mergeCell ref="L489:L491"/>
    <mergeCell ref="M489:M491"/>
    <mergeCell ref="N489:N491"/>
    <mergeCell ref="O486:O488"/>
    <mergeCell ref="P486:P488"/>
    <mergeCell ref="Q486:Q488"/>
    <mergeCell ref="E489:E491"/>
    <mergeCell ref="F489:F491"/>
    <mergeCell ref="G489:G491"/>
    <mergeCell ref="H489:H491"/>
    <mergeCell ref="I486:I488"/>
    <mergeCell ref="J486:J488"/>
    <mergeCell ref="K486:K488"/>
    <mergeCell ref="L486:L488"/>
    <mergeCell ref="M486:M488"/>
    <mergeCell ref="N486:N488"/>
    <mergeCell ref="O483:O485"/>
    <mergeCell ref="P483:P485"/>
    <mergeCell ref="Q483:Q485"/>
    <mergeCell ref="E486:E488"/>
    <mergeCell ref="F486:F488"/>
    <mergeCell ref="G486:G488"/>
    <mergeCell ref="H486:H488"/>
    <mergeCell ref="I483:I485"/>
    <mergeCell ref="J483:J485"/>
    <mergeCell ref="K483:K485"/>
    <mergeCell ref="L483:L485"/>
    <mergeCell ref="M483:M485"/>
    <mergeCell ref="N483:N485"/>
    <mergeCell ref="O480:O482"/>
    <mergeCell ref="P480:P482"/>
    <mergeCell ref="Q480:Q482"/>
    <mergeCell ref="E483:E485"/>
    <mergeCell ref="F483:F485"/>
    <mergeCell ref="G483:G485"/>
    <mergeCell ref="H483:H485"/>
    <mergeCell ref="I480:I482"/>
    <mergeCell ref="J480:J482"/>
    <mergeCell ref="K480:K482"/>
    <mergeCell ref="L480:L482"/>
    <mergeCell ref="M480:M482"/>
    <mergeCell ref="N480:N482"/>
    <mergeCell ref="O477:O479"/>
    <mergeCell ref="P477:P479"/>
    <mergeCell ref="Q477:Q479"/>
    <mergeCell ref="E480:E482"/>
    <mergeCell ref="F480:F482"/>
    <mergeCell ref="G480:G482"/>
    <mergeCell ref="H480:H482"/>
    <mergeCell ref="I477:I479"/>
    <mergeCell ref="J477:J479"/>
    <mergeCell ref="K477:K479"/>
    <mergeCell ref="L477:L479"/>
    <mergeCell ref="M477:M479"/>
    <mergeCell ref="N477:N479"/>
    <mergeCell ref="O474:O476"/>
    <mergeCell ref="P474:P476"/>
    <mergeCell ref="Q474:Q476"/>
    <mergeCell ref="E477:E479"/>
    <mergeCell ref="F477:F479"/>
    <mergeCell ref="G477:G479"/>
    <mergeCell ref="H477:H479"/>
    <mergeCell ref="I474:I476"/>
    <mergeCell ref="J474:J476"/>
    <mergeCell ref="K474:K476"/>
    <mergeCell ref="L474:L476"/>
    <mergeCell ref="M474:M476"/>
    <mergeCell ref="N474:N476"/>
    <mergeCell ref="O471:O473"/>
    <mergeCell ref="P471:P473"/>
    <mergeCell ref="Q471:Q473"/>
    <mergeCell ref="E474:E476"/>
    <mergeCell ref="F474:F476"/>
    <mergeCell ref="G474:G476"/>
    <mergeCell ref="H474:H476"/>
    <mergeCell ref="I471:I473"/>
    <mergeCell ref="J471:J473"/>
    <mergeCell ref="K471:K473"/>
    <mergeCell ref="L471:L473"/>
    <mergeCell ref="M471:M473"/>
    <mergeCell ref="N471:N473"/>
    <mergeCell ref="O468:O470"/>
    <mergeCell ref="P468:P470"/>
    <mergeCell ref="Q468:Q470"/>
    <mergeCell ref="E471:E473"/>
    <mergeCell ref="F471:F473"/>
    <mergeCell ref="G471:G473"/>
    <mergeCell ref="H471:H473"/>
    <mergeCell ref="I468:I470"/>
    <mergeCell ref="J468:J470"/>
    <mergeCell ref="K468:K470"/>
    <mergeCell ref="L468:L470"/>
    <mergeCell ref="M468:M470"/>
    <mergeCell ref="N468:N470"/>
    <mergeCell ref="O465:O467"/>
    <mergeCell ref="P465:P467"/>
    <mergeCell ref="Q465:Q467"/>
    <mergeCell ref="E468:E470"/>
    <mergeCell ref="F468:F470"/>
    <mergeCell ref="G468:G470"/>
    <mergeCell ref="H468:H470"/>
    <mergeCell ref="I465:I467"/>
    <mergeCell ref="J465:J467"/>
    <mergeCell ref="K465:K467"/>
    <mergeCell ref="L465:L467"/>
    <mergeCell ref="M465:M467"/>
    <mergeCell ref="N465:N467"/>
    <mergeCell ref="O462:O464"/>
    <mergeCell ref="P462:P464"/>
    <mergeCell ref="Q462:Q464"/>
    <mergeCell ref="E465:E467"/>
    <mergeCell ref="F465:F467"/>
    <mergeCell ref="G465:G467"/>
    <mergeCell ref="H465:H467"/>
    <mergeCell ref="I462:I464"/>
    <mergeCell ref="J462:J464"/>
    <mergeCell ref="K462:K464"/>
    <mergeCell ref="L462:L464"/>
    <mergeCell ref="M462:M464"/>
    <mergeCell ref="N462:N464"/>
    <mergeCell ref="O459:O461"/>
    <mergeCell ref="P459:P461"/>
    <mergeCell ref="Q459:Q461"/>
    <mergeCell ref="E462:E464"/>
    <mergeCell ref="F462:F464"/>
    <mergeCell ref="G462:G464"/>
    <mergeCell ref="H462:H464"/>
    <mergeCell ref="I459:I461"/>
    <mergeCell ref="J459:J461"/>
    <mergeCell ref="K459:K461"/>
    <mergeCell ref="L459:L461"/>
    <mergeCell ref="M459:M461"/>
    <mergeCell ref="N459:N461"/>
    <mergeCell ref="O456:O458"/>
    <mergeCell ref="P456:P458"/>
    <mergeCell ref="Q456:Q458"/>
    <mergeCell ref="E459:E461"/>
    <mergeCell ref="F459:F461"/>
    <mergeCell ref="G459:G461"/>
    <mergeCell ref="H459:H461"/>
    <mergeCell ref="I456:I458"/>
    <mergeCell ref="J456:J458"/>
    <mergeCell ref="K456:K458"/>
    <mergeCell ref="L456:L458"/>
    <mergeCell ref="M456:M458"/>
    <mergeCell ref="N456:N458"/>
    <mergeCell ref="O453:O455"/>
    <mergeCell ref="P453:P455"/>
    <mergeCell ref="Q453:Q455"/>
    <mergeCell ref="E456:E458"/>
    <mergeCell ref="F456:F458"/>
    <mergeCell ref="G456:G458"/>
    <mergeCell ref="H456:H458"/>
    <mergeCell ref="I453:I455"/>
    <mergeCell ref="J453:J455"/>
    <mergeCell ref="K453:K455"/>
    <mergeCell ref="L453:L455"/>
    <mergeCell ref="M453:M455"/>
    <mergeCell ref="N453:N455"/>
    <mergeCell ref="O450:O452"/>
    <mergeCell ref="P450:P452"/>
    <mergeCell ref="Q450:Q452"/>
    <mergeCell ref="E453:E455"/>
    <mergeCell ref="F453:F455"/>
    <mergeCell ref="G453:G455"/>
    <mergeCell ref="H453:H455"/>
    <mergeCell ref="I450:I452"/>
    <mergeCell ref="J450:J452"/>
    <mergeCell ref="K450:K452"/>
    <mergeCell ref="L450:L452"/>
    <mergeCell ref="M450:M452"/>
    <mergeCell ref="N450:N452"/>
    <mergeCell ref="O447:O449"/>
    <mergeCell ref="P447:P449"/>
    <mergeCell ref="Q447:Q449"/>
    <mergeCell ref="E450:E452"/>
    <mergeCell ref="F450:F452"/>
    <mergeCell ref="G450:G452"/>
    <mergeCell ref="H450:H452"/>
    <mergeCell ref="I447:I449"/>
    <mergeCell ref="J447:J449"/>
    <mergeCell ref="K447:K449"/>
    <mergeCell ref="L447:L449"/>
    <mergeCell ref="M447:M449"/>
    <mergeCell ref="N447:N449"/>
    <mergeCell ref="O444:O446"/>
    <mergeCell ref="P444:P446"/>
    <mergeCell ref="Q444:Q446"/>
    <mergeCell ref="E447:E449"/>
    <mergeCell ref="F447:F449"/>
    <mergeCell ref="G447:G449"/>
    <mergeCell ref="H447:H449"/>
    <mergeCell ref="I444:I446"/>
    <mergeCell ref="J444:J446"/>
    <mergeCell ref="K444:K446"/>
    <mergeCell ref="L444:L446"/>
    <mergeCell ref="M444:M446"/>
    <mergeCell ref="N444:N446"/>
    <mergeCell ref="O441:O443"/>
    <mergeCell ref="P441:P443"/>
    <mergeCell ref="Q441:Q443"/>
    <mergeCell ref="E444:E446"/>
    <mergeCell ref="F444:F446"/>
    <mergeCell ref="G444:G446"/>
    <mergeCell ref="H444:H446"/>
    <mergeCell ref="I441:I443"/>
    <mergeCell ref="J441:J443"/>
    <mergeCell ref="K441:K443"/>
    <mergeCell ref="L441:L443"/>
    <mergeCell ref="M441:M443"/>
    <mergeCell ref="N441:N443"/>
    <mergeCell ref="O438:O440"/>
    <mergeCell ref="P438:P440"/>
    <mergeCell ref="Q438:Q440"/>
    <mergeCell ref="E441:E443"/>
    <mergeCell ref="F441:F443"/>
    <mergeCell ref="G441:G443"/>
    <mergeCell ref="H441:H443"/>
    <mergeCell ref="I438:I440"/>
    <mergeCell ref="J438:J440"/>
    <mergeCell ref="K438:K440"/>
    <mergeCell ref="L438:L440"/>
    <mergeCell ref="M438:M440"/>
    <mergeCell ref="N438:N440"/>
    <mergeCell ref="O435:O437"/>
    <mergeCell ref="P435:P437"/>
    <mergeCell ref="Q435:Q437"/>
    <mergeCell ref="E438:E440"/>
    <mergeCell ref="F438:F440"/>
    <mergeCell ref="G438:G440"/>
    <mergeCell ref="H438:H440"/>
    <mergeCell ref="I435:I437"/>
    <mergeCell ref="J435:J437"/>
    <mergeCell ref="K435:K437"/>
    <mergeCell ref="L435:L437"/>
    <mergeCell ref="M435:M437"/>
    <mergeCell ref="N435:N437"/>
    <mergeCell ref="O432:O434"/>
    <mergeCell ref="P432:P434"/>
    <mergeCell ref="Q432:Q434"/>
    <mergeCell ref="E435:E437"/>
    <mergeCell ref="F435:F437"/>
    <mergeCell ref="G435:G437"/>
    <mergeCell ref="H435:H437"/>
    <mergeCell ref="I432:I434"/>
    <mergeCell ref="J432:J434"/>
    <mergeCell ref="K432:K434"/>
    <mergeCell ref="L432:L434"/>
    <mergeCell ref="M432:M434"/>
    <mergeCell ref="N432:N434"/>
    <mergeCell ref="O429:O431"/>
    <mergeCell ref="P429:P431"/>
    <mergeCell ref="Q429:Q431"/>
    <mergeCell ref="E432:E434"/>
    <mergeCell ref="F432:F434"/>
    <mergeCell ref="G432:G434"/>
    <mergeCell ref="H432:H434"/>
    <mergeCell ref="I429:I431"/>
    <mergeCell ref="J429:J431"/>
    <mergeCell ref="K429:K431"/>
    <mergeCell ref="L429:L431"/>
    <mergeCell ref="M429:M431"/>
    <mergeCell ref="N429:N431"/>
    <mergeCell ref="O426:O428"/>
    <mergeCell ref="P426:P428"/>
    <mergeCell ref="Q426:Q428"/>
    <mergeCell ref="E429:E431"/>
    <mergeCell ref="F429:F431"/>
    <mergeCell ref="G429:G431"/>
    <mergeCell ref="H429:H431"/>
    <mergeCell ref="I426:I428"/>
    <mergeCell ref="J426:J428"/>
    <mergeCell ref="K426:K428"/>
    <mergeCell ref="L426:L428"/>
    <mergeCell ref="M426:M428"/>
    <mergeCell ref="N426:N428"/>
    <mergeCell ref="O423:O425"/>
    <mergeCell ref="P423:P425"/>
    <mergeCell ref="Q423:Q425"/>
    <mergeCell ref="E426:E428"/>
    <mergeCell ref="F426:F428"/>
    <mergeCell ref="G426:G428"/>
    <mergeCell ref="H426:H428"/>
    <mergeCell ref="I423:I425"/>
    <mergeCell ref="J423:J425"/>
    <mergeCell ref="K423:K425"/>
    <mergeCell ref="L423:L425"/>
    <mergeCell ref="M423:M425"/>
    <mergeCell ref="N423:N425"/>
    <mergeCell ref="O420:O422"/>
    <mergeCell ref="P420:P422"/>
    <mergeCell ref="Q420:Q422"/>
    <mergeCell ref="E423:E425"/>
    <mergeCell ref="F423:F425"/>
    <mergeCell ref="G423:G425"/>
    <mergeCell ref="H423:H425"/>
    <mergeCell ref="I420:I422"/>
    <mergeCell ref="J420:J422"/>
    <mergeCell ref="K420:K422"/>
    <mergeCell ref="L420:L422"/>
    <mergeCell ref="M420:M422"/>
    <mergeCell ref="N420:N422"/>
    <mergeCell ref="O417:O419"/>
    <mergeCell ref="P417:P419"/>
    <mergeCell ref="Q417:Q419"/>
    <mergeCell ref="E420:E422"/>
    <mergeCell ref="F420:F422"/>
    <mergeCell ref="G420:G422"/>
    <mergeCell ref="H420:H422"/>
    <mergeCell ref="I417:I419"/>
    <mergeCell ref="J417:J419"/>
    <mergeCell ref="K417:K419"/>
    <mergeCell ref="L417:L419"/>
    <mergeCell ref="M417:M419"/>
    <mergeCell ref="N417:N419"/>
    <mergeCell ref="O414:O416"/>
    <mergeCell ref="P414:P416"/>
    <mergeCell ref="Q414:Q416"/>
    <mergeCell ref="E417:E419"/>
    <mergeCell ref="F417:F419"/>
    <mergeCell ref="G417:G419"/>
    <mergeCell ref="H417:H419"/>
    <mergeCell ref="I414:I416"/>
    <mergeCell ref="J414:J416"/>
    <mergeCell ref="K414:K416"/>
    <mergeCell ref="L414:L416"/>
    <mergeCell ref="M414:M416"/>
    <mergeCell ref="N414:N416"/>
    <mergeCell ref="O411:O413"/>
    <mergeCell ref="P411:P413"/>
    <mergeCell ref="Q411:Q413"/>
    <mergeCell ref="E414:E416"/>
    <mergeCell ref="F414:F416"/>
    <mergeCell ref="G414:G416"/>
    <mergeCell ref="H414:H416"/>
    <mergeCell ref="I411:I413"/>
    <mergeCell ref="J411:J413"/>
    <mergeCell ref="K411:K413"/>
    <mergeCell ref="L411:L413"/>
    <mergeCell ref="M411:M413"/>
    <mergeCell ref="N411:N413"/>
    <mergeCell ref="O408:O410"/>
    <mergeCell ref="P408:P410"/>
    <mergeCell ref="Q408:Q410"/>
    <mergeCell ref="E411:E413"/>
    <mergeCell ref="F411:F413"/>
    <mergeCell ref="G411:G413"/>
    <mergeCell ref="H411:H413"/>
    <mergeCell ref="I408:I410"/>
    <mergeCell ref="J408:J410"/>
    <mergeCell ref="K408:K410"/>
    <mergeCell ref="L408:L410"/>
    <mergeCell ref="M408:M410"/>
    <mergeCell ref="N408:N410"/>
    <mergeCell ref="O405:O407"/>
    <mergeCell ref="P405:P407"/>
    <mergeCell ref="Q405:Q407"/>
    <mergeCell ref="E408:E410"/>
    <mergeCell ref="F408:F410"/>
    <mergeCell ref="G408:G410"/>
    <mergeCell ref="H408:H410"/>
    <mergeCell ref="I405:I407"/>
    <mergeCell ref="J405:J407"/>
    <mergeCell ref="K405:K407"/>
    <mergeCell ref="L405:L407"/>
    <mergeCell ref="M405:M407"/>
    <mergeCell ref="N405:N407"/>
    <mergeCell ref="O402:O404"/>
    <mergeCell ref="P402:P404"/>
    <mergeCell ref="Q402:Q404"/>
    <mergeCell ref="E405:E407"/>
    <mergeCell ref="F405:F407"/>
    <mergeCell ref="G405:G407"/>
    <mergeCell ref="H405:H407"/>
    <mergeCell ref="I402:I404"/>
    <mergeCell ref="J402:J404"/>
    <mergeCell ref="K402:K404"/>
    <mergeCell ref="L402:L404"/>
    <mergeCell ref="M402:M404"/>
    <mergeCell ref="N402:N404"/>
    <mergeCell ref="O399:O401"/>
    <mergeCell ref="P399:P401"/>
    <mergeCell ref="Q399:Q401"/>
    <mergeCell ref="E402:E404"/>
    <mergeCell ref="F402:F404"/>
    <mergeCell ref="G402:G404"/>
    <mergeCell ref="H402:H404"/>
    <mergeCell ref="I399:I401"/>
    <mergeCell ref="J399:J401"/>
    <mergeCell ref="K399:K401"/>
    <mergeCell ref="L399:L401"/>
    <mergeCell ref="M399:M401"/>
    <mergeCell ref="N399:N401"/>
    <mergeCell ref="O396:O398"/>
    <mergeCell ref="P396:P398"/>
    <mergeCell ref="Q396:Q398"/>
    <mergeCell ref="E399:E401"/>
    <mergeCell ref="F399:F401"/>
    <mergeCell ref="G399:G401"/>
    <mergeCell ref="H399:H401"/>
    <mergeCell ref="I396:I398"/>
    <mergeCell ref="J396:J398"/>
    <mergeCell ref="K396:K398"/>
    <mergeCell ref="L396:L398"/>
    <mergeCell ref="M396:M398"/>
    <mergeCell ref="N396:N398"/>
    <mergeCell ref="O393:O395"/>
    <mergeCell ref="P393:P395"/>
    <mergeCell ref="Q393:Q395"/>
    <mergeCell ref="E396:E398"/>
    <mergeCell ref="F396:F398"/>
    <mergeCell ref="G396:G398"/>
    <mergeCell ref="H396:H398"/>
    <mergeCell ref="I393:I395"/>
    <mergeCell ref="J393:J395"/>
    <mergeCell ref="K393:K395"/>
    <mergeCell ref="L393:L395"/>
    <mergeCell ref="M393:M395"/>
    <mergeCell ref="N393:N395"/>
    <mergeCell ref="O390:O392"/>
    <mergeCell ref="P390:P392"/>
    <mergeCell ref="Q390:Q392"/>
    <mergeCell ref="E393:E395"/>
    <mergeCell ref="F393:F395"/>
    <mergeCell ref="G393:G395"/>
    <mergeCell ref="H393:H395"/>
    <mergeCell ref="I390:I392"/>
    <mergeCell ref="J390:J392"/>
    <mergeCell ref="K390:K392"/>
    <mergeCell ref="L390:L392"/>
    <mergeCell ref="M390:M392"/>
    <mergeCell ref="N390:N392"/>
    <mergeCell ref="O387:O389"/>
    <mergeCell ref="P387:P389"/>
    <mergeCell ref="Q387:Q389"/>
    <mergeCell ref="E390:E392"/>
    <mergeCell ref="F390:F392"/>
    <mergeCell ref="G390:G392"/>
    <mergeCell ref="H390:H392"/>
    <mergeCell ref="I387:I389"/>
    <mergeCell ref="J387:J389"/>
    <mergeCell ref="K387:K389"/>
    <mergeCell ref="L387:L389"/>
    <mergeCell ref="M387:M389"/>
    <mergeCell ref="N387:N389"/>
    <mergeCell ref="O384:O386"/>
    <mergeCell ref="P384:P386"/>
    <mergeCell ref="Q384:Q386"/>
    <mergeCell ref="E387:E389"/>
    <mergeCell ref="F387:F389"/>
    <mergeCell ref="G387:G389"/>
    <mergeCell ref="H387:H389"/>
    <mergeCell ref="I384:I386"/>
    <mergeCell ref="J384:J386"/>
    <mergeCell ref="K384:K386"/>
    <mergeCell ref="L384:L386"/>
    <mergeCell ref="M384:M386"/>
    <mergeCell ref="N384:N386"/>
    <mergeCell ref="O381:O383"/>
    <mergeCell ref="P381:P383"/>
    <mergeCell ref="Q381:Q383"/>
    <mergeCell ref="E384:E386"/>
    <mergeCell ref="F384:F386"/>
    <mergeCell ref="G384:G386"/>
    <mergeCell ref="H384:H386"/>
    <mergeCell ref="I381:I383"/>
    <mergeCell ref="J381:J383"/>
    <mergeCell ref="K381:K383"/>
    <mergeCell ref="L381:L383"/>
    <mergeCell ref="M381:M383"/>
    <mergeCell ref="N381:N383"/>
    <mergeCell ref="O378:O380"/>
    <mergeCell ref="P378:P380"/>
    <mergeCell ref="Q378:Q380"/>
    <mergeCell ref="E381:E383"/>
    <mergeCell ref="F381:F383"/>
    <mergeCell ref="G381:G383"/>
    <mergeCell ref="H381:H383"/>
    <mergeCell ref="I378:I380"/>
    <mergeCell ref="J378:J380"/>
    <mergeCell ref="K378:K380"/>
    <mergeCell ref="L378:L380"/>
    <mergeCell ref="M378:M380"/>
    <mergeCell ref="N378:N380"/>
    <mergeCell ref="O375:O377"/>
    <mergeCell ref="P375:P377"/>
    <mergeCell ref="Q375:Q377"/>
    <mergeCell ref="E378:E380"/>
    <mergeCell ref="F378:F380"/>
    <mergeCell ref="G378:G380"/>
    <mergeCell ref="H378:H380"/>
    <mergeCell ref="I375:I377"/>
    <mergeCell ref="J375:J377"/>
    <mergeCell ref="K375:K377"/>
    <mergeCell ref="L375:L377"/>
    <mergeCell ref="M375:M377"/>
    <mergeCell ref="N375:N377"/>
    <mergeCell ref="O372:O374"/>
    <mergeCell ref="P372:P374"/>
    <mergeCell ref="Q372:Q374"/>
    <mergeCell ref="E375:E377"/>
    <mergeCell ref="F375:F377"/>
    <mergeCell ref="G375:G377"/>
    <mergeCell ref="H375:H377"/>
    <mergeCell ref="I372:I374"/>
    <mergeCell ref="J372:J374"/>
    <mergeCell ref="K372:K374"/>
    <mergeCell ref="L372:L374"/>
    <mergeCell ref="M372:M374"/>
    <mergeCell ref="N372:N374"/>
    <mergeCell ref="O369:O371"/>
    <mergeCell ref="P369:P371"/>
    <mergeCell ref="Q369:Q371"/>
    <mergeCell ref="E372:E374"/>
    <mergeCell ref="F372:F374"/>
    <mergeCell ref="G372:G374"/>
    <mergeCell ref="H372:H374"/>
    <mergeCell ref="I369:I371"/>
    <mergeCell ref="J369:J371"/>
    <mergeCell ref="K369:K371"/>
    <mergeCell ref="L369:L371"/>
    <mergeCell ref="M369:M371"/>
    <mergeCell ref="N369:N371"/>
    <mergeCell ref="O366:O368"/>
    <mergeCell ref="P366:P368"/>
    <mergeCell ref="Q366:Q368"/>
    <mergeCell ref="E369:E371"/>
    <mergeCell ref="F369:F371"/>
    <mergeCell ref="G369:G371"/>
    <mergeCell ref="H369:H371"/>
    <mergeCell ref="I366:I368"/>
    <mergeCell ref="J366:J368"/>
    <mergeCell ref="K366:K368"/>
    <mergeCell ref="L366:L368"/>
    <mergeCell ref="M366:M368"/>
    <mergeCell ref="N366:N368"/>
    <mergeCell ref="O363:O365"/>
    <mergeCell ref="P363:P365"/>
    <mergeCell ref="Q363:Q365"/>
    <mergeCell ref="E366:E368"/>
    <mergeCell ref="F366:F368"/>
    <mergeCell ref="G366:G368"/>
    <mergeCell ref="H366:H368"/>
    <mergeCell ref="I363:I365"/>
    <mergeCell ref="J363:J365"/>
    <mergeCell ref="K363:K365"/>
    <mergeCell ref="L363:L365"/>
    <mergeCell ref="M363:M365"/>
    <mergeCell ref="N363:N365"/>
    <mergeCell ref="O360:O362"/>
    <mergeCell ref="P360:P362"/>
    <mergeCell ref="Q360:Q362"/>
    <mergeCell ref="E363:E365"/>
    <mergeCell ref="F363:F365"/>
    <mergeCell ref="G363:G365"/>
    <mergeCell ref="H363:H365"/>
    <mergeCell ref="I360:I362"/>
    <mergeCell ref="J360:J362"/>
    <mergeCell ref="K360:K362"/>
    <mergeCell ref="L360:L362"/>
    <mergeCell ref="M360:M362"/>
    <mergeCell ref="N360:N362"/>
    <mergeCell ref="O357:O359"/>
    <mergeCell ref="P357:P359"/>
    <mergeCell ref="Q357:Q359"/>
    <mergeCell ref="E360:E362"/>
    <mergeCell ref="F360:F362"/>
    <mergeCell ref="G360:G362"/>
    <mergeCell ref="H360:H362"/>
    <mergeCell ref="I357:I359"/>
    <mergeCell ref="J357:J359"/>
    <mergeCell ref="K357:K359"/>
    <mergeCell ref="L357:L359"/>
    <mergeCell ref="M357:M359"/>
    <mergeCell ref="N357:N359"/>
    <mergeCell ref="O354:O356"/>
    <mergeCell ref="P354:P356"/>
    <mergeCell ref="Q354:Q356"/>
    <mergeCell ref="E357:E359"/>
    <mergeCell ref="F357:F359"/>
    <mergeCell ref="G357:G359"/>
    <mergeCell ref="H357:H359"/>
    <mergeCell ref="I354:I356"/>
    <mergeCell ref="J354:J356"/>
    <mergeCell ref="K354:K356"/>
    <mergeCell ref="L354:L356"/>
    <mergeCell ref="M354:M356"/>
    <mergeCell ref="N354:N356"/>
    <mergeCell ref="O351:O353"/>
    <mergeCell ref="P351:P353"/>
    <mergeCell ref="Q351:Q353"/>
    <mergeCell ref="E354:E356"/>
    <mergeCell ref="F354:F356"/>
    <mergeCell ref="G354:G356"/>
    <mergeCell ref="H354:H356"/>
    <mergeCell ref="I351:I353"/>
    <mergeCell ref="J351:J353"/>
    <mergeCell ref="K351:K353"/>
    <mergeCell ref="L351:L353"/>
    <mergeCell ref="M351:M353"/>
    <mergeCell ref="N351:N353"/>
    <mergeCell ref="O348:O350"/>
    <mergeCell ref="P348:P350"/>
    <mergeCell ref="Q348:Q350"/>
    <mergeCell ref="E351:E353"/>
    <mergeCell ref="F351:F353"/>
    <mergeCell ref="G351:G353"/>
    <mergeCell ref="H351:H353"/>
    <mergeCell ref="I348:I350"/>
    <mergeCell ref="J348:J350"/>
    <mergeCell ref="K348:K350"/>
    <mergeCell ref="L348:L350"/>
    <mergeCell ref="M348:M350"/>
    <mergeCell ref="N348:N350"/>
    <mergeCell ref="O345:O347"/>
    <mergeCell ref="P345:P347"/>
    <mergeCell ref="Q345:Q347"/>
    <mergeCell ref="E348:E350"/>
    <mergeCell ref="F348:F350"/>
    <mergeCell ref="G348:G350"/>
    <mergeCell ref="H348:H350"/>
    <mergeCell ref="I345:I347"/>
    <mergeCell ref="J345:J347"/>
    <mergeCell ref="K345:K347"/>
    <mergeCell ref="L345:L347"/>
    <mergeCell ref="M345:M347"/>
    <mergeCell ref="N345:N347"/>
    <mergeCell ref="O342:O344"/>
    <mergeCell ref="P342:P344"/>
    <mergeCell ref="Q342:Q344"/>
    <mergeCell ref="E345:E347"/>
    <mergeCell ref="F345:F347"/>
    <mergeCell ref="G345:G347"/>
    <mergeCell ref="H345:H347"/>
    <mergeCell ref="I342:I344"/>
    <mergeCell ref="J342:J344"/>
    <mergeCell ref="K342:K344"/>
    <mergeCell ref="L342:L344"/>
    <mergeCell ref="M342:M344"/>
    <mergeCell ref="N342:N344"/>
    <mergeCell ref="O339:O341"/>
    <mergeCell ref="P339:P341"/>
    <mergeCell ref="Q339:Q341"/>
    <mergeCell ref="E342:E344"/>
    <mergeCell ref="F342:F344"/>
    <mergeCell ref="G342:G344"/>
    <mergeCell ref="H342:H344"/>
    <mergeCell ref="I339:I341"/>
    <mergeCell ref="J339:J341"/>
    <mergeCell ref="K339:K341"/>
    <mergeCell ref="L339:L341"/>
    <mergeCell ref="M339:M341"/>
    <mergeCell ref="N339:N341"/>
    <mergeCell ref="O336:O338"/>
    <mergeCell ref="P336:P338"/>
    <mergeCell ref="Q336:Q338"/>
    <mergeCell ref="E339:E341"/>
    <mergeCell ref="F339:F341"/>
    <mergeCell ref="G339:G341"/>
    <mergeCell ref="H339:H341"/>
    <mergeCell ref="I336:I338"/>
    <mergeCell ref="J336:J338"/>
    <mergeCell ref="K336:K338"/>
    <mergeCell ref="L336:L338"/>
    <mergeCell ref="M336:M338"/>
    <mergeCell ref="N336:N338"/>
    <mergeCell ref="O333:O335"/>
    <mergeCell ref="P333:P335"/>
    <mergeCell ref="Q333:Q335"/>
    <mergeCell ref="E336:E338"/>
    <mergeCell ref="F336:F338"/>
    <mergeCell ref="G336:G338"/>
    <mergeCell ref="H336:H338"/>
    <mergeCell ref="I333:I335"/>
    <mergeCell ref="J333:J335"/>
    <mergeCell ref="K333:K335"/>
    <mergeCell ref="L333:L335"/>
    <mergeCell ref="M333:M335"/>
    <mergeCell ref="N333:N335"/>
    <mergeCell ref="O330:O332"/>
    <mergeCell ref="P330:P332"/>
    <mergeCell ref="Q330:Q332"/>
    <mergeCell ref="E333:E335"/>
    <mergeCell ref="F333:F335"/>
    <mergeCell ref="G333:G335"/>
    <mergeCell ref="H333:H335"/>
    <mergeCell ref="I330:I332"/>
    <mergeCell ref="J330:J332"/>
    <mergeCell ref="K330:K332"/>
    <mergeCell ref="L330:L332"/>
    <mergeCell ref="M330:M332"/>
    <mergeCell ref="N330:N332"/>
    <mergeCell ref="O327:O329"/>
    <mergeCell ref="P327:P329"/>
    <mergeCell ref="Q327:Q329"/>
    <mergeCell ref="E330:E332"/>
    <mergeCell ref="F330:F332"/>
    <mergeCell ref="G330:G332"/>
    <mergeCell ref="H330:H332"/>
    <mergeCell ref="I327:I329"/>
    <mergeCell ref="J327:J329"/>
    <mergeCell ref="K327:K329"/>
    <mergeCell ref="L327:L329"/>
    <mergeCell ref="M327:M329"/>
    <mergeCell ref="N327:N329"/>
    <mergeCell ref="O324:O326"/>
    <mergeCell ref="P324:P326"/>
    <mergeCell ref="Q324:Q326"/>
    <mergeCell ref="E327:E329"/>
    <mergeCell ref="F327:F329"/>
    <mergeCell ref="G327:G329"/>
    <mergeCell ref="H327:H329"/>
    <mergeCell ref="I324:I326"/>
    <mergeCell ref="J324:J326"/>
    <mergeCell ref="K324:K326"/>
    <mergeCell ref="L324:L326"/>
    <mergeCell ref="M324:M326"/>
    <mergeCell ref="N324:N326"/>
    <mergeCell ref="O321:O323"/>
    <mergeCell ref="P321:P323"/>
    <mergeCell ref="Q321:Q323"/>
    <mergeCell ref="E324:E326"/>
    <mergeCell ref="F324:F326"/>
    <mergeCell ref="G324:G326"/>
    <mergeCell ref="H324:H326"/>
    <mergeCell ref="I321:I323"/>
    <mergeCell ref="J321:J323"/>
    <mergeCell ref="K321:K323"/>
    <mergeCell ref="L321:L323"/>
    <mergeCell ref="M321:M323"/>
    <mergeCell ref="N321:N323"/>
    <mergeCell ref="O318:O320"/>
    <mergeCell ref="P318:P320"/>
    <mergeCell ref="Q318:Q320"/>
    <mergeCell ref="E321:E323"/>
    <mergeCell ref="F321:F323"/>
    <mergeCell ref="G321:G323"/>
    <mergeCell ref="H321:H323"/>
    <mergeCell ref="I318:I320"/>
    <mergeCell ref="J318:J320"/>
    <mergeCell ref="K318:K320"/>
    <mergeCell ref="L318:L320"/>
    <mergeCell ref="M318:M320"/>
    <mergeCell ref="N318:N320"/>
    <mergeCell ref="O315:O317"/>
    <mergeCell ref="P315:P317"/>
    <mergeCell ref="Q315:Q317"/>
    <mergeCell ref="E318:E320"/>
    <mergeCell ref="F318:F320"/>
    <mergeCell ref="G318:G320"/>
    <mergeCell ref="H318:H320"/>
    <mergeCell ref="I315:I317"/>
    <mergeCell ref="J315:J317"/>
    <mergeCell ref="K315:K317"/>
    <mergeCell ref="L315:L317"/>
    <mergeCell ref="M315:M317"/>
    <mergeCell ref="N315:N317"/>
    <mergeCell ref="O312:O314"/>
    <mergeCell ref="P312:P314"/>
    <mergeCell ref="Q312:Q314"/>
    <mergeCell ref="E315:E317"/>
    <mergeCell ref="F315:F317"/>
    <mergeCell ref="G315:G317"/>
    <mergeCell ref="H315:H317"/>
    <mergeCell ref="I312:I314"/>
    <mergeCell ref="J312:J314"/>
    <mergeCell ref="K312:K314"/>
    <mergeCell ref="L312:L314"/>
    <mergeCell ref="M312:M314"/>
    <mergeCell ref="N312:N314"/>
    <mergeCell ref="O309:O311"/>
    <mergeCell ref="P309:P311"/>
    <mergeCell ref="Q309:Q311"/>
    <mergeCell ref="E312:E314"/>
    <mergeCell ref="F312:F314"/>
    <mergeCell ref="G312:G314"/>
    <mergeCell ref="H312:H314"/>
    <mergeCell ref="I309:I311"/>
    <mergeCell ref="J309:J311"/>
    <mergeCell ref="K309:K311"/>
    <mergeCell ref="L309:L311"/>
    <mergeCell ref="M309:M311"/>
    <mergeCell ref="N309:N311"/>
    <mergeCell ref="O306:O308"/>
    <mergeCell ref="P306:P308"/>
    <mergeCell ref="Q306:Q308"/>
    <mergeCell ref="E309:E311"/>
    <mergeCell ref="F309:F311"/>
    <mergeCell ref="G309:G311"/>
    <mergeCell ref="H309:H311"/>
    <mergeCell ref="I306:I308"/>
    <mergeCell ref="J306:J308"/>
    <mergeCell ref="K306:K308"/>
    <mergeCell ref="L306:L308"/>
    <mergeCell ref="M306:M308"/>
    <mergeCell ref="N306:N308"/>
    <mergeCell ref="O303:O305"/>
    <mergeCell ref="P303:P305"/>
    <mergeCell ref="Q303:Q305"/>
    <mergeCell ref="E306:E308"/>
    <mergeCell ref="F306:F308"/>
    <mergeCell ref="G306:G308"/>
    <mergeCell ref="H306:H308"/>
    <mergeCell ref="I303:I305"/>
    <mergeCell ref="J303:J305"/>
    <mergeCell ref="K303:K305"/>
    <mergeCell ref="L303:L305"/>
    <mergeCell ref="M303:M305"/>
    <mergeCell ref="N303:N305"/>
    <mergeCell ref="O300:O302"/>
    <mergeCell ref="P300:P302"/>
    <mergeCell ref="Q300:Q302"/>
    <mergeCell ref="E303:E305"/>
    <mergeCell ref="F303:F305"/>
    <mergeCell ref="G303:G305"/>
    <mergeCell ref="H303:H305"/>
    <mergeCell ref="I300:I302"/>
    <mergeCell ref="J300:J302"/>
    <mergeCell ref="K300:K302"/>
    <mergeCell ref="L300:L302"/>
    <mergeCell ref="M300:M302"/>
    <mergeCell ref="N300:N302"/>
    <mergeCell ref="O297:O299"/>
    <mergeCell ref="P297:P299"/>
    <mergeCell ref="Q297:Q299"/>
    <mergeCell ref="E300:E302"/>
    <mergeCell ref="F300:F302"/>
    <mergeCell ref="G300:G302"/>
    <mergeCell ref="H300:H302"/>
    <mergeCell ref="I297:I299"/>
    <mergeCell ref="J297:J299"/>
    <mergeCell ref="K297:K299"/>
    <mergeCell ref="L297:L299"/>
    <mergeCell ref="M297:M299"/>
    <mergeCell ref="N297:N299"/>
    <mergeCell ref="O294:O296"/>
    <mergeCell ref="P294:P296"/>
    <mergeCell ref="Q294:Q296"/>
    <mergeCell ref="E297:E299"/>
    <mergeCell ref="F297:F299"/>
    <mergeCell ref="G297:G299"/>
    <mergeCell ref="H297:H299"/>
    <mergeCell ref="I294:I296"/>
    <mergeCell ref="J294:J296"/>
    <mergeCell ref="K294:K296"/>
    <mergeCell ref="L294:L296"/>
    <mergeCell ref="M294:M296"/>
    <mergeCell ref="N294:N296"/>
    <mergeCell ref="O291:O293"/>
    <mergeCell ref="P291:P293"/>
    <mergeCell ref="Q291:Q293"/>
    <mergeCell ref="E294:E296"/>
    <mergeCell ref="F294:F296"/>
    <mergeCell ref="G294:G296"/>
    <mergeCell ref="H294:H296"/>
    <mergeCell ref="I291:I293"/>
    <mergeCell ref="J291:J293"/>
    <mergeCell ref="K291:K293"/>
    <mergeCell ref="L291:L293"/>
    <mergeCell ref="M291:M293"/>
    <mergeCell ref="N291:N293"/>
    <mergeCell ref="O288:O290"/>
    <mergeCell ref="P288:P290"/>
    <mergeCell ref="Q288:Q290"/>
    <mergeCell ref="E291:E293"/>
    <mergeCell ref="F291:F293"/>
    <mergeCell ref="G291:G293"/>
    <mergeCell ref="H291:H293"/>
    <mergeCell ref="I288:I290"/>
    <mergeCell ref="J288:J290"/>
    <mergeCell ref="K288:K290"/>
    <mergeCell ref="L288:L290"/>
    <mergeCell ref="M288:M290"/>
    <mergeCell ref="N288:N290"/>
    <mergeCell ref="O285:O287"/>
    <mergeCell ref="P285:P287"/>
    <mergeCell ref="Q285:Q287"/>
    <mergeCell ref="E288:E290"/>
    <mergeCell ref="F288:F290"/>
    <mergeCell ref="G288:G290"/>
    <mergeCell ref="H288:H290"/>
    <mergeCell ref="I285:I287"/>
    <mergeCell ref="J285:J287"/>
    <mergeCell ref="K285:K287"/>
    <mergeCell ref="L285:L287"/>
    <mergeCell ref="M285:M287"/>
    <mergeCell ref="N285:N287"/>
    <mergeCell ref="O282:O284"/>
    <mergeCell ref="P282:P284"/>
    <mergeCell ref="Q282:Q284"/>
    <mergeCell ref="E285:E287"/>
    <mergeCell ref="F285:F287"/>
    <mergeCell ref="G285:G287"/>
    <mergeCell ref="H285:H287"/>
    <mergeCell ref="I282:I284"/>
    <mergeCell ref="J282:J284"/>
    <mergeCell ref="K282:K284"/>
    <mergeCell ref="L282:L284"/>
    <mergeCell ref="M282:M284"/>
    <mergeCell ref="N282:N284"/>
    <mergeCell ref="O279:O281"/>
    <mergeCell ref="P279:P281"/>
    <mergeCell ref="Q279:Q281"/>
    <mergeCell ref="E282:E284"/>
    <mergeCell ref="F282:F284"/>
    <mergeCell ref="G282:G284"/>
    <mergeCell ref="H282:H284"/>
    <mergeCell ref="I279:I281"/>
    <mergeCell ref="J279:J281"/>
    <mergeCell ref="K279:K281"/>
    <mergeCell ref="L279:L281"/>
    <mergeCell ref="M279:M281"/>
    <mergeCell ref="N279:N281"/>
    <mergeCell ref="O276:O278"/>
    <mergeCell ref="P276:P278"/>
    <mergeCell ref="Q276:Q278"/>
    <mergeCell ref="E279:E281"/>
    <mergeCell ref="F279:F281"/>
    <mergeCell ref="G279:G281"/>
    <mergeCell ref="H279:H281"/>
    <mergeCell ref="I276:I278"/>
    <mergeCell ref="J276:J278"/>
    <mergeCell ref="K276:K278"/>
    <mergeCell ref="L276:L278"/>
    <mergeCell ref="M276:M278"/>
    <mergeCell ref="N276:N278"/>
    <mergeCell ref="O273:O275"/>
    <mergeCell ref="P273:P275"/>
    <mergeCell ref="Q273:Q275"/>
    <mergeCell ref="E276:E278"/>
    <mergeCell ref="F276:F278"/>
    <mergeCell ref="G276:G278"/>
    <mergeCell ref="H276:H278"/>
    <mergeCell ref="I273:I275"/>
    <mergeCell ref="J273:J275"/>
    <mergeCell ref="K273:K275"/>
    <mergeCell ref="L273:L275"/>
    <mergeCell ref="M273:M275"/>
    <mergeCell ref="N273:N275"/>
    <mergeCell ref="O270:O272"/>
    <mergeCell ref="P270:P272"/>
    <mergeCell ref="Q270:Q272"/>
    <mergeCell ref="E273:E275"/>
    <mergeCell ref="F273:F275"/>
    <mergeCell ref="G273:G275"/>
    <mergeCell ref="H273:H275"/>
    <mergeCell ref="I270:I272"/>
    <mergeCell ref="J270:J272"/>
    <mergeCell ref="K270:K272"/>
    <mergeCell ref="L270:L272"/>
    <mergeCell ref="M270:M272"/>
    <mergeCell ref="N270:N272"/>
    <mergeCell ref="O267:O269"/>
    <mergeCell ref="P267:P269"/>
    <mergeCell ref="Q267:Q269"/>
    <mergeCell ref="E270:E272"/>
    <mergeCell ref="F270:F272"/>
    <mergeCell ref="G270:G272"/>
    <mergeCell ref="H270:H272"/>
    <mergeCell ref="I267:I269"/>
    <mergeCell ref="J267:J269"/>
    <mergeCell ref="K267:K269"/>
    <mergeCell ref="L267:L269"/>
    <mergeCell ref="M267:M269"/>
    <mergeCell ref="N267:N269"/>
    <mergeCell ref="O264:O266"/>
    <mergeCell ref="P264:P266"/>
    <mergeCell ref="Q264:Q266"/>
    <mergeCell ref="E267:E269"/>
    <mergeCell ref="F267:F269"/>
    <mergeCell ref="G267:G269"/>
    <mergeCell ref="H267:H269"/>
    <mergeCell ref="I264:I266"/>
    <mergeCell ref="J264:J266"/>
    <mergeCell ref="K264:K266"/>
    <mergeCell ref="L264:L266"/>
    <mergeCell ref="M264:M266"/>
    <mergeCell ref="N264:N266"/>
    <mergeCell ref="O261:O263"/>
    <mergeCell ref="P261:P263"/>
    <mergeCell ref="Q261:Q263"/>
    <mergeCell ref="E264:E266"/>
    <mergeCell ref="F264:F266"/>
    <mergeCell ref="G264:G266"/>
    <mergeCell ref="H264:H266"/>
    <mergeCell ref="I261:I263"/>
    <mergeCell ref="J261:J263"/>
    <mergeCell ref="K261:K263"/>
    <mergeCell ref="L261:L263"/>
    <mergeCell ref="M261:M263"/>
    <mergeCell ref="N261:N263"/>
    <mergeCell ref="O258:O260"/>
    <mergeCell ref="P258:P260"/>
    <mergeCell ref="Q258:Q260"/>
    <mergeCell ref="E261:E263"/>
    <mergeCell ref="F261:F263"/>
    <mergeCell ref="G261:G263"/>
    <mergeCell ref="H261:H263"/>
    <mergeCell ref="I258:I260"/>
    <mergeCell ref="J258:J260"/>
    <mergeCell ref="K258:K260"/>
    <mergeCell ref="L258:L260"/>
    <mergeCell ref="M258:M260"/>
    <mergeCell ref="N258:N260"/>
    <mergeCell ref="O255:O257"/>
    <mergeCell ref="P255:P257"/>
    <mergeCell ref="Q255:Q257"/>
    <mergeCell ref="E258:E260"/>
    <mergeCell ref="F258:F260"/>
    <mergeCell ref="G258:G260"/>
    <mergeCell ref="H258:H260"/>
    <mergeCell ref="I255:I257"/>
    <mergeCell ref="J255:J257"/>
    <mergeCell ref="K255:K257"/>
    <mergeCell ref="L255:L257"/>
    <mergeCell ref="M255:M257"/>
    <mergeCell ref="N255:N257"/>
    <mergeCell ref="O252:O254"/>
    <mergeCell ref="P252:P254"/>
    <mergeCell ref="Q252:Q254"/>
    <mergeCell ref="E255:E257"/>
    <mergeCell ref="F255:F257"/>
    <mergeCell ref="G255:G257"/>
    <mergeCell ref="H255:H257"/>
    <mergeCell ref="I252:I254"/>
    <mergeCell ref="J252:J254"/>
    <mergeCell ref="K252:K254"/>
    <mergeCell ref="L252:L254"/>
    <mergeCell ref="M252:M254"/>
    <mergeCell ref="N252:N254"/>
    <mergeCell ref="O249:O251"/>
    <mergeCell ref="P249:P251"/>
    <mergeCell ref="Q249:Q251"/>
    <mergeCell ref="E252:E254"/>
    <mergeCell ref="F252:F254"/>
    <mergeCell ref="G252:G254"/>
    <mergeCell ref="H252:H254"/>
    <mergeCell ref="I249:I251"/>
    <mergeCell ref="J249:J251"/>
    <mergeCell ref="K249:K251"/>
    <mergeCell ref="L249:L251"/>
    <mergeCell ref="M249:M251"/>
    <mergeCell ref="N249:N251"/>
    <mergeCell ref="O246:O248"/>
    <mergeCell ref="P246:P248"/>
    <mergeCell ref="Q246:Q248"/>
    <mergeCell ref="E249:E251"/>
    <mergeCell ref="F249:F251"/>
    <mergeCell ref="G249:G251"/>
    <mergeCell ref="H249:H251"/>
    <mergeCell ref="I246:I248"/>
    <mergeCell ref="J246:J248"/>
    <mergeCell ref="K246:K248"/>
    <mergeCell ref="L246:L248"/>
    <mergeCell ref="M246:M248"/>
    <mergeCell ref="N246:N248"/>
    <mergeCell ref="O243:O245"/>
    <mergeCell ref="P243:P245"/>
    <mergeCell ref="Q243:Q245"/>
    <mergeCell ref="E246:E248"/>
    <mergeCell ref="F246:F248"/>
    <mergeCell ref="G246:G248"/>
    <mergeCell ref="H246:H248"/>
    <mergeCell ref="I243:I245"/>
    <mergeCell ref="J243:J245"/>
    <mergeCell ref="K243:K245"/>
    <mergeCell ref="L243:L245"/>
    <mergeCell ref="M243:M245"/>
    <mergeCell ref="N243:N245"/>
    <mergeCell ref="O240:O242"/>
    <mergeCell ref="P240:P242"/>
    <mergeCell ref="Q240:Q242"/>
    <mergeCell ref="E243:E245"/>
    <mergeCell ref="F243:F245"/>
    <mergeCell ref="G243:G245"/>
    <mergeCell ref="H243:H245"/>
    <mergeCell ref="I240:I242"/>
    <mergeCell ref="J240:J242"/>
    <mergeCell ref="K240:K242"/>
    <mergeCell ref="L240:L242"/>
    <mergeCell ref="M240:M242"/>
    <mergeCell ref="N240:N242"/>
    <mergeCell ref="O237:O239"/>
    <mergeCell ref="P237:P239"/>
    <mergeCell ref="Q237:Q239"/>
    <mergeCell ref="E240:E242"/>
    <mergeCell ref="F240:F242"/>
    <mergeCell ref="G240:G242"/>
    <mergeCell ref="H240:H242"/>
    <mergeCell ref="I237:I239"/>
    <mergeCell ref="J237:J239"/>
    <mergeCell ref="K237:K239"/>
    <mergeCell ref="L237:L239"/>
    <mergeCell ref="M237:M239"/>
    <mergeCell ref="N237:N239"/>
    <mergeCell ref="O234:O236"/>
    <mergeCell ref="P234:P236"/>
    <mergeCell ref="Q234:Q236"/>
    <mergeCell ref="E237:E239"/>
    <mergeCell ref="F237:F239"/>
    <mergeCell ref="G237:G239"/>
    <mergeCell ref="H237:H239"/>
    <mergeCell ref="I234:I236"/>
    <mergeCell ref="J234:J236"/>
    <mergeCell ref="K234:K236"/>
    <mergeCell ref="L234:L236"/>
    <mergeCell ref="M234:M236"/>
    <mergeCell ref="N234:N236"/>
    <mergeCell ref="O231:O233"/>
    <mergeCell ref="P231:P233"/>
    <mergeCell ref="Q231:Q233"/>
    <mergeCell ref="E234:E236"/>
    <mergeCell ref="F234:F236"/>
    <mergeCell ref="G234:G236"/>
    <mergeCell ref="H234:H236"/>
    <mergeCell ref="I231:I233"/>
    <mergeCell ref="J231:J233"/>
    <mergeCell ref="K231:K233"/>
    <mergeCell ref="L231:L233"/>
    <mergeCell ref="M231:M233"/>
    <mergeCell ref="N231:N233"/>
    <mergeCell ref="O228:O230"/>
    <mergeCell ref="P228:P230"/>
    <mergeCell ref="Q228:Q230"/>
    <mergeCell ref="E231:E233"/>
    <mergeCell ref="F231:F233"/>
    <mergeCell ref="G231:G233"/>
    <mergeCell ref="H231:H233"/>
    <mergeCell ref="I228:I230"/>
    <mergeCell ref="J228:J230"/>
    <mergeCell ref="K228:K230"/>
    <mergeCell ref="L228:L230"/>
    <mergeCell ref="M228:M230"/>
    <mergeCell ref="N228:N230"/>
    <mergeCell ref="O225:O227"/>
    <mergeCell ref="P225:P227"/>
    <mergeCell ref="Q225:Q227"/>
    <mergeCell ref="E228:E230"/>
    <mergeCell ref="F228:F230"/>
    <mergeCell ref="G228:G230"/>
    <mergeCell ref="H228:H230"/>
    <mergeCell ref="I225:I227"/>
    <mergeCell ref="J225:J227"/>
    <mergeCell ref="K225:K227"/>
    <mergeCell ref="L225:L227"/>
    <mergeCell ref="M225:M227"/>
    <mergeCell ref="N225:N227"/>
    <mergeCell ref="O222:O224"/>
    <mergeCell ref="P222:P224"/>
    <mergeCell ref="Q222:Q224"/>
    <mergeCell ref="E225:E227"/>
    <mergeCell ref="F225:F227"/>
    <mergeCell ref="G225:G227"/>
    <mergeCell ref="H225:H227"/>
    <mergeCell ref="I222:I224"/>
    <mergeCell ref="J222:J224"/>
    <mergeCell ref="K222:K224"/>
    <mergeCell ref="L222:L224"/>
    <mergeCell ref="M222:M224"/>
    <mergeCell ref="N222:N224"/>
    <mergeCell ref="O219:O221"/>
    <mergeCell ref="P219:P221"/>
    <mergeCell ref="Q219:Q221"/>
    <mergeCell ref="E222:E224"/>
    <mergeCell ref="F222:F224"/>
    <mergeCell ref="G222:G224"/>
    <mergeCell ref="H222:H224"/>
    <mergeCell ref="I219:I221"/>
    <mergeCell ref="J219:J221"/>
    <mergeCell ref="K219:K221"/>
    <mergeCell ref="L219:L221"/>
    <mergeCell ref="M219:M221"/>
    <mergeCell ref="N219:N221"/>
    <mergeCell ref="O216:O218"/>
    <mergeCell ref="P216:P218"/>
    <mergeCell ref="Q216:Q218"/>
    <mergeCell ref="E219:E221"/>
    <mergeCell ref="F219:F221"/>
    <mergeCell ref="G219:G221"/>
    <mergeCell ref="H219:H221"/>
    <mergeCell ref="I216:I218"/>
    <mergeCell ref="J216:J218"/>
    <mergeCell ref="K216:K218"/>
    <mergeCell ref="L216:L218"/>
    <mergeCell ref="M216:M218"/>
    <mergeCell ref="N216:N218"/>
    <mergeCell ref="O213:O215"/>
    <mergeCell ref="P213:P215"/>
    <mergeCell ref="Q213:Q215"/>
    <mergeCell ref="E216:E218"/>
    <mergeCell ref="F216:F218"/>
    <mergeCell ref="G216:G218"/>
    <mergeCell ref="H216:H218"/>
    <mergeCell ref="I213:I215"/>
    <mergeCell ref="J213:J215"/>
    <mergeCell ref="K213:K215"/>
    <mergeCell ref="L213:L215"/>
    <mergeCell ref="M213:M215"/>
    <mergeCell ref="N213:N215"/>
    <mergeCell ref="O210:O212"/>
    <mergeCell ref="P210:P212"/>
    <mergeCell ref="Q210:Q212"/>
    <mergeCell ref="E213:E215"/>
    <mergeCell ref="F213:F215"/>
    <mergeCell ref="G213:G215"/>
    <mergeCell ref="H213:H215"/>
    <mergeCell ref="I210:I212"/>
    <mergeCell ref="J210:J212"/>
    <mergeCell ref="K210:K212"/>
    <mergeCell ref="L210:L212"/>
    <mergeCell ref="M210:M212"/>
    <mergeCell ref="N210:N212"/>
    <mergeCell ref="O207:O209"/>
    <mergeCell ref="P207:P209"/>
    <mergeCell ref="Q207:Q209"/>
    <mergeCell ref="E210:E212"/>
    <mergeCell ref="F210:F212"/>
    <mergeCell ref="G210:G212"/>
    <mergeCell ref="H210:H212"/>
    <mergeCell ref="I207:I209"/>
    <mergeCell ref="J207:J209"/>
    <mergeCell ref="K207:K209"/>
    <mergeCell ref="L207:L209"/>
    <mergeCell ref="M207:M209"/>
    <mergeCell ref="N207:N209"/>
    <mergeCell ref="O204:O206"/>
    <mergeCell ref="P204:P206"/>
    <mergeCell ref="Q204:Q206"/>
    <mergeCell ref="E207:E209"/>
    <mergeCell ref="F207:F209"/>
    <mergeCell ref="G207:G209"/>
    <mergeCell ref="H207:H209"/>
    <mergeCell ref="I204:I206"/>
    <mergeCell ref="J204:J206"/>
    <mergeCell ref="K204:K206"/>
    <mergeCell ref="L204:L206"/>
    <mergeCell ref="M204:M206"/>
    <mergeCell ref="N204:N206"/>
    <mergeCell ref="O201:O203"/>
    <mergeCell ref="P201:P203"/>
    <mergeCell ref="Q201:Q203"/>
    <mergeCell ref="E204:E206"/>
    <mergeCell ref="F204:F206"/>
    <mergeCell ref="G204:G206"/>
    <mergeCell ref="H204:H206"/>
    <mergeCell ref="I201:I203"/>
    <mergeCell ref="J201:J203"/>
    <mergeCell ref="K201:K203"/>
    <mergeCell ref="L201:L203"/>
    <mergeCell ref="M201:M203"/>
    <mergeCell ref="N201:N203"/>
    <mergeCell ref="O198:O200"/>
    <mergeCell ref="P198:P200"/>
    <mergeCell ref="Q198:Q200"/>
    <mergeCell ref="E201:E203"/>
    <mergeCell ref="F201:F203"/>
    <mergeCell ref="G201:G203"/>
    <mergeCell ref="H201:H203"/>
    <mergeCell ref="I198:I200"/>
    <mergeCell ref="J198:J200"/>
    <mergeCell ref="K198:K200"/>
    <mergeCell ref="L198:L200"/>
    <mergeCell ref="M198:M200"/>
    <mergeCell ref="N198:N200"/>
    <mergeCell ref="O195:O197"/>
    <mergeCell ref="P195:P197"/>
    <mergeCell ref="Q195:Q197"/>
    <mergeCell ref="E198:E200"/>
    <mergeCell ref="F198:F200"/>
    <mergeCell ref="G198:G200"/>
    <mergeCell ref="H198:H200"/>
    <mergeCell ref="I195:I197"/>
    <mergeCell ref="J195:J197"/>
    <mergeCell ref="K195:K197"/>
    <mergeCell ref="L195:L197"/>
    <mergeCell ref="M195:M197"/>
    <mergeCell ref="N195:N197"/>
    <mergeCell ref="O192:O194"/>
    <mergeCell ref="P192:P194"/>
    <mergeCell ref="Q192:Q194"/>
    <mergeCell ref="E195:E197"/>
    <mergeCell ref="F195:F197"/>
    <mergeCell ref="G195:G197"/>
    <mergeCell ref="H195:H197"/>
    <mergeCell ref="I192:I194"/>
    <mergeCell ref="J192:J194"/>
    <mergeCell ref="K192:K194"/>
    <mergeCell ref="L192:L194"/>
    <mergeCell ref="M192:M194"/>
    <mergeCell ref="N192:N194"/>
    <mergeCell ref="O189:O191"/>
    <mergeCell ref="P189:P191"/>
    <mergeCell ref="Q189:Q191"/>
    <mergeCell ref="E192:E194"/>
    <mergeCell ref="F192:F194"/>
    <mergeCell ref="G192:G194"/>
    <mergeCell ref="H192:H194"/>
    <mergeCell ref="I189:I191"/>
    <mergeCell ref="J189:J191"/>
    <mergeCell ref="K189:K191"/>
    <mergeCell ref="L189:L191"/>
    <mergeCell ref="M189:M191"/>
    <mergeCell ref="N189:N191"/>
    <mergeCell ref="O186:O188"/>
    <mergeCell ref="P186:P188"/>
    <mergeCell ref="Q186:Q188"/>
    <mergeCell ref="E189:E191"/>
    <mergeCell ref="F189:F191"/>
    <mergeCell ref="G189:G191"/>
    <mergeCell ref="H189:H191"/>
    <mergeCell ref="I186:I188"/>
    <mergeCell ref="J186:J188"/>
    <mergeCell ref="K186:K188"/>
    <mergeCell ref="L186:L188"/>
    <mergeCell ref="M186:M188"/>
    <mergeCell ref="N186:N188"/>
    <mergeCell ref="O183:O185"/>
    <mergeCell ref="P183:P185"/>
    <mergeCell ref="Q183:Q185"/>
    <mergeCell ref="E186:E188"/>
    <mergeCell ref="F186:F188"/>
    <mergeCell ref="G186:G188"/>
    <mergeCell ref="H186:H188"/>
    <mergeCell ref="I183:I185"/>
    <mergeCell ref="J183:J185"/>
    <mergeCell ref="K183:K185"/>
    <mergeCell ref="L183:L185"/>
    <mergeCell ref="M183:M185"/>
    <mergeCell ref="N183:N185"/>
    <mergeCell ref="O180:O182"/>
    <mergeCell ref="P180:P182"/>
    <mergeCell ref="Q180:Q182"/>
    <mergeCell ref="E183:E185"/>
    <mergeCell ref="F183:F185"/>
    <mergeCell ref="G183:G185"/>
    <mergeCell ref="H183:H185"/>
    <mergeCell ref="I180:I182"/>
    <mergeCell ref="J180:J182"/>
    <mergeCell ref="K180:K182"/>
    <mergeCell ref="L180:L182"/>
    <mergeCell ref="M180:M182"/>
    <mergeCell ref="N180:N182"/>
    <mergeCell ref="O177:O179"/>
    <mergeCell ref="P177:P179"/>
    <mergeCell ref="Q177:Q179"/>
    <mergeCell ref="E180:E182"/>
    <mergeCell ref="F180:F182"/>
    <mergeCell ref="G180:G182"/>
    <mergeCell ref="H180:H182"/>
    <mergeCell ref="I177:I179"/>
    <mergeCell ref="J177:J179"/>
    <mergeCell ref="K177:K179"/>
    <mergeCell ref="L177:L179"/>
    <mergeCell ref="M177:M179"/>
    <mergeCell ref="N177:N179"/>
    <mergeCell ref="O174:O176"/>
    <mergeCell ref="P174:P176"/>
    <mergeCell ref="Q174:Q176"/>
    <mergeCell ref="E177:E179"/>
    <mergeCell ref="F177:F179"/>
    <mergeCell ref="G177:G179"/>
    <mergeCell ref="H177:H179"/>
    <mergeCell ref="I174:I176"/>
    <mergeCell ref="J174:J176"/>
    <mergeCell ref="K174:K176"/>
    <mergeCell ref="L174:L176"/>
    <mergeCell ref="M174:M176"/>
    <mergeCell ref="N174:N176"/>
    <mergeCell ref="O171:O173"/>
    <mergeCell ref="P171:P173"/>
    <mergeCell ref="Q171:Q173"/>
    <mergeCell ref="E174:E176"/>
    <mergeCell ref="F174:F176"/>
    <mergeCell ref="G174:G176"/>
    <mergeCell ref="H174:H176"/>
    <mergeCell ref="I171:I173"/>
    <mergeCell ref="J171:J173"/>
    <mergeCell ref="K171:K173"/>
    <mergeCell ref="L171:L173"/>
    <mergeCell ref="M171:M173"/>
    <mergeCell ref="N171:N173"/>
    <mergeCell ref="O168:O170"/>
    <mergeCell ref="P168:P170"/>
    <mergeCell ref="Q168:Q170"/>
    <mergeCell ref="E171:E173"/>
    <mergeCell ref="F171:F173"/>
    <mergeCell ref="G171:G173"/>
    <mergeCell ref="H171:H173"/>
    <mergeCell ref="I168:I170"/>
    <mergeCell ref="J168:J170"/>
    <mergeCell ref="K168:K170"/>
    <mergeCell ref="L168:L170"/>
    <mergeCell ref="M168:M170"/>
    <mergeCell ref="N168:N170"/>
    <mergeCell ref="O165:O167"/>
    <mergeCell ref="P165:P167"/>
    <mergeCell ref="Q165:Q167"/>
    <mergeCell ref="E168:E170"/>
    <mergeCell ref="F168:F170"/>
    <mergeCell ref="G168:G170"/>
    <mergeCell ref="H168:H170"/>
    <mergeCell ref="I165:I167"/>
    <mergeCell ref="J165:J167"/>
    <mergeCell ref="K165:K167"/>
    <mergeCell ref="L165:L167"/>
    <mergeCell ref="M165:M167"/>
    <mergeCell ref="N165:N167"/>
    <mergeCell ref="O162:O164"/>
    <mergeCell ref="P162:P164"/>
    <mergeCell ref="Q162:Q164"/>
    <mergeCell ref="E165:E167"/>
    <mergeCell ref="F165:F167"/>
    <mergeCell ref="G165:G167"/>
    <mergeCell ref="H165:H167"/>
    <mergeCell ref="I162:I164"/>
    <mergeCell ref="J162:J164"/>
    <mergeCell ref="K162:K164"/>
    <mergeCell ref="L162:L164"/>
    <mergeCell ref="M162:M164"/>
    <mergeCell ref="N162:N164"/>
    <mergeCell ref="O159:O161"/>
    <mergeCell ref="P159:P161"/>
    <mergeCell ref="Q159:Q161"/>
    <mergeCell ref="E162:E164"/>
    <mergeCell ref="F162:F164"/>
    <mergeCell ref="G162:G164"/>
    <mergeCell ref="H162:H164"/>
    <mergeCell ref="I159:I161"/>
    <mergeCell ref="J159:J161"/>
    <mergeCell ref="K159:K161"/>
    <mergeCell ref="L159:L161"/>
    <mergeCell ref="M159:M161"/>
    <mergeCell ref="N159:N161"/>
    <mergeCell ref="O156:O158"/>
    <mergeCell ref="P156:P158"/>
    <mergeCell ref="Q156:Q158"/>
    <mergeCell ref="E159:E161"/>
    <mergeCell ref="F159:F161"/>
    <mergeCell ref="G159:G161"/>
    <mergeCell ref="H159:H161"/>
    <mergeCell ref="I156:I158"/>
    <mergeCell ref="J156:J158"/>
    <mergeCell ref="K156:K158"/>
    <mergeCell ref="L156:L158"/>
    <mergeCell ref="M156:M158"/>
    <mergeCell ref="N156:N158"/>
    <mergeCell ref="O153:O155"/>
    <mergeCell ref="P153:P155"/>
    <mergeCell ref="Q153:Q155"/>
    <mergeCell ref="E156:E158"/>
    <mergeCell ref="F156:F158"/>
    <mergeCell ref="G156:G158"/>
    <mergeCell ref="H156:H158"/>
    <mergeCell ref="I153:I155"/>
    <mergeCell ref="J153:J155"/>
    <mergeCell ref="K153:K155"/>
    <mergeCell ref="L153:L155"/>
    <mergeCell ref="M153:M155"/>
    <mergeCell ref="N153:N155"/>
    <mergeCell ref="O150:O152"/>
    <mergeCell ref="P150:P152"/>
    <mergeCell ref="Q150:Q152"/>
    <mergeCell ref="E153:E155"/>
    <mergeCell ref="F153:F155"/>
    <mergeCell ref="G153:G155"/>
    <mergeCell ref="H153:H155"/>
    <mergeCell ref="I150:I152"/>
    <mergeCell ref="J150:J152"/>
    <mergeCell ref="K150:K152"/>
    <mergeCell ref="L150:L152"/>
    <mergeCell ref="M150:M152"/>
    <mergeCell ref="N150:N152"/>
    <mergeCell ref="O147:O149"/>
    <mergeCell ref="P147:P149"/>
    <mergeCell ref="Q147:Q149"/>
    <mergeCell ref="E150:E152"/>
    <mergeCell ref="F150:F152"/>
    <mergeCell ref="G150:G152"/>
    <mergeCell ref="H150:H152"/>
    <mergeCell ref="I147:I149"/>
    <mergeCell ref="J147:J149"/>
    <mergeCell ref="K147:K149"/>
    <mergeCell ref="L147:L149"/>
    <mergeCell ref="M147:M149"/>
    <mergeCell ref="N147:N149"/>
    <mergeCell ref="O144:O146"/>
    <mergeCell ref="P144:P146"/>
    <mergeCell ref="Q144:Q146"/>
    <mergeCell ref="E147:E149"/>
    <mergeCell ref="F147:F149"/>
    <mergeCell ref="G147:G149"/>
    <mergeCell ref="H147:H149"/>
    <mergeCell ref="I144:I146"/>
    <mergeCell ref="J144:J146"/>
    <mergeCell ref="K144:K146"/>
    <mergeCell ref="L144:L146"/>
    <mergeCell ref="M144:M146"/>
    <mergeCell ref="N144:N146"/>
    <mergeCell ref="O141:O143"/>
    <mergeCell ref="P141:P143"/>
    <mergeCell ref="Q141:Q143"/>
    <mergeCell ref="E144:E146"/>
    <mergeCell ref="F144:F146"/>
    <mergeCell ref="G144:G146"/>
    <mergeCell ref="H144:H146"/>
    <mergeCell ref="I141:I143"/>
    <mergeCell ref="J141:J143"/>
    <mergeCell ref="K141:K143"/>
    <mergeCell ref="L141:L143"/>
    <mergeCell ref="M141:M143"/>
    <mergeCell ref="N141:N143"/>
    <mergeCell ref="O138:O140"/>
    <mergeCell ref="P138:P140"/>
    <mergeCell ref="Q138:Q140"/>
    <mergeCell ref="E141:E143"/>
    <mergeCell ref="F141:F143"/>
    <mergeCell ref="G141:G143"/>
    <mergeCell ref="H141:H143"/>
    <mergeCell ref="I138:I140"/>
    <mergeCell ref="J138:J140"/>
    <mergeCell ref="K138:K140"/>
    <mergeCell ref="L138:L140"/>
    <mergeCell ref="M138:M140"/>
    <mergeCell ref="N138:N140"/>
    <mergeCell ref="O135:O137"/>
    <mergeCell ref="P135:P137"/>
    <mergeCell ref="Q135:Q137"/>
    <mergeCell ref="E138:E140"/>
    <mergeCell ref="F138:F140"/>
    <mergeCell ref="G138:G140"/>
    <mergeCell ref="H138:H140"/>
    <mergeCell ref="I135:I137"/>
    <mergeCell ref="J135:J137"/>
    <mergeCell ref="K135:K137"/>
    <mergeCell ref="L135:L137"/>
    <mergeCell ref="M135:M137"/>
    <mergeCell ref="N135:N137"/>
    <mergeCell ref="O132:O134"/>
    <mergeCell ref="P132:P134"/>
    <mergeCell ref="Q132:Q134"/>
    <mergeCell ref="E135:E137"/>
    <mergeCell ref="F135:F137"/>
    <mergeCell ref="G135:G137"/>
    <mergeCell ref="H135:H137"/>
    <mergeCell ref="I132:I134"/>
    <mergeCell ref="J132:J134"/>
    <mergeCell ref="K132:K134"/>
    <mergeCell ref="L132:L134"/>
    <mergeCell ref="M132:M134"/>
    <mergeCell ref="N132:N134"/>
    <mergeCell ref="O129:O131"/>
    <mergeCell ref="P129:P131"/>
    <mergeCell ref="Q129:Q131"/>
    <mergeCell ref="E132:E134"/>
    <mergeCell ref="F132:F134"/>
    <mergeCell ref="G132:G134"/>
    <mergeCell ref="H132:H134"/>
    <mergeCell ref="I129:I131"/>
    <mergeCell ref="J129:J131"/>
    <mergeCell ref="K129:K131"/>
    <mergeCell ref="L129:L131"/>
    <mergeCell ref="M129:M131"/>
    <mergeCell ref="N129:N131"/>
    <mergeCell ref="O126:O128"/>
    <mergeCell ref="P126:P128"/>
    <mergeCell ref="Q126:Q128"/>
    <mergeCell ref="E129:E131"/>
    <mergeCell ref="F129:F131"/>
    <mergeCell ref="G129:G131"/>
    <mergeCell ref="H129:H131"/>
    <mergeCell ref="I126:I128"/>
    <mergeCell ref="J126:J128"/>
    <mergeCell ref="K126:K128"/>
    <mergeCell ref="L126:L128"/>
    <mergeCell ref="M126:M128"/>
    <mergeCell ref="N126:N128"/>
    <mergeCell ref="O123:O125"/>
    <mergeCell ref="P123:P125"/>
    <mergeCell ref="Q123:Q125"/>
    <mergeCell ref="E126:E128"/>
    <mergeCell ref="F126:F128"/>
    <mergeCell ref="G126:G128"/>
    <mergeCell ref="H126:H128"/>
    <mergeCell ref="I123:I125"/>
    <mergeCell ref="J123:J125"/>
    <mergeCell ref="K123:K125"/>
    <mergeCell ref="L123:L125"/>
    <mergeCell ref="M123:M125"/>
    <mergeCell ref="N123:N125"/>
    <mergeCell ref="O120:O122"/>
    <mergeCell ref="P120:P122"/>
    <mergeCell ref="Q120:Q122"/>
    <mergeCell ref="E123:E125"/>
    <mergeCell ref="F123:F125"/>
    <mergeCell ref="G123:G125"/>
    <mergeCell ref="H123:H125"/>
    <mergeCell ref="I120:I122"/>
    <mergeCell ref="J120:J122"/>
    <mergeCell ref="K120:K122"/>
    <mergeCell ref="L120:L122"/>
    <mergeCell ref="M120:M122"/>
    <mergeCell ref="N120:N122"/>
    <mergeCell ref="O117:O119"/>
    <mergeCell ref="P117:P119"/>
    <mergeCell ref="Q117:Q119"/>
    <mergeCell ref="E120:E122"/>
    <mergeCell ref="F120:F122"/>
    <mergeCell ref="G120:G122"/>
    <mergeCell ref="H120:H122"/>
    <mergeCell ref="I117:I119"/>
    <mergeCell ref="J117:J119"/>
    <mergeCell ref="K117:K119"/>
    <mergeCell ref="L117:L119"/>
    <mergeCell ref="M117:M119"/>
    <mergeCell ref="N117:N119"/>
    <mergeCell ref="O114:O116"/>
    <mergeCell ref="P114:P116"/>
    <mergeCell ref="Q114:Q116"/>
    <mergeCell ref="E117:E119"/>
    <mergeCell ref="F117:F119"/>
    <mergeCell ref="G117:G119"/>
    <mergeCell ref="H117:H119"/>
    <mergeCell ref="I114:I116"/>
    <mergeCell ref="J114:J116"/>
    <mergeCell ref="K114:K116"/>
    <mergeCell ref="L114:L116"/>
    <mergeCell ref="M114:M116"/>
    <mergeCell ref="N114:N116"/>
    <mergeCell ref="O111:O113"/>
    <mergeCell ref="P111:P113"/>
    <mergeCell ref="Q111:Q113"/>
    <mergeCell ref="E114:E116"/>
    <mergeCell ref="F114:F116"/>
    <mergeCell ref="G114:G116"/>
    <mergeCell ref="H114:H116"/>
    <mergeCell ref="I111:I113"/>
    <mergeCell ref="J111:J113"/>
    <mergeCell ref="K111:K113"/>
    <mergeCell ref="L111:L113"/>
    <mergeCell ref="M111:M113"/>
    <mergeCell ref="N111:N113"/>
    <mergeCell ref="O108:O110"/>
    <mergeCell ref="P108:P110"/>
    <mergeCell ref="Q108:Q110"/>
    <mergeCell ref="E111:E113"/>
    <mergeCell ref="F111:F113"/>
    <mergeCell ref="G111:G113"/>
    <mergeCell ref="H111:H113"/>
    <mergeCell ref="I108:I110"/>
    <mergeCell ref="J108:J110"/>
    <mergeCell ref="K108:K110"/>
    <mergeCell ref="L108:L110"/>
    <mergeCell ref="M108:M110"/>
    <mergeCell ref="N108:N110"/>
    <mergeCell ref="O105:O107"/>
    <mergeCell ref="P105:P107"/>
    <mergeCell ref="Q105:Q107"/>
    <mergeCell ref="E108:E110"/>
    <mergeCell ref="F108:F110"/>
    <mergeCell ref="G108:G110"/>
    <mergeCell ref="H108:H110"/>
    <mergeCell ref="I105:I107"/>
    <mergeCell ref="J105:J107"/>
    <mergeCell ref="K105:K107"/>
    <mergeCell ref="L105:L107"/>
    <mergeCell ref="M105:M107"/>
    <mergeCell ref="N105:N107"/>
    <mergeCell ref="O102:O104"/>
    <mergeCell ref="P102:P104"/>
    <mergeCell ref="Q102:Q104"/>
    <mergeCell ref="E105:E107"/>
    <mergeCell ref="F105:F107"/>
    <mergeCell ref="G105:G107"/>
    <mergeCell ref="H105:H107"/>
    <mergeCell ref="I102:I104"/>
    <mergeCell ref="J102:J104"/>
    <mergeCell ref="K102:K104"/>
    <mergeCell ref="L102:L104"/>
    <mergeCell ref="M102:M104"/>
    <mergeCell ref="N102:N104"/>
    <mergeCell ref="O99:O101"/>
    <mergeCell ref="P99:P101"/>
    <mergeCell ref="Q99:Q101"/>
    <mergeCell ref="E102:E104"/>
    <mergeCell ref="F102:F104"/>
    <mergeCell ref="G102:G104"/>
    <mergeCell ref="H102:H104"/>
    <mergeCell ref="I99:I101"/>
    <mergeCell ref="J99:J101"/>
    <mergeCell ref="K99:K101"/>
    <mergeCell ref="L99:L101"/>
    <mergeCell ref="M99:M101"/>
    <mergeCell ref="N99:N101"/>
    <mergeCell ref="O96:O98"/>
    <mergeCell ref="P96:P98"/>
    <mergeCell ref="Q96:Q98"/>
    <mergeCell ref="E99:E101"/>
    <mergeCell ref="F99:F101"/>
    <mergeCell ref="G99:G101"/>
    <mergeCell ref="H99:H101"/>
    <mergeCell ref="I96:I98"/>
    <mergeCell ref="J96:J98"/>
    <mergeCell ref="K96:K98"/>
    <mergeCell ref="L96:L98"/>
    <mergeCell ref="M96:M98"/>
    <mergeCell ref="N96:N98"/>
    <mergeCell ref="O93:O95"/>
    <mergeCell ref="P93:P95"/>
    <mergeCell ref="Q93:Q95"/>
    <mergeCell ref="E96:E98"/>
    <mergeCell ref="F96:F98"/>
    <mergeCell ref="G96:G98"/>
    <mergeCell ref="H96:H98"/>
    <mergeCell ref="I93:I95"/>
    <mergeCell ref="J93:J95"/>
    <mergeCell ref="K93:K95"/>
    <mergeCell ref="L93:L95"/>
    <mergeCell ref="M93:M95"/>
    <mergeCell ref="N93:N95"/>
    <mergeCell ref="O90:O92"/>
    <mergeCell ref="P90:P92"/>
    <mergeCell ref="Q90:Q92"/>
    <mergeCell ref="E93:E95"/>
    <mergeCell ref="F93:F95"/>
    <mergeCell ref="G93:G95"/>
    <mergeCell ref="H93:H95"/>
    <mergeCell ref="I90:I92"/>
    <mergeCell ref="J90:J92"/>
    <mergeCell ref="K90:K92"/>
    <mergeCell ref="L90:L92"/>
    <mergeCell ref="M90:M92"/>
    <mergeCell ref="N90:N92"/>
    <mergeCell ref="O87:O89"/>
    <mergeCell ref="P87:P89"/>
    <mergeCell ref="Q87:Q89"/>
    <mergeCell ref="E90:E92"/>
    <mergeCell ref="F90:F92"/>
    <mergeCell ref="G90:G92"/>
    <mergeCell ref="H90:H92"/>
    <mergeCell ref="I87:I89"/>
    <mergeCell ref="J87:J89"/>
    <mergeCell ref="K87:K89"/>
    <mergeCell ref="L87:L89"/>
    <mergeCell ref="M87:M89"/>
    <mergeCell ref="N87:N89"/>
    <mergeCell ref="O84:O86"/>
    <mergeCell ref="P84:P86"/>
    <mergeCell ref="Q84:Q86"/>
    <mergeCell ref="E87:E89"/>
    <mergeCell ref="F87:F89"/>
    <mergeCell ref="G87:G89"/>
    <mergeCell ref="H87:H89"/>
    <mergeCell ref="I84:I86"/>
    <mergeCell ref="J84:J86"/>
    <mergeCell ref="K84:K86"/>
    <mergeCell ref="L84:L86"/>
    <mergeCell ref="M84:M86"/>
    <mergeCell ref="N84:N86"/>
    <mergeCell ref="O81:O83"/>
    <mergeCell ref="P81:P83"/>
    <mergeCell ref="Q81:Q83"/>
    <mergeCell ref="E84:E86"/>
    <mergeCell ref="F84:F86"/>
    <mergeCell ref="G84:G86"/>
    <mergeCell ref="H84:H86"/>
    <mergeCell ref="I81:I83"/>
    <mergeCell ref="J81:J83"/>
    <mergeCell ref="K81:K83"/>
    <mergeCell ref="L81:L83"/>
    <mergeCell ref="M81:M83"/>
    <mergeCell ref="N81:N83"/>
    <mergeCell ref="O78:O80"/>
    <mergeCell ref="P78:P80"/>
    <mergeCell ref="Q78:Q80"/>
    <mergeCell ref="E81:E83"/>
    <mergeCell ref="F81:F83"/>
    <mergeCell ref="G81:G83"/>
    <mergeCell ref="H81:H83"/>
    <mergeCell ref="I78:I80"/>
    <mergeCell ref="J78:J80"/>
    <mergeCell ref="K78:K80"/>
    <mergeCell ref="L78:L80"/>
    <mergeCell ref="M78:M80"/>
    <mergeCell ref="N78:N80"/>
    <mergeCell ref="O75:O77"/>
    <mergeCell ref="P75:P77"/>
    <mergeCell ref="Q75:Q77"/>
    <mergeCell ref="E78:E80"/>
    <mergeCell ref="F78:F80"/>
    <mergeCell ref="G78:G80"/>
    <mergeCell ref="H78:H80"/>
    <mergeCell ref="I75:I77"/>
    <mergeCell ref="J75:J77"/>
    <mergeCell ref="K75:K77"/>
    <mergeCell ref="L75:L77"/>
    <mergeCell ref="M75:M77"/>
    <mergeCell ref="N75:N77"/>
    <mergeCell ref="O72:O74"/>
    <mergeCell ref="P72:P74"/>
    <mergeCell ref="Q72:Q74"/>
    <mergeCell ref="E75:E77"/>
    <mergeCell ref="F75:F77"/>
    <mergeCell ref="G75:G77"/>
    <mergeCell ref="H75:H77"/>
    <mergeCell ref="I72:I74"/>
    <mergeCell ref="J72:J74"/>
    <mergeCell ref="K72:K74"/>
    <mergeCell ref="L72:L74"/>
    <mergeCell ref="M72:M74"/>
    <mergeCell ref="N72:N74"/>
    <mergeCell ref="O69:O71"/>
    <mergeCell ref="P69:P71"/>
    <mergeCell ref="Q69:Q71"/>
    <mergeCell ref="E72:E74"/>
    <mergeCell ref="F72:F74"/>
    <mergeCell ref="G72:G74"/>
    <mergeCell ref="H72:H74"/>
    <mergeCell ref="I69:I71"/>
    <mergeCell ref="J69:J71"/>
    <mergeCell ref="K69:K71"/>
    <mergeCell ref="L69:L71"/>
    <mergeCell ref="M69:M71"/>
    <mergeCell ref="N69:N71"/>
    <mergeCell ref="O66:O68"/>
    <mergeCell ref="P66:P68"/>
    <mergeCell ref="Q66:Q68"/>
    <mergeCell ref="E69:E71"/>
    <mergeCell ref="F69:F71"/>
    <mergeCell ref="G69:G71"/>
    <mergeCell ref="H69:H71"/>
    <mergeCell ref="I66:I68"/>
    <mergeCell ref="J66:J68"/>
    <mergeCell ref="K66:K68"/>
    <mergeCell ref="L66:L68"/>
    <mergeCell ref="M66:M68"/>
    <mergeCell ref="N66:N68"/>
    <mergeCell ref="O63:O65"/>
    <mergeCell ref="P63:P65"/>
    <mergeCell ref="Q63:Q65"/>
    <mergeCell ref="E66:E68"/>
    <mergeCell ref="F66:F68"/>
    <mergeCell ref="G66:G68"/>
    <mergeCell ref="H66:H68"/>
    <mergeCell ref="I63:I65"/>
    <mergeCell ref="J63:J65"/>
    <mergeCell ref="K63:K65"/>
    <mergeCell ref="L63:L65"/>
    <mergeCell ref="M63:M65"/>
    <mergeCell ref="N63:N65"/>
    <mergeCell ref="O60:O62"/>
    <mergeCell ref="P60:P62"/>
    <mergeCell ref="Q60:Q62"/>
    <mergeCell ref="E63:E65"/>
    <mergeCell ref="F63:F65"/>
    <mergeCell ref="G63:G65"/>
    <mergeCell ref="H63:H65"/>
    <mergeCell ref="I60:I62"/>
    <mergeCell ref="J60:J62"/>
    <mergeCell ref="K60:K62"/>
    <mergeCell ref="L60:L62"/>
    <mergeCell ref="M60:M62"/>
    <mergeCell ref="N60:N62"/>
    <mergeCell ref="O57:O59"/>
    <mergeCell ref="P57:P59"/>
    <mergeCell ref="Q57:Q59"/>
    <mergeCell ref="E60:E62"/>
    <mergeCell ref="F60:F62"/>
    <mergeCell ref="G60:G62"/>
    <mergeCell ref="H60:H62"/>
    <mergeCell ref="I57:I59"/>
    <mergeCell ref="J57:J59"/>
    <mergeCell ref="K57:K59"/>
    <mergeCell ref="L57:L59"/>
    <mergeCell ref="M57:M59"/>
    <mergeCell ref="N57:N59"/>
    <mergeCell ref="O54:O56"/>
    <mergeCell ref="P54:P56"/>
    <mergeCell ref="Q54:Q56"/>
    <mergeCell ref="E57:E59"/>
    <mergeCell ref="F57:F59"/>
    <mergeCell ref="G57:G59"/>
    <mergeCell ref="H57:H59"/>
    <mergeCell ref="I54:I56"/>
    <mergeCell ref="J54:J56"/>
    <mergeCell ref="K54:K56"/>
    <mergeCell ref="L54:L56"/>
    <mergeCell ref="M54:M56"/>
    <mergeCell ref="N54:N56"/>
    <mergeCell ref="O51:O53"/>
    <mergeCell ref="P51:P53"/>
    <mergeCell ref="Q51:Q53"/>
    <mergeCell ref="E54:E56"/>
    <mergeCell ref="F54:F56"/>
    <mergeCell ref="G54:G56"/>
    <mergeCell ref="H54:H56"/>
    <mergeCell ref="I51:I53"/>
    <mergeCell ref="J51:J53"/>
    <mergeCell ref="K51:K53"/>
    <mergeCell ref="L51:L53"/>
    <mergeCell ref="M51:M53"/>
    <mergeCell ref="N51:N53"/>
    <mergeCell ref="O48:O50"/>
    <mergeCell ref="P48:P50"/>
    <mergeCell ref="Q48:Q50"/>
    <mergeCell ref="E51:E53"/>
    <mergeCell ref="F51:F53"/>
    <mergeCell ref="G51:G53"/>
    <mergeCell ref="H51:H53"/>
    <mergeCell ref="I48:I50"/>
    <mergeCell ref="J48:J50"/>
    <mergeCell ref="K48:K50"/>
    <mergeCell ref="L48:L50"/>
    <mergeCell ref="M48:M50"/>
    <mergeCell ref="N48:N50"/>
    <mergeCell ref="O45:O47"/>
    <mergeCell ref="P45:P47"/>
    <mergeCell ref="Q45:Q47"/>
    <mergeCell ref="E48:E50"/>
    <mergeCell ref="F48:F50"/>
    <mergeCell ref="G48:G50"/>
    <mergeCell ref="H48:H50"/>
    <mergeCell ref="I45:I47"/>
    <mergeCell ref="J45:J47"/>
    <mergeCell ref="K45:K47"/>
    <mergeCell ref="L45:L47"/>
    <mergeCell ref="M45:M47"/>
    <mergeCell ref="N45:N47"/>
    <mergeCell ref="O42:O44"/>
    <mergeCell ref="P42:P44"/>
    <mergeCell ref="Q42:Q44"/>
    <mergeCell ref="E45:E47"/>
    <mergeCell ref="F45:F47"/>
    <mergeCell ref="G45:G47"/>
    <mergeCell ref="H45:H47"/>
    <mergeCell ref="I42:I44"/>
    <mergeCell ref="J42:J44"/>
    <mergeCell ref="K42:K44"/>
    <mergeCell ref="L42:L44"/>
    <mergeCell ref="M42:M44"/>
    <mergeCell ref="N42:N44"/>
    <mergeCell ref="O39:O41"/>
    <mergeCell ref="P39:P41"/>
    <mergeCell ref="Q39:Q41"/>
    <mergeCell ref="E42:E44"/>
    <mergeCell ref="F42:F44"/>
    <mergeCell ref="G42:G44"/>
    <mergeCell ref="H42:H44"/>
    <mergeCell ref="I39:I41"/>
    <mergeCell ref="J39:J41"/>
    <mergeCell ref="K39:K41"/>
    <mergeCell ref="L39:L41"/>
    <mergeCell ref="M39:M41"/>
    <mergeCell ref="N39:N41"/>
    <mergeCell ref="O36:O38"/>
    <mergeCell ref="P36:P38"/>
    <mergeCell ref="Q36:Q38"/>
    <mergeCell ref="E39:E41"/>
    <mergeCell ref="F39:F41"/>
    <mergeCell ref="G39:G41"/>
    <mergeCell ref="H39:H41"/>
    <mergeCell ref="I36:I38"/>
    <mergeCell ref="J36:J38"/>
    <mergeCell ref="K36:K38"/>
    <mergeCell ref="L36:L38"/>
    <mergeCell ref="M36:M38"/>
    <mergeCell ref="N36:N38"/>
    <mergeCell ref="O33:O35"/>
    <mergeCell ref="P33:P35"/>
    <mergeCell ref="Q33:Q35"/>
    <mergeCell ref="E36:E38"/>
    <mergeCell ref="F36:F38"/>
    <mergeCell ref="G36:G38"/>
    <mergeCell ref="H36:H38"/>
    <mergeCell ref="I33:I35"/>
    <mergeCell ref="J33:J35"/>
    <mergeCell ref="K33:K35"/>
    <mergeCell ref="L33:L35"/>
    <mergeCell ref="M33:M35"/>
    <mergeCell ref="N33:N35"/>
    <mergeCell ref="O30:O32"/>
    <mergeCell ref="P30:P32"/>
    <mergeCell ref="Q30:Q32"/>
    <mergeCell ref="E33:E35"/>
    <mergeCell ref="F33:F35"/>
    <mergeCell ref="G33:G35"/>
    <mergeCell ref="H33:H35"/>
    <mergeCell ref="I30:I32"/>
    <mergeCell ref="J30:J32"/>
    <mergeCell ref="K30:K32"/>
    <mergeCell ref="L30:L32"/>
    <mergeCell ref="M30:M32"/>
    <mergeCell ref="N30:N32"/>
    <mergeCell ref="O27:O29"/>
    <mergeCell ref="P27:P29"/>
    <mergeCell ref="Q27:Q29"/>
    <mergeCell ref="E30:E32"/>
    <mergeCell ref="F30:F32"/>
    <mergeCell ref="G30:G32"/>
    <mergeCell ref="H30:H32"/>
    <mergeCell ref="I27:I29"/>
    <mergeCell ref="J27:J29"/>
    <mergeCell ref="K27:K29"/>
    <mergeCell ref="L27:L29"/>
    <mergeCell ref="M27:M29"/>
    <mergeCell ref="N27:N29"/>
    <mergeCell ref="Q24:Q26"/>
    <mergeCell ref="E27:E29"/>
    <mergeCell ref="F27:F29"/>
    <mergeCell ref="G27:G29"/>
    <mergeCell ref="H27:H29"/>
    <mergeCell ref="I24:I26"/>
    <mergeCell ref="J24:J26"/>
    <mergeCell ref="K24:K26"/>
    <mergeCell ref="L24:L26"/>
    <mergeCell ref="M24:M26"/>
    <mergeCell ref="N24:N26"/>
    <mergeCell ref="O21:O23"/>
    <mergeCell ref="P21:P23"/>
    <mergeCell ref="Q21:Q23"/>
    <mergeCell ref="E24:E26"/>
    <mergeCell ref="F24:F26"/>
    <mergeCell ref="G24:G26"/>
    <mergeCell ref="H24:H26"/>
    <mergeCell ref="I21:I23"/>
    <mergeCell ref="J21:J23"/>
    <mergeCell ref="K21:K23"/>
    <mergeCell ref="L21:L23"/>
    <mergeCell ref="M21:M23"/>
    <mergeCell ref="N21:N23"/>
    <mergeCell ref="E21:E23"/>
    <mergeCell ref="F21:F23"/>
    <mergeCell ref="G21:G23"/>
    <mergeCell ref="H21:H23"/>
    <mergeCell ref="Q18:Q20"/>
    <mergeCell ref="I18:I20"/>
    <mergeCell ref="J18:J20"/>
    <mergeCell ref="K18:K20"/>
    <mergeCell ref="L18:L20"/>
    <mergeCell ref="M18:M20"/>
    <mergeCell ref="N18:N20"/>
    <mergeCell ref="O15:O17"/>
    <mergeCell ref="P15:P17"/>
    <mergeCell ref="Q15:Q17"/>
    <mergeCell ref="E18:E20"/>
    <mergeCell ref="F18:F20"/>
    <mergeCell ref="G18:G20"/>
    <mergeCell ref="H18:H20"/>
    <mergeCell ref="I15:I17"/>
    <mergeCell ref="J15:J17"/>
    <mergeCell ref="K15:K17"/>
    <mergeCell ref="L15:L17"/>
    <mergeCell ref="M15:M17"/>
    <mergeCell ref="N15:N17"/>
    <mergeCell ref="Q3:Q5"/>
    <mergeCell ref="E6:E8"/>
    <mergeCell ref="F6:F8"/>
    <mergeCell ref="G6:G8"/>
    <mergeCell ref="H6:H8"/>
    <mergeCell ref="I3:I5"/>
    <mergeCell ref="J3:J5"/>
    <mergeCell ref="K3:K5"/>
    <mergeCell ref="L3:L5"/>
    <mergeCell ref="M3:M5"/>
    <mergeCell ref="N3:N5"/>
    <mergeCell ref="E3:E5"/>
    <mergeCell ref="F3:F5"/>
    <mergeCell ref="G3:G5"/>
    <mergeCell ref="H3:H5"/>
    <mergeCell ref="P9:P11"/>
    <mergeCell ref="Q9:Q11"/>
    <mergeCell ref="I9:I11"/>
    <mergeCell ref="J9:J11"/>
    <mergeCell ref="K9:K11"/>
    <mergeCell ref="L9:L11"/>
    <mergeCell ref="M9:M11"/>
    <mergeCell ref="N9:N11"/>
    <mergeCell ref="E9:E11"/>
    <mergeCell ref="F9:F11"/>
    <mergeCell ref="G9:G11"/>
    <mergeCell ref="H9:H11"/>
    <mergeCell ref="A18:A20"/>
    <mergeCell ref="B18:B20"/>
    <mergeCell ref="D18:D20"/>
    <mergeCell ref="A21:A23"/>
    <mergeCell ref="B21:B23"/>
    <mergeCell ref="D21:D23"/>
    <mergeCell ref="A24:A26"/>
    <mergeCell ref="B24:B26"/>
    <mergeCell ref="D24:D26"/>
    <mergeCell ref="O6:O8"/>
    <mergeCell ref="P6:P8"/>
    <mergeCell ref="Q6:Q8"/>
    <mergeCell ref="I6:I8"/>
    <mergeCell ref="J6:J8"/>
    <mergeCell ref="K6:K8"/>
    <mergeCell ref="L6:L8"/>
    <mergeCell ref="M6:M8"/>
    <mergeCell ref="N6:N8"/>
    <mergeCell ref="O12:O14"/>
    <mergeCell ref="P12:P14"/>
    <mergeCell ref="Q12:Q14"/>
    <mergeCell ref="E15:E17"/>
    <mergeCell ref="F15:F17"/>
    <mergeCell ref="G15:G17"/>
    <mergeCell ref="H15:H17"/>
    <mergeCell ref="I12:I14"/>
    <mergeCell ref="J12:J14"/>
    <mergeCell ref="K12:K14"/>
    <mergeCell ref="L12:L14"/>
    <mergeCell ref="M12:M14"/>
    <mergeCell ref="N12:N14"/>
    <mergeCell ref="O9:O11"/>
    <mergeCell ref="B93:B95"/>
    <mergeCell ref="D93:D95"/>
    <mergeCell ref="A60:A62"/>
    <mergeCell ref="B60:B62"/>
    <mergeCell ref="D60:D62"/>
    <mergeCell ref="A27:A29"/>
    <mergeCell ref="B27:B29"/>
    <mergeCell ref="D27:D29"/>
    <mergeCell ref="A30:A32"/>
    <mergeCell ref="B30:B32"/>
    <mergeCell ref="D30:D32"/>
    <mergeCell ref="A33:A35"/>
    <mergeCell ref="B33:B35"/>
    <mergeCell ref="D33:D35"/>
    <mergeCell ref="A36:A38"/>
    <mergeCell ref="B36:B38"/>
    <mergeCell ref="D36:D38"/>
    <mergeCell ref="A39:A41"/>
    <mergeCell ref="B39:B41"/>
    <mergeCell ref="D39:D41"/>
    <mergeCell ref="A42:A44"/>
    <mergeCell ref="B42:B44"/>
    <mergeCell ref="D42:D44"/>
    <mergeCell ref="A45:A47"/>
    <mergeCell ref="B45:B47"/>
    <mergeCell ref="D45:D47"/>
    <mergeCell ref="A48:A50"/>
    <mergeCell ref="B48:B50"/>
    <mergeCell ref="D48:D50"/>
    <mergeCell ref="A51:A53"/>
    <mergeCell ref="B51:B53"/>
    <mergeCell ref="D51:D53"/>
    <mergeCell ref="A117:A119"/>
    <mergeCell ref="B117:B119"/>
    <mergeCell ref="D117:D119"/>
    <mergeCell ref="A120:A122"/>
    <mergeCell ref="B120:B122"/>
    <mergeCell ref="D120:D122"/>
    <mergeCell ref="A123:A125"/>
    <mergeCell ref="B123:B125"/>
    <mergeCell ref="D123:D125"/>
    <mergeCell ref="A126:A128"/>
    <mergeCell ref="B126:B128"/>
    <mergeCell ref="A96:A98"/>
    <mergeCell ref="B96:B98"/>
    <mergeCell ref="D96:D98"/>
    <mergeCell ref="A63:A65"/>
    <mergeCell ref="B63:B65"/>
    <mergeCell ref="D63:D65"/>
    <mergeCell ref="A66:A68"/>
    <mergeCell ref="B66:B68"/>
    <mergeCell ref="D66:D68"/>
    <mergeCell ref="A69:A71"/>
    <mergeCell ref="B69:B71"/>
    <mergeCell ref="D69:D71"/>
    <mergeCell ref="A72:A74"/>
    <mergeCell ref="B72:B74"/>
    <mergeCell ref="D72:D74"/>
    <mergeCell ref="A75:A77"/>
    <mergeCell ref="B75:B77"/>
    <mergeCell ref="A90:A92"/>
    <mergeCell ref="B90:B92"/>
    <mergeCell ref="D90:D92"/>
    <mergeCell ref="A93:A95"/>
    <mergeCell ref="A99:A101"/>
    <mergeCell ref="B99:B101"/>
    <mergeCell ref="D99:D101"/>
    <mergeCell ref="A102:A104"/>
    <mergeCell ref="B102:B104"/>
    <mergeCell ref="D102:D104"/>
    <mergeCell ref="A105:A107"/>
    <mergeCell ref="B105:B107"/>
    <mergeCell ref="D105:D107"/>
    <mergeCell ref="A108:A110"/>
    <mergeCell ref="B108:B110"/>
    <mergeCell ref="D108:D110"/>
    <mergeCell ref="A111:A113"/>
    <mergeCell ref="B111:B113"/>
    <mergeCell ref="D111:D113"/>
    <mergeCell ref="A114:A116"/>
    <mergeCell ref="B114:B116"/>
    <mergeCell ref="D114:D116"/>
    <mergeCell ref="A168:A170"/>
    <mergeCell ref="B168:B170"/>
    <mergeCell ref="D168:D170"/>
    <mergeCell ref="A135:A137"/>
    <mergeCell ref="B135:B137"/>
    <mergeCell ref="D135:D137"/>
    <mergeCell ref="A138:A140"/>
    <mergeCell ref="B138:B140"/>
    <mergeCell ref="D138:D140"/>
    <mergeCell ref="A141:A143"/>
    <mergeCell ref="B141:B143"/>
    <mergeCell ref="D141:D143"/>
    <mergeCell ref="A144:A146"/>
    <mergeCell ref="B144:B146"/>
    <mergeCell ref="D144:D146"/>
    <mergeCell ref="A147:A149"/>
    <mergeCell ref="B147:B149"/>
    <mergeCell ref="A162:A164"/>
    <mergeCell ref="B162:B164"/>
    <mergeCell ref="D162:D164"/>
    <mergeCell ref="A165:A167"/>
    <mergeCell ref="B165:B167"/>
    <mergeCell ref="D165:D167"/>
    <mergeCell ref="B237:B239"/>
    <mergeCell ref="D237:D239"/>
    <mergeCell ref="A204:A206"/>
    <mergeCell ref="B204:B206"/>
    <mergeCell ref="D204:D206"/>
    <mergeCell ref="A171:A173"/>
    <mergeCell ref="B171:B173"/>
    <mergeCell ref="D171:D173"/>
    <mergeCell ref="A174:A176"/>
    <mergeCell ref="B174:B176"/>
    <mergeCell ref="D174:D176"/>
    <mergeCell ref="A177:A179"/>
    <mergeCell ref="B177:B179"/>
    <mergeCell ref="D177:D179"/>
    <mergeCell ref="A180:A182"/>
    <mergeCell ref="B180:B182"/>
    <mergeCell ref="D180:D182"/>
    <mergeCell ref="A183:A185"/>
    <mergeCell ref="B183:B185"/>
    <mergeCell ref="D183:D185"/>
    <mergeCell ref="A186:A188"/>
    <mergeCell ref="B186:B188"/>
    <mergeCell ref="D186:D188"/>
    <mergeCell ref="A189:A191"/>
    <mergeCell ref="B189:B191"/>
    <mergeCell ref="D189:D191"/>
    <mergeCell ref="A192:A194"/>
    <mergeCell ref="B192:B194"/>
    <mergeCell ref="D192:D194"/>
    <mergeCell ref="A195:A197"/>
    <mergeCell ref="B195:B197"/>
    <mergeCell ref="D195:D197"/>
    <mergeCell ref="A261:A263"/>
    <mergeCell ref="B261:B263"/>
    <mergeCell ref="D261:D263"/>
    <mergeCell ref="A264:A266"/>
    <mergeCell ref="B264:B266"/>
    <mergeCell ref="D264:D266"/>
    <mergeCell ref="A267:A269"/>
    <mergeCell ref="B267:B269"/>
    <mergeCell ref="D267:D269"/>
    <mergeCell ref="A270:A272"/>
    <mergeCell ref="B270:B272"/>
    <mergeCell ref="A240:A242"/>
    <mergeCell ref="B240:B242"/>
    <mergeCell ref="D240:D242"/>
    <mergeCell ref="A207:A209"/>
    <mergeCell ref="B207:B209"/>
    <mergeCell ref="D207:D209"/>
    <mergeCell ref="A210:A212"/>
    <mergeCell ref="B210:B212"/>
    <mergeCell ref="D210:D212"/>
    <mergeCell ref="A213:A215"/>
    <mergeCell ref="B213:B215"/>
    <mergeCell ref="D213:D215"/>
    <mergeCell ref="A216:A218"/>
    <mergeCell ref="B216:B218"/>
    <mergeCell ref="D216:D218"/>
    <mergeCell ref="A219:A221"/>
    <mergeCell ref="B219:B221"/>
    <mergeCell ref="A234:A236"/>
    <mergeCell ref="B234:B236"/>
    <mergeCell ref="D234:D236"/>
    <mergeCell ref="A237:A239"/>
    <mergeCell ref="A243:A245"/>
    <mergeCell ref="B243:B245"/>
    <mergeCell ref="D243:D245"/>
    <mergeCell ref="A246:A248"/>
    <mergeCell ref="B246:B248"/>
    <mergeCell ref="D246:D248"/>
    <mergeCell ref="A249:A251"/>
    <mergeCell ref="B249:B251"/>
    <mergeCell ref="D249:D251"/>
    <mergeCell ref="A252:A254"/>
    <mergeCell ref="B252:B254"/>
    <mergeCell ref="D252:D254"/>
    <mergeCell ref="A255:A257"/>
    <mergeCell ref="B255:B257"/>
    <mergeCell ref="D255:D257"/>
    <mergeCell ref="A258:A260"/>
    <mergeCell ref="B258:B260"/>
    <mergeCell ref="D258:D260"/>
    <mergeCell ref="A312:A314"/>
    <mergeCell ref="B312:B314"/>
    <mergeCell ref="D312:D314"/>
    <mergeCell ref="A279:A281"/>
    <mergeCell ref="B279:B281"/>
    <mergeCell ref="D279:D281"/>
    <mergeCell ref="A282:A284"/>
    <mergeCell ref="B282:B284"/>
    <mergeCell ref="D282:D284"/>
    <mergeCell ref="A285:A287"/>
    <mergeCell ref="B285:B287"/>
    <mergeCell ref="D285:D287"/>
    <mergeCell ref="A288:A290"/>
    <mergeCell ref="B288:B290"/>
    <mergeCell ref="D288:D290"/>
    <mergeCell ref="A291:A293"/>
    <mergeCell ref="B291:B293"/>
    <mergeCell ref="A306:A308"/>
    <mergeCell ref="B306:B308"/>
    <mergeCell ref="D306:D308"/>
    <mergeCell ref="A309:A311"/>
    <mergeCell ref="B309:B311"/>
    <mergeCell ref="D309:D311"/>
    <mergeCell ref="B381:B383"/>
    <mergeCell ref="D381:D383"/>
    <mergeCell ref="A348:A350"/>
    <mergeCell ref="B348:B350"/>
    <mergeCell ref="D348:D350"/>
    <mergeCell ref="A315:A317"/>
    <mergeCell ref="B315:B317"/>
    <mergeCell ref="D315:D317"/>
    <mergeCell ref="A318:A320"/>
    <mergeCell ref="B318:B320"/>
    <mergeCell ref="D318:D320"/>
    <mergeCell ref="A321:A323"/>
    <mergeCell ref="B321:B323"/>
    <mergeCell ref="D321:D323"/>
    <mergeCell ref="A324:A326"/>
    <mergeCell ref="B324:B326"/>
    <mergeCell ref="D324:D326"/>
    <mergeCell ref="A327:A329"/>
    <mergeCell ref="B327:B329"/>
    <mergeCell ref="D327:D329"/>
    <mergeCell ref="A330:A332"/>
    <mergeCell ref="B330:B332"/>
    <mergeCell ref="D330:D332"/>
    <mergeCell ref="A333:A335"/>
    <mergeCell ref="B333:B335"/>
    <mergeCell ref="D333:D335"/>
    <mergeCell ref="A336:A338"/>
    <mergeCell ref="B336:B338"/>
    <mergeCell ref="D336:D338"/>
    <mergeCell ref="A339:A341"/>
    <mergeCell ref="B339:B341"/>
    <mergeCell ref="D339:D341"/>
    <mergeCell ref="A405:A407"/>
    <mergeCell ref="B405:B407"/>
    <mergeCell ref="D405:D407"/>
    <mergeCell ref="A408:A410"/>
    <mergeCell ref="B408:B410"/>
    <mergeCell ref="D408:D410"/>
    <mergeCell ref="A411:A413"/>
    <mergeCell ref="B411:B413"/>
    <mergeCell ref="D411:D413"/>
    <mergeCell ref="A414:A416"/>
    <mergeCell ref="B414:B416"/>
    <mergeCell ref="A384:A386"/>
    <mergeCell ref="B384:B386"/>
    <mergeCell ref="D384:D386"/>
    <mergeCell ref="A351:A353"/>
    <mergeCell ref="B351:B353"/>
    <mergeCell ref="D351:D353"/>
    <mergeCell ref="A354:A356"/>
    <mergeCell ref="B354:B356"/>
    <mergeCell ref="D354:D356"/>
    <mergeCell ref="A357:A359"/>
    <mergeCell ref="B357:B359"/>
    <mergeCell ref="D357:D359"/>
    <mergeCell ref="A360:A362"/>
    <mergeCell ref="B360:B362"/>
    <mergeCell ref="D360:D362"/>
    <mergeCell ref="A363:A365"/>
    <mergeCell ref="B363:B365"/>
    <mergeCell ref="A378:A380"/>
    <mergeCell ref="B378:B380"/>
    <mergeCell ref="D378:D380"/>
    <mergeCell ref="A381:A383"/>
    <mergeCell ref="A387:A389"/>
    <mergeCell ref="B387:B389"/>
    <mergeCell ref="D387:D389"/>
    <mergeCell ref="A390:A392"/>
    <mergeCell ref="B390:B392"/>
    <mergeCell ref="D390:D392"/>
    <mergeCell ref="A393:A395"/>
    <mergeCell ref="B393:B395"/>
    <mergeCell ref="D393:D395"/>
    <mergeCell ref="A396:A398"/>
    <mergeCell ref="B396:B398"/>
    <mergeCell ref="D396:D398"/>
    <mergeCell ref="A399:A401"/>
    <mergeCell ref="B399:B401"/>
    <mergeCell ref="D399:D401"/>
    <mergeCell ref="A402:A404"/>
    <mergeCell ref="B402:B404"/>
    <mergeCell ref="D402:D404"/>
    <mergeCell ref="A456:A458"/>
    <mergeCell ref="B456:B458"/>
    <mergeCell ref="D456:D458"/>
    <mergeCell ref="A423:A425"/>
    <mergeCell ref="B423:B425"/>
    <mergeCell ref="D423:D425"/>
    <mergeCell ref="A426:A428"/>
    <mergeCell ref="B426:B428"/>
    <mergeCell ref="D426:D428"/>
    <mergeCell ref="A429:A431"/>
    <mergeCell ref="B429:B431"/>
    <mergeCell ref="D429:D431"/>
    <mergeCell ref="A432:A434"/>
    <mergeCell ref="B432:B434"/>
    <mergeCell ref="D432:D434"/>
    <mergeCell ref="A435:A437"/>
    <mergeCell ref="B435:B437"/>
    <mergeCell ref="A450:A452"/>
    <mergeCell ref="B450:B452"/>
    <mergeCell ref="D450:D452"/>
    <mergeCell ref="A453:A455"/>
    <mergeCell ref="B453:B455"/>
    <mergeCell ref="D453:D455"/>
    <mergeCell ref="B525:B527"/>
    <mergeCell ref="D525:D527"/>
    <mergeCell ref="A492:A494"/>
    <mergeCell ref="B492:B494"/>
    <mergeCell ref="D492:D494"/>
    <mergeCell ref="A459:A461"/>
    <mergeCell ref="B459:B461"/>
    <mergeCell ref="D459:D461"/>
    <mergeCell ref="A462:A464"/>
    <mergeCell ref="B462:B464"/>
    <mergeCell ref="D462:D464"/>
    <mergeCell ref="A465:A467"/>
    <mergeCell ref="B465:B467"/>
    <mergeCell ref="D465:D467"/>
    <mergeCell ref="A468:A470"/>
    <mergeCell ref="B468:B470"/>
    <mergeCell ref="D468:D470"/>
    <mergeCell ref="A471:A473"/>
    <mergeCell ref="B471:B473"/>
    <mergeCell ref="D471:D473"/>
    <mergeCell ref="A474:A476"/>
    <mergeCell ref="B474:B476"/>
    <mergeCell ref="D474:D476"/>
    <mergeCell ref="A477:A479"/>
    <mergeCell ref="B477:B479"/>
    <mergeCell ref="D477:D479"/>
    <mergeCell ref="A480:A482"/>
    <mergeCell ref="B480:B482"/>
    <mergeCell ref="D480:D482"/>
    <mergeCell ref="A483:A485"/>
    <mergeCell ref="B483:B485"/>
    <mergeCell ref="D483:D485"/>
    <mergeCell ref="A549:A551"/>
    <mergeCell ref="B549:B551"/>
    <mergeCell ref="D549:D551"/>
    <mergeCell ref="A552:A554"/>
    <mergeCell ref="B552:B554"/>
    <mergeCell ref="D552:D554"/>
    <mergeCell ref="A555:A557"/>
    <mergeCell ref="B555:B557"/>
    <mergeCell ref="D555:D557"/>
    <mergeCell ref="A558:A560"/>
    <mergeCell ref="B558:B560"/>
    <mergeCell ref="A528:A530"/>
    <mergeCell ref="B528:B530"/>
    <mergeCell ref="D528:D530"/>
    <mergeCell ref="A495:A497"/>
    <mergeCell ref="B495:B497"/>
    <mergeCell ref="D495:D497"/>
    <mergeCell ref="A498:A500"/>
    <mergeCell ref="B498:B500"/>
    <mergeCell ref="D498:D500"/>
    <mergeCell ref="A501:A503"/>
    <mergeCell ref="B501:B503"/>
    <mergeCell ref="D501:D503"/>
    <mergeCell ref="A504:A506"/>
    <mergeCell ref="B504:B506"/>
    <mergeCell ref="D504:D506"/>
    <mergeCell ref="A507:A509"/>
    <mergeCell ref="B507:B509"/>
    <mergeCell ref="A522:A524"/>
    <mergeCell ref="B522:B524"/>
    <mergeCell ref="D522:D524"/>
    <mergeCell ref="A525:A527"/>
    <mergeCell ref="A531:A533"/>
    <mergeCell ref="B531:B533"/>
    <mergeCell ref="D531:D533"/>
    <mergeCell ref="A534:A536"/>
    <mergeCell ref="B534:B536"/>
    <mergeCell ref="D534:D536"/>
    <mergeCell ref="A537:A539"/>
    <mergeCell ref="B537:B539"/>
    <mergeCell ref="D537:D539"/>
    <mergeCell ref="A540:A542"/>
    <mergeCell ref="B540:B542"/>
    <mergeCell ref="D540:D542"/>
    <mergeCell ref="A543:A545"/>
    <mergeCell ref="B543:B545"/>
    <mergeCell ref="D543:D545"/>
    <mergeCell ref="A546:A548"/>
    <mergeCell ref="B546:B548"/>
    <mergeCell ref="D546:D548"/>
    <mergeCell ref="A600:A602"/>
    <mergeCell ref="B600:B602"/>
    <mergeCell ref="D600:D602"/>
    <mergeCell ref="A567:A569"/>
    <mergeCell ref="B567:B569"/>
    <mergeCell ref="D567:D569"/>
    <mergeCell ref="A570:A572"/>
    <mergeCell ref="B570:B572"/>
    <mergeCell ref="D570:D572"/>
    <mergeCell ref="A573:A575"/>
    <mergeCell ref="B573:B575"/>
    <mergeCell ref="D573:D575"/>
    <mergeCell ref="A576:A578"/>
    <mergeCell ref="B576:B578"/>
    <mergeCell ref="D576:D578"/>
    <mergeCell ref="A579:A581"/>
    <mergeCell ref="B579:B581"/>
    <mergeCell ref="A594:A596"/>
    <mergeCell ref="B594:B596"/>
    <mergeCell ref="D594:D596"/>
    <mergeCell ref="A597:A599"/>
    <mergeCell ref="B597:B599"/>
    <mergeCell ref="D597:D599"/>
    <mergeCell ref="D669:D671"/>
    <mergeCell ref="A636:A638"/>
    <mergeCell ref="B636:B638"/>
    <mergeCell ref="D636:D638"/>
    <mergeCell ref="A603:A605"/>
    <mergeCell ref="B603:B605"/>
    <mergeCell ref="D603:D605"/>
    <mergeCell ref="A606:A608"/>
    <mergeCell ref="B606:B608"/>
    <mergeCell ref="D606:D608"/>
    <mergeCell ref="A609:A611"/>
    <mergeCell ref="B609:B611"/>
    <mergeCell ref="D609:D611"/>
    <mergeCell ref="A612:A614"/>
    <mergeCell ref="B612:B614"/>
    <mergeCell ref="D612:D614"/>
    <mergeCell ref="A615:A617"/>
    <mergeCell ref="B615:B617"/>
    <mergeCell ref="D615:D617"/>
    <mergeCell ref="A618:A620"/>
    <mergeCell ref="B618:B620"/>
    <mergeCell ref="D618:D620"/>
    <mergeCell ref="A621:A623"/>
    <mergeCell ref="B621:B623"/>
    <mergeCell ref="D621:D623"/>
    <mergeCell ref="A624:A626"/>
    <mergeCell ref="B624:B626"/>
    <mergeCell ref="D624:D626"/>
    <mergeCell ref="A627:A629"/>
    <mergeCell ref="B627:B629"/>
    <mergeCell ref="D627:D629"/>
    <mergeCell ref="A630:A632"/>
    <mergeCell ref="A693:A695"/>
    <mergeCell ref="B693:B695"/>
    <mergeCell ref="D693:D695"/>
    <mergeCell ref="A696:A698"/>
    <mergeCell ref="B696:B698"/>
    <mergeCell ref="D696:D698"/>
    <mergeCell ref="A699:A701"/>
    <mergeCell ref="B699:B701"/>
    <mergeCell ref="D699:D701"/>
    <mergeCell ref="A702:A704"/>
    <mergeCell ref="A672:A674"/>
    <mergeCell ref="B672:B674"/>
    <mergeCell ref="D672:D674"/>
    <mergeCell ref="A639:A641"/>
    <mergeCell ref="B639:B641"/>
    <mergeCell ref="D639:D641"/>
    <mergeCell ref="A642:A644"/>
    <mergeCell ref="B642:B644"/>
    <mergeCell ref="D642:D644"/>
    <mergeCell ref="A645:A647"/>
    <mergeCell ref="B645:B647"/>
    <mergeCell ref="D645:D647"/>
    <mergeCell ref="A648:A650"/>
    <mergeCell ref="B648:B650"/>
    <mergeCell ref="D648:D650"/>
    <mergeCell ref="A651:A653"/>
    <mergeCell ref="B651:B653"/>
    <mergeCell ref="A666:A668"/>
    <mergeCell ref="B666:B668"/>
    <mergeCell ref="D666:D668"/>
    <mergeCell ref="A669:A671"/>
    <mergeCell ref="B669:B671"/>
    <mergeCell ref="A675:A677"/>
    <mergeCell ref="B675:B677"/>
    <mergeCell ref="D675:D677"/>
    <mergeCell ref="A678:A680"/>
    <mergeCell ref="B678:B680"/>
    <mergeCell ref="D678:D680"/>
    <mergeCell ref="A681:A683"/>
    <mergeCell ref="B681:B683"/>
    <mergeCell ref="D681:D683"/>
    <mergeCell ref="A684:A686"/>
    <mergeCell ref="B684:B686"/>
    <mergeCell ref="D684:D686"/>
    <mergeCell ref="A687:A689"/>
    <mergeCell ref="B687:B689"/>
    <mergeCell ref="D687:D689"/>
    <mergeCell ref="A690:A692"/>
    <mergeCell ref="B690:B692"/>
    <mergeCell ref="D690:D692"/>
    <mergeCell ref="A1:A2"/>
    <mergeCell ref="B1:B2"/>
    <mergeCell ref="D1:D2"/>
    <mergeCell ref="A3:A5"/>
    <mergeCell ref="B3:B5"/>
    <mergeCell ref="D3:D5"/>
    <mergeCell ref="A6:A8"/>
    <mergeCell ref="B6:B8"/>
    <mergeCell ref="D6:D8"/>
    <mergeCell ref="A9:A11"/>
    <mergeCell ref="B9:B11"/>
    <mergeCell ref="D9:D11"/>
    <mergeCell ref="A12:A14"/>
    <mergeCell ref="B12:B14"/>
    <mergeCell ref="D12:D14"/>
    <mergeCell ref="A15:A17"/>
    <mergeCell ref="B15:B17"/>
    <mergeCell ref="D15:D17"/>
    <mergeCell ref="D54:D56"/>
    <mergeCell ref="A57:A59"/>
    <mergeCell ref="B57:B59"/>
    <mergeCell ref="D57:D59"/>
    <mergeCell ref="D75:D77"/>
    <mergeCell ref="A78:A80"/>
    <mergeCell ref="B78:B80"/>
    <mergeCell ref="D78:D80"/>
    <mergeCell ref="A81:A83"/>
    <mergeCell ref="B81:B83"/>
    <mergeCell ref="D81:D83"/>
    <mergeCell ref="A84:A86"/>
    <mergeCell ref="B84:B86"/>
    <mergeCell ref="D84:D86"/>
    <mergeCell ref="A87:A89"/>
    <mergeCell ref="B87:B89"/>
    <mergeCell ref="D87:D89"/>
    <mergeCell ref="A54:A56"/>
    <mergeCell ref="B54:B56"/>
    <mergeCell ref="D126:D128"/>
    <mergeCell ref="A129:A131"/>
    <mergeCell ref="B129:B131"/>
    <mergeCell ref="D129:D131"/>
    <mergeCell ref="D147:D149"/>
    <mergeCell ref="A150:A152"/>
    <mergeCell ref="B150:B152"/>
    <mergeCell ref="D150:D152"/>
    <mergeCell ref="A153:A155"/>
    <mergeCell ref="B153:B155"/>
    <mergeCell ref="D153:D155"/>
    <mergeCell ref="A156:A158"/>
    <mergeCell ref="B156:B158"/>
    <mergeCell ref="D156:D158"/>
    <mergeCell ref="A159:A161"/>
    <mergeCell ref="B159:B161"/>
    <mergeCell ref="D159:D161"/>
    <mergeCell ref="A132:A134"/>
    <mergeCell ref="B132:B134"/>
    <mergeCell ref="D132:D134"/>
    <mergeCell ref="D198:D200"/>
    <mergeCell ref="A201:A203"/>
    <mergeCell ref="B201:B203"/>
    <mergeCell ref="D201:D203"/>
    <mergeCell ref="D219:D221"/>
    <mergeCell ref="A222:A224"/>
    <mergeCell ref="B222:B224"/>
    <mergeCell ref="D222:D224"/>
    <mergeCell ref="A225:A227"/>
    <mergeCell ref="B225:B227"/>
    <mergeCell ref="D225:D227"/>
    <mergeCell ref="A228:A230"/>
    <mergeCell ref="B228:B230"/>
    <mergeCell ref="D228:D230"/>
    <mergeCell ref="A231:A233"/>
    <mergeCell ref="B231:B233"/>
    <mergeCell ref="D231:D233"/>
    <mergeCell ref="A198:A200"/>
    <mergeCell ref="B198:B200"/>
    <mergeCell ref="D270:D272"/>
    <mergeCell ref="A273:A275"/>
    <mergeCell ref="B273:B275"/>
    <mergeCell ref="D273:D275"/>
    <mergeCell ref="D291:D293"/>
    <mergeCell ref="A294:A296"/>
    <mergeCell ref="B294:B296"/>
    <mergeCell ref="D294:D296"/>
    <mergeCell ref="A297:A299"/>
    <mergeCell ref="B297:B299"/>
    <mergeCell ref="D297:D299"/>
    <mergeCell ref="A300:A302"/>
    <mergeCell ref="B300:B302"/>
    <mergeCell ref="D300:D302"/>
    <mergeCell ref="A303:A305"/>
    <mergeCell ref="B303:B305"/>
    <mergeCell ref="D303:D305"/>
    <mergeCell ref="A276:A278"/>
    <mergeCell ref="B276:B278"/>
    <mergeCell ref="D276:D278"/>
    <mergeCell ref="D342:D344"/>
    <mergeCell ref="A345:A347"/>
    <mergeCell ref="B345:B347"/>
    <mergeCell ref="D345:D347"/>
    <mergeCell ref="D363:D365"/>
    <mergeCell ref="A366:A368"/>
    <mergeCell ref="B366:B368"/>
    <mergeCell ref="D366:D368"/>
    <mergeCell ref="A369:A371"/>
    <mergeCell ref="B369:B371"/>
    <mergeCell ref="D369:D371"/>
    <mergeCell ref="A372:A374"/>
    <mergeCell ref="B372:B374"/>
    <mergeCell ref="D372:D374"/>
    <mergeCell ref="A375:A377"/>
    <mergeCell ref="B375:B377"/>
    <mergeCell ref="D375:D377"/>
    <mergeCell ref="A342:A344"/>
    <mergeCell ref="B342:B344"/>
    <mergeCell ref="D414:D416"/>
    <mergeCell ref="A417:A419"/>
    <mergeCell ref="B417:B419"/>
    <mergeCell ref="D417:D419"/>
    <mergeCell ref="D435:D437"/>
    <mergeCell ref="A438:A440"/>
    <mergeCell ref="B438:B440"/>
    <mergeCell ref="D438:D440"/>
    <mergeCell ref="A441:A443"/>
    <mergeCell ref="B441:B443"/>
    <mergeCell ref="D441:D443"/>
    <mergeCell ref="A444:A446"/>
    <mergeCell ref="B444:B446"/>
    <mergeCell ref="D444:D446"/>
    <mergeCell ref="A447:A449"/>
    <mergeCell ref="B447:B449"/>
    <mergeCell ref="D447:D449"/>
    <mergeCell ref="A420:A422"/>
    <mergeCell ref="B420:B422"/>
    <mergeCell ref="D420:D422"/>
    <mergeCell ref="D486:D488"/>
    <mergeCell ref="A489:A491"/>
    <mergeCell ref="B489:B491"/>
    <mergeCell ref="D489:D491"/>
    <mergeCell ref="D507:D509"/>
    <mergeCell ref="A510:A512"/>
    <mergeCell ref="B510:B512"/>
    <mergeCell ref="D510:D512"/>
    <mergeCell ref="A513:A515"/>
    <mergeCell ref="B513:B515"/>
    <mergeCell ref="D513:D515"/>
    <mergeCell ref="A516:A518"/>
    <mergeCell ref="B516:B518"/>
    <mergeCell ref="D516:D518"/>
    <mergeCell ref="A519:A521"/>
    <mergeCell ref="B519:B521"/>
    <mergeCell ref="D519:D521"/>
    <mergeCell ref="A486:A488"/>
    <mergeCell ref="B486:B488"/>
    <mergeCell ref="D558:D560"/>
    <mergeCell ref="A561:A563"/>
    <mergeCell ref="B561:B563"/>
    <mergeCell ref="D561:D563"/>
    <mergeCell ref="D579:D581"/>
    <mergeCell ref="A582:A584"/>
    <mergeCell ref="B582:B584"/>
    <mergeCell ref="D582:D584"/>
    <mergeCell ref="A585:A587"/>
    <mergeCell ref="B585:B587"/>
    <mergeCell ref="D585:D587"/>
    <mergeCell ref="A588:A590"/>
    <mergeCell ref="B588:B590"/>
    <mergeCell ref="D588:D590"/>
    <mergeCell ref="A591:A593"/>
    <mergeCell ref="B591:B593"/>
    <mergeCell ref="D591:D593"/>
    <mergeCell ref="A564:A566"/>
    <mergeCell ref="B564:B566"/>
    <mergeCell ref="D564:D566"/>
    <mergeCell ref="D630:D632"/>
    <mergeCell ref="A633:A635"/>
    <mergeCell ref="B633:B635"/>
    <mergeCell ref="D633:D635"/>
    <mergeCell ref="D651:D653"/>
    <mergeCell ref="A654:A656"/>
    <mergeCell ref="B654:B656"/>
    <mergeCell ref="D654:D656"/>
    <mergeCell ref="A657:A659"/>
    <mergeCell ref="B657:B659"/>
    <mergeCell ref="D657:D659"/>
    <mergeCell ref="A660:A662"/>
    <mergeCell ref="B660:B662"/>
    <mergeCell ref="D660:D662"/>
    <mergeCell ref="A663:A665"/>
    <mergeCell ref="B663:B665"/>
    <mergeCell ref="D663:D665"/>
    <mergeCell ref="B630:B632"/>
    <mergeCell ref="B702:B704"/>
    <mergeCell ref="D702:D704"/>
    <mergeCell ref="A705:A707"/>
    <mergeCell ref="B705:B707"/>
    <mergeCell ref="D705:D707"/>
    <mergeCell ref="B711:B713"/>
    <mergeCell ref="D711:D713"/>
    <mergeCell ref="A714:A716"/>
    <mergeCell ref="B714:B716"/>
    <mergeCell ref="D714:D716"/>
    <mergeCell ref="A717:A719"/>
    <mergeCell ref="B717:B719"/>
    <mergeCell ref="D717:D719"/>
    <mergeCell ref="A720:A722"/>
    <mergeCell ref="B720:B722"/>
    <mergeCell ref="D720:D722"/>
    <mergeCell ref="A723:A725"/>
    <mergeCell ref="B723:B725"/>
    <mergeCell ref="D723:D725"/>
    <mergeCell ref="A708:A710"/>
    <mergeCell ref="B708:B710"/>
    <mergeCell ref="D708:D710"/>
    <mergeCell ref="A711:A713"/>
    <mergeCell ref="A726:A728"/>
    <mergeCell ref="B726:B728"/>
    <mergeCell ref="D726:D728"/>
    <mergeCell ref="A729:A731"/>
    <mergeCell ref="B729:B731"/>
    <mergeCell ref="D729:D731"/>
    <mergeCell ref="A732:A734"/>
    <mergeCell ref="B732:B734"/>
    <mergeCell ref="D732:D734"/>
    <mergeCell ref="A735:A737"/>
    <mergeCell ref="B735:B737"/>
    <mergeCell ref="D735:D737"/>
    <mergeCell ref="A738:A740"/>
    <mergeCell ref="B738:B740"/>
    <mergeCell ref="D738:D740"/>
    <mergeCell ref="A741:A743"/>
    <mergeCell ref="B741:B743"/>
    <mergeCell ref="D741:D743"/>
    <mergeCell ref="A744:A746"/>
    <mergeCell ref="B744:B746"/>
    <mergeCell ref="D744:D746"/>
    <mergeCell ref="A747:A749"/>
    <mergeCell ref="B747:B749"/>
    <mergeCell ref="D747:D749"/>
    <mergeCell ref="A750:A752"/>
    <mergeCell ref="B750:B752"/>
    <mergeCell ref="D750:D752"/>
    <mergeCell ref="A753:A755"/>
    <mergeCell ref="B753:B755"/>
    <mergeCell ref="D753:D755"/>
    <mergeCell ref="A756:A758"/>
    <mergeCell ref="B756:B758"/>
    <mergeCell ref="D756:D758"/>
    <mergeCell ref="A759:A761"/>
    <mergeCell ref="B759:B761"/>
    <mergeCell ref="D759:D761"/>
    <mergeCell ref="A762:A764"/>
    <mergeCell ref="B762:B764"/>
    <mergeCell ref="D762:D764"/>
    <mergeCell ref="A765:A767"/>
    <mergeCell ref="B765:B767"/>
    <mergeCell ref="D765:D767"/>
    <mergeCell ref="A768:A770"/>
    <mergeCell ref="B768:B770"/>
    <mergeCell ref="D768:D770"/>
    <mergeCell ref="A771:A773"/>
    <mergeCell ref="B771:B773"/>
    <mergeCell ref="D771:D773"/>
    <mergeCell ref="A774:A776"/>
    <mergeCell ref="B774:B776"/>
    <mergeCell ref="D774:D776"/>
    <mergeCell ref="A777:A779"/>
    <mergeCell ref="B777:B779"/>
    <mergeCell ref="D777:D779"/>
    <mergeCell ref="A780:A782"/>
    <mergeCell ref="B780:B782"/>
    <mergeCell ref="D780:D782"/>
    <mergeCell ref="A783:A785"/>
    <mergeCell ref="B783:B785"/>
    <mergeCell ref="D783:D785"/>
    <mergeCell ref="A786:A788"/>
    <mergeCell ref="B786:B788"/>
    <mergeCell ref="D786:D788"/>
    <mergeCell ref="A789:A791"/>
    <mergeCell ref="B789:B791"/>
    <mergeCell ref="D789:D791"/>
    <mergeCell ref="A792:A794"/>
    <mergeCell ref="B792:B794"/>
    <mergeCell ref="D792:D794"/>
    <mergeCell ref="A795:A797"/>
    <mergeCell ref="B795:B797"/>
    <mergeCell ref="D795:D797"/>
    <mergeCell ref="A798:A800"/>
    <mergeCell ref="B798:B800"/>
    <mergeCell ref="D798:D800"/>
    <mergeCell ref="A801:A803"/>
    <mergeCell ref="B801:B803"/>
    <mergeCell ref="D801:D803"/>
    <mergeCell ref="A804:A806"/>
    <mergeCell ref="B804:B806"/>
    <mergeCell ref="D804:D806"/>
    <mergeCell ref="A807:A809"/>
    <mergeCell ref="B807:B809"/>
    <mergeCell ref="D807:D809"/>
    <mergeCell ref="A810:A812"/>
    <mergeCell ref="B810:B812"/>
    <mergeCell ref="D810:D812"/>
    <mergeCell ref="A813:A815"/>
    <mergeCell ref="B813:B815"/>
    <mergeCell ref="D813:D815"/>
    <mergeCell ref="A816:A818"/>
    <mergeCell ref="B816:B818"/>
    <mergeCell ref="D816:D818"/>
    <mergeCell ref="A819:A821"/>
    <mergeCell ref="B819:B821"/>
    <mergeCell ref="D819:D821"/>
    <mergeCell ref="A822:A824"/>
    <mergeCell ref="B822:B824"/>
    <mergeCell ref="D822:D824"/>
    <mergeCell ref="A825:A827"/>
    <mergeCell ref="B825:B827"/>
    <mergeCell ref="D825:D827"/>
    <mergeCell ref="A828:A830"/>
    <mergeCell ref="B828:B830"/>
    <mergeCell ref="D828:D830"/>
    <mergeCell ref="A831:A833"/>
    <mergeCell ref="B831:B833"/>
    <mergeCell ref="D831:D833"/>
    <mergeCell ref="A834:A836"/>
    <mergeCell ref="B834:B836"/>
    <mergeCell ref="D834:D836"/>
    <mergeCell ref="A837:A839"/>
    <mergeCell ref="B837:B839"/>
    <mergeCell ref="D837:D839"/>
    <mergeCell ref="A840:A842"/>
    <mergeCell ref="B840:B842"/>
    <mergeCell ref="D840:D842"/>
    <mergeCell ref="A843:A845"/>
    <mergeCell ref="B843:B845"/>
    <mergeCell ref="D843:D845"/>
    <mergeCell ref="A846:A848"/>
    <mergeCell ref="B846:B848"/>
    <mergeCell ref="D846:D848"/>
    <mergeCell ref="A849:A851"/>
    <mergeCell ref="B849:B851"/>
    <mergeCell ref="D849:D851"/>
    <mergeCell ref="A852:A854"/>
    <mergeCell ref="B852:B854"/>
    <mergeCell ref="D852:D854"/>
    <mergeCell ref="A855:A857"/>
    <mergeCell ref="B855:B857"/>
    <mergeCell ref="D855:D857"/>
    <mergeCell ref="A858:A860"/>
    <mergeCell ref="B858:B860"/>
    <mergeCell ref="D858:D860"/>
    <mergeCell ref="A861:A863"/>
    <mergeCell ref="B861:B863"/>
    <mergeCell ref="D861:D863"/>
    <mergeCell ref="A864:A866"/>
    <mergeCell ref="B864:B866"/>
    <mergeCell ref="D864:D866"/>
    <mergeCell ref="A867:A869"/>
    <mergeCell ref="B867:B869"/>
    <mergeCell ref="D867:D869"/>
    <mergeCell ref="A870:A872"/>
    <mergeCell ref="B870:B872"/>
    <mergeCell ref="D870:D872"/>
    <mergeCell ref="A873:A875"/>
    <mergeCell ref="B873:B875"/>
    <mergeCell ref="D873:D875"/>
    <mergeCell ref="A876:A878"/>
    <mergeCell ref="B876:B878"/>
    <mergeCell ref="D876:D878"/>
    <mergeCell ref="A879:A881"/>
    <mergeCell ref="B879:B881"/>
    <mergeCell ref="D879:D881"/>
    <mergeCell ref="A882:A884"/>
    <mergeCell ref="B882:B884"/>
    <mergeCell ref="D882:D884"/>
    <mergeCell ref="A885:A887"/>
    <mergeCell ref="B885:B887"/>
    <mergeCell ref="D885:D887"/>
    <mergeCell ref="A888:A890"/>
    <mergeCell ref="B888:B890"/>
    <mergeCell ref="D888:D890"/>
    <mergeCell ref="A891:A893"/>
    <mergeCell ref="B891:B893"/>
    <mergeCell ref="D891:D893"/>
    <mergeCell ref="A894:A896"/>
    <mergeCell ref="B894:B896"/>
    <mergeCell ref="D894:D896"/>
    <mergeCell ref="A897:A899"/>
    <mergeCell ref="B897:B899"/>
    <mergeCell ref="D897:D899"/>
    <mergeCell ref="A900:A902"/>
    <mergeCell ref="B900:B902"/>
    <mergeCell ref="D900:D902"/>
    <mergeCell ref="A903:A905"/>
    <mergeCell ref="B903:B905"/>
    <mergeCell ref="D903:D905"/>
    <mergeCell ref="A906:A908"/>
    <mergeCell ref="B906:B908"/>
    <mergeCell ref="D906:D908"/>
    <mergeCell ref="A909:A911"/>
    <mergeCell ref="B909:B911"/>
    <mergeCell ref="D909:D911"/>
    <mergeCell ref="A912:A914"/>
    <mergeCell ref="B912:B914"/>
    <mergeCell ref="D912:D914"/>
    <mergeCell ref="A915:A917"/>
    <mergeCell ref="B915:B917"/>
    <mergeCell ref="D915:D917"/>
    <mergeCell ref="A918:A920"/>
    <mergeCell ref="B918:B920"/>
    <mergeCell ref="D918:D920"/>
    <mergeCell ref="A921:A923"/>
    <mergeCell ref="B921:B923"/>
    <mergeCell ref="D921:D923"/>
    <mergeCell ref="A924:A926"/>
    <mergeCell ref="B924:B926"/>
    <mergeCell ref="D924:D926"/>
    <mergeCell ref="A927:A929"/>
    <mergeCell ref="B927:B929"/>
    <mergeCell ref="D927:D929"/>
    <mergeCell ref="A930:A932"/>
    <mergeCell ref="B930:B932"/>
    <mergeCell ref="D930:D932"/>
    <mergeCell ref="A933:A935"/>
    <mergeCell ref="B933:B935"/>
    <mergeCell ref="D933:D935"/>
    <mergeCell ref="A936:A938"/>
    <mergeCell ref="B936:B938"/>
    <mergeCell ref="D936:D938"/>
    <mergeCell ref="A939:A941"/>
    <mergeCell ref="B939:B941"/>
    <mergeCell ref="D939:D941"/>
    <mergeCell ref="A942:A944"/>
    <mergeCell ref="B942:B944"/>
    <mergeCell ref="D942:D944"/>
    <mergeCell ref="A945:A947"/>
    <mergeCell ref="B945:B947"/>
    <mergeCell ref="D945:D947"/>
    <mergeCell ref="A948:A950"/>
    <mergeCell ref="B948:B950"/>
    <mergeCell ref="D948:D950"/>
    <mergeCell ref="A951:A953"/>
    <mergeCell ref="B951:B953"/>
    <mergeCell ref="D951:D953"/>
    <mergeCell ref="A954:A956"/>
    <mergeCell ref="B954:B956"/>
    <mergeCell ref="D954:D956"/>
    <mergeCell ref="A957:A959"/>
    <mergeCell ref="B957:B959"/>
    <mergeCell ref="D957:D959"/>
    <mergeCell ref="A960:A962"/>
    <mergeCell ref="B960:B962"/>
    <mergeCell ref="D960:D962"/>
    <mergeCell ref="A963:A965"/>
    <mergeCell ref="B963:B965"/>
    <mergeCell ref="D963:D965"/>
    <mergeCell ref="A966:A968"/>
    <mergeCell ref="B966:B968"/>
    <mergeCell ref="D966:D968"/>
    <mergeCell ref="A969:A971"/>
    <mergeCell ref="B969:B971"/>
    <mergeCell ref="D969:D971"/>
    <mergeCell ref="A972:A974"/>
    <mergeCell ref="B972:B974"/>
    <mergeCell ref="D972:D974"/>
    <mergeCell ref="A975:A977"/>
    <mergeCell ref="B975:B977"/>
    <mergeCell ref="D975:D977"/>
    <mergeCell ref="A978:A980"/>
    <mergeCell ref="B978:B980"/>
    <mergeCell ref="D978:D980"/>
    <mergeCell ref="A981:A983"/>
    <mergeCell ref="B981:B983"/>
    <mergeCell ref="D981:D983"/>
    <mergeCell ref="A984:A986"/>
    <mergeCell ref="B984:B986"/>
    <mergeCell ref="D984:D986"/>
    <mergeCell ref="A987:A989"/>
    <mergeCell ref="B987:B989"/>
    <mergeCell ref="D987:D989"/>
    <mergeCell ref="A990:A992"/>
    <mergeCell ref="B990:B992"/>
    <mergeCell ref="D990:D992"/>
    <mergeCell ref="A993:A995"/>
    <mergeCell ref="B993:B995"/>
    <mergeCell ref="D993:D995"/>
    <mergeCell ref="A996:A998"/>
    <mergeCell ref="B996:B998"/>
    <mergeCell ref="D996:D998"/>
    <mergeCell ref="A999:A1001"/>
    <mergeCell ref="B999:B1001"/>
    <mergeCell ref="D999:D1001"/>
    <mergeCell ref="A1002:A1004"/>
    <mergeCell ref="B1002:B1004"/>
    <mergeCell ref="D1002:D1004"/>
    <mergeCell ref="A1005:A1007"/>
    <mergeCell ref="B1005:B1007"/>
    <mergeCell ref="D1005:D1007"/>
    <mergeCell ref="A1008:A1010"/>
    <mergeCell ref="B1008:B1010"/>
    <mergeCell ref="D1008:D1010"/>
    <mergeCell ref="A1011:A1013"/>
    <mergeCell ref="B1011:B1013"/>
    <mergeCell ref="D1011:D1013"/>
    <mergeCell ref="A1014:A1016"/>
    <mergeCell ref="B1014:B1016"/>
    <mergeCell ref="D1014:D1016"/>
    <mergeCell ref="A1017:A1019"/>
    <mergeCell ref="B1017:B1019"/>
    <mergeCell ref="D1017:D1019"/>
    <mergeCell ref="A1020:A1022"/>
    <mergeCell ref="B1020:B1022"/>
    <mergeCell ref="D1020:D1022"/>
    <mergeCell ref="A1023:A1025"/>
    <mergeCell ref="B1023:B1025"/>
    <mergeCell ref="D1023:D1025"/>
    <mergeCell ref="A1026:A1028"/>
    <mergeCell ref="B1026:B1028"/>
    <mergeCell ref="D1026:D1028"/>
    <mergeCell ref="A1029:A1031"/>
    <mergeCell ref="B1029:B1031"/>
    <mergeCell ref="D1029:D1031"/>
    <mergeCell ref="A1032:A1034"/>
    <mergeCell ref="B1032:B1034"/>
    <mergeCell ref="D1032:D1034"/>
    <mergeCell ref="A1035:A1037"/>
    <mergeCell ref="B1035:B1037"/>
    <mergeCell ref="D1035:D1037"/>
    <mergeCell ref="A1038:A1040"/>
    <mergeCell ref="B1038:B1040"/>
    <mergeCell ref="D1038:D1040"/>
    <mergeCell ref="A1041:A1043"/>
    <mergeCell ref="B1041:B1043"/>
    <mergeCell ref="D1041:D1043"/>
    <mergeCell ref="A1044:A1046"/>
    <mergeCell ref="B1044:B1046"/>
    <mergeCell ref="D1044:D1046"/>
    <mergeCell ref="A1047:A1049"/>
    <mergeCell ref="B1047:B1049"/>
    <mergeCell ref="D1047:D1049"/>
    <mergeCell ref="A1050:A1052"/>
    <mergeCell ref="B1050:B1052"/>
    <mergeCell ref="D1050:D1052"/>
    <mergeCell ref="A1053:A1055"/>
    <mergeCell ref="B1053:B1055"/>
    <mergeCell ref="D1053:D1055"/>
    <mergeCell ref="A1056:A1058"/>
    <mergeCell ref="B1056:B1058"/>
    <mergeCell ref="D1056:D1058"/>
    <mergeCell ref="A1059:A1061"/>
    <mergeCell ref="B1059:B1061"/>
    <mergeCell ref="D1059:D1061"/>
    <mergeCell ref="A1062:A1064"/>
    <mergeCell ref="B1062:B1064"/>
    <mergeCell ref="D1062:D1064"/>
    <mergeCell ref="A1065:A1067"/>
    <mergeCell ref="B1065:B1067"/>
    <mergeCell ref="D1065:D1067"/>
    <mergeCell ref="A1068:A1070"/>
    <mergeCell ref="B1068:B1070"/>
    <mergeCell ref="D1068:D1070"/>
    <mergeCell ref="A1071:A1073"/>
    <mergeCell ref="B1071:B1073"/>
    <mergeCell ref="D1071:D1073"/>
    <mergeCell ref="A1074:A1076"/>
    <mergeCell ref="B1074:B1076"/>
    <mergeCell ref="D1074:D1076"/>
    <mergeCell ref="A1077:A1079"/>
    <mergeCell ref="B1077:B1079"/>
    <mergeCell ref="D1077:D1079"/>
    <mergeCell ref="A1080:A1082"/>
    <mergeCell ref="B1080:B1082"/>
    <mergeCell ref="D1080:D1082"/>
    <mergeCell ref="A1083:A1085"/>
    <mergeCell ref="B1083:B1085"/>
    <mergeCell ref="D1083:D1085"/>
    <mergeCell ref="A1086:A1088"/>
    <mergeCell ref="B1086:B1088"/>
    <mergeCell ref="D1086:D1088"/>
    <mergeCell ref="A1089:A1091"/>
    <mergeCell ref="B1089:B1091"/>
    <mergeCell ref="D1089:D1091"/>
    <mergeCell ref="A1092:A1094"/>
    <mergeCell ref="B1092:B1094"/>
    <mergeCell ref="D1092:D1094"/>
    <mergeCell ref="A1095:A1097"/>
    <mergeCell ref="B1095:B1097"/>
    <mergeCell ref="D1095:D1097"/>
    <mergeCell ref="A1098:A1100"/>
    <mergeCell ref="B1098:B1100"/>
    <mergeCell ref="D1098:D1100"/>
    <mergeCell ref="A1101:A1103"/>
    <mergeCell ref="B1101:B1103"/>
    <mergeCell ref="D1101:D1103"/>
    <mergeCell ref="A1104:A1106"/>
    <mergeCell ref="B1104:B1106"/>
    <mergeCell ref="D1104:D1106"/>
    <mergeCell ref="A1107:A1109"/>
    <mergeCell ref="B1107:B1109"/>
    <mergeCell ref="D1107:D1109"/>
    <mergeCell ref="A1110:A1112"/>
    <mergeCell ref="B1110:B1112"/>
    <mergeCell ref="D1110:D1112"/>
    <mergeCell ref="A1113:A1115"/>
    <mergeCell ref="B1113:B1115"/>
    <mergeCell ref="D1113:D1115"/>
    <mergeCell ref="A1116:A1118"/>
    <mergeCell ref="B1116:B1118"/>
    <mergeCell ref="D1116:D1118"/>
    <mergeCell ref="A1119:A1121"/>
    <mergeCell ref="B1119:B1121"/>
    <mergeCell ref="D1119:D1121"/>
    <mergeCell ref="B1155:B1157"/>
    <mergeCell ref="D1155:D1157"/>
    <mergeCell ref="A1122:A1124"/>
    <mergeCell ref="B1122:B1124"/>
    <mergeCell ref="D1122:D1124"/>
    <mergeCell ref="A1125:A1127"/>
    <mergeCell ref="B1125:B1127"/>
    <mergeCell ref="D1125:D1127"/>
    <mergeCell ref="A1128:A1130"/>
    <mergeCell ref="B1128:B1130"/>
    <mergeCell ref="D1128:D1130"/>
    <mergeCell ref="A1131:A1133"/>
    <mergeCell ref="B1131:B1133"/>
    <mergeCell ref="D1131:D1133"/>
    <mergeCell ref="A1134:A1136"/>
    <mergeCell ref="B1134:B1136"/>
    <mergeCell ref="D1134:D1136"/>
    <mergeCell ref="A1137:A1139"/>
    <mergeCell ref="B1137:B1139"/>
    <mergeCell ref="D1137:D1139"/>
    <mergeCell ref="D1158:D1160"/>
    <mergeCell ref="A1161:A1163"/>
    <mergeCell ref="B1161:B1163"/>
    <mergeCell ref="D1161:D1163"/>
    <mergeCell ref="A1164:A1166"/>
    <mergeCell ref="B1164:B1166"/>
    <mergeCell ref="D1164:D1166"/>
    <mergeCell ref="A1167:A1169"/>
    <mergeCell ref="B1167:B1169"/>
    <mergeCell ref="D1167:D1169"/>
    <mergeCell ref="A1170:A1172"/>
    <mergeCell ref="B1170:B1172"/>
    <mergeCell ref="D1170:D1172"/>
    <mergeCell ref="A1173:A1175"/>
    <mergeCell ref="B1173:B1175"/>
    <mergeCell ref="D1173:D1175"/>
    <mergeCell ref="A1140:A1142"/>
    <mergeCell ref="B1140:B1142"/>
    <mergeCell ref="D1140:D1142"/>
    <mergeCell ref="A1143:A1145"/>
    <mergeCell ref="B1143:B1145"/>
    <mergeCell ref="D1143:D1145"/>
    <mergeCell ref="A1146:A1148"/>
    <mergeCell ref="B1146:B1148"/>
    <mergeCell ref="D1146:D1148"/>
    <mergeCell ref="A1149:A1151"/>
    <mergeCell ref="B1149:B1151"/>
    <mergeCell ref="D1149:D1151"/>
    <mergeCell ref="A1152:A1154"/>
    <mergeCell ref="B1152:B1154"/>
    <mergeCell ref="D1152:D1154"/>
    <mergeCell ref="A1155:A1157"/>
    <mergeCell ref="S1:V1"/>
    <mergeCell ref="E1:E2"/>
    <mergeCell ref="F1:F2"/>
    <mergeCell ref="A1176:A1178"/>
    <mergeCell ref="B1176:B1178"/>
    <mergeCell ref="D1176:D1178"/>
    <mergeCell ref="A1197:A1199"/>
    <mergeCell ref="B1197:B1199"/>
    <mergeCell ref="D1197:D1199"/>
    <mergeCell ref="A1200:A1202"/>
    <mergeCell ref="B1200:B1202"/>
    <mergeCell ref="D1200:D1202"/>
    <mergeCell ref="A1179:A1181"/>
    <mergeCell ref="B1179:B1181"/>
    <mergeCell ref="D1179:D1181"/>
    <mergeCell ref="A1182:A1184"/>
    <mergeCell ref="B1182:B1184"/>
    <mergeCell ref="D1182:D1184"/>
    <mergeCell ref="A1185:A1187"/>
    <mergeCell ref="B1185:B1187"/>
    <mergeCell ref="D1185:D1187"/>
    <mergeCell ref="A1188:A1190"/>
    <mergeCell ref="B1188:B1190"/>
    <mergeCell ref="D1188:D1190"/>
    <mergeCell ref="A1191:A1193"/>
    <mergeCell ref="B1191:B1193"/>
    <mergeCell ref="D1191:D1193"/>
    <mergeCell ref="A1194:A1196"/>
    <mergeCell ref="B1194:B1196"/>
    <mergeCell ref="D1194:D1196"/>
    <mergeCell ref="A1158:A1160"/>
    <mergeCell ref="B1158:B1160"/>
    <mergeCell ref="G1:G2"/>
    <mergeCell ref="H1:H2"/>
    <mergeCell ref="I1:I2"/>
    <mergeCell ref="J1:J2"/>
    <mergeCell ref="K1:K2"/>
    <mergeCell ref="L1:L2"/>
    <mergeCell ref="M1:M2"/>
    <mergeCell ref="N1:N2"/>
    <mergeCell ref="O1:O2"/>
    <mergeCell ref="P1:P2"/>
    <mergeCell ref="E753:E755"/>
    <mergeCell ref="F753:F755"/>
    <mergeCell ref="G753:G755"/>
    <mergeCell ref="H753:H755"/>
    <mergeCell ref="I753:I755"/>
    <mergeCell ref="J753:J755"/>
    <mergeCell ref="K753:K755"/>
    <mergeCell ref="L753:L755"/>
    <mergeCell ref="M753:M755"/>
    <mergeCell ref="N753:N755"/>
    <mergeCell ref="O753:O755"/>
    <mergeCell ref="P753:P755"/>
    <mergeCell ref="O3:O5"/>
    <mergeCell ref="P3:P5"/>
    <mergeCell ref="E12:E14"/>
    <mergeCell ref="F12:F14"/>
    <mergeCell ref="G12:G14"/>
    <mergeCell ref="H12:H14"/>
    <mergeCell ref="O18:O20"/>
    <mergeCell ref="P18:P20"/>
    <mergeCell ref="O24:O26"/>
    <mergeCell ref="P24:P26"/>
    <mergeCell ref="Q753:Q755"/>
    <mergeCell ref="E756:E758"/>
    <mergeCell ref="F756:F758"/>
    <mergeCell ref="G756:G758"/>
    <mergeCell ref="H756:H758"/>
    <mergeCell ref="I756:I758"/>
    <mergeCell ref="J756:J758"/>
    <mergeCell ref="K756:K758"/>
    <mergeCell ref="L756:L758"/>
    <mergeCell ref="M756:M758"/>
    <mergeCell ref="N756:N758"/>
    <mergeCell ref="O756:O758"/>
    <mergeCell ref="P756:P758"/>
    <mergeCell ref="Q756:Q758"/>
    <mergeCell ref="E759:E761"/>
    <mergeCell ref="F759:F761"/>
    <mergeCell ref="G759:G761"/>
    <mergeCell ref="H759:H761"/>
    <mergeCell ref="I759:I761"/>
    <mergeCell ref="J759:J761"/>
    <mergeCell ref="K759:K761"/>
    <mergeCell ref="L759:L761"/>
    <mergeCell ref="M759:M761"/>
    <mergeCell ref="N759:N761"/>
    <mergeCell ref="O759:O761"/>
    <mergeCell ref="P759:P761"/>
    <mergeCell ref="Q759:Q761"/>
    <mergeCell ref="E762:E764"/>
    <mergeCell ref="F762:F764"/>
    <mergeCell ref="G762:G764"/>
    <mergeCell ref="H762:H764"/>
    <mergeCell ref="I762:I764"/>
    <mergeCell ref="J762:J764"/>
    <mergeCell ref="K762:K764"/>
    <mergeCell ref="L762:L764"/>
    <mergeCell ref="M762:M764"/>
    <mergeCell ref="N762:N764"/>
    <mergeCell ref="O762:O764"/>
    <mergeCell ref="P762:P764"/>
    <mergeCell ref="Q762:Q764"/>
    <mergeCell ref="E765:E767"/>
    <mergeCell ref="F765:F767"/>
    <mergeCell ref="G765:G767"/>
    <mergeCell ref="H765:H767"/>
    <mergeCell ref="I765:I767"/>
    <mergeCell ref="J765:J767"/>
    <mergeCell ref="K765:K767"/>
    <mergeCell ref="L765:L767"/>
    <mergeCell ref="M765:M767"/>
    <mergeCell ref="N765:N767"/>
    <mergeCell ref="O765:O767"/>
    <mergeCell ref="P765:P767"/>
    <mergeCell ref="Q765:Q767"/>
    <mergeCell ref="E768:E770"/>
    <mergeCell ref="F768:F770"/>
    <mergeCell ref="G768:G770"/>
    <mergeCell ref="H768:H770"/>
    <mergeCell ref="I768:I770"/>
    <mergeCell ref="J768:J770"/>
    <mergeCell ref="K768:K770"/>
    <mergeCell ref="L768:L770"/>
    <mergeCell ref="M768:M770"/>
    <mergeCell ref="N768:N770"/>
    <mergeCell ref="O768:O770"/>
    <mergeCell ref="P768:P770"/>
    <mergeCell ref="Q768:Q770"/>
    <mergeCell ref="E771:E773"/>
    <mergeCell ref="F771:F773"/>
    <mergeCell ref="G771:G773"/>
    <mergeCell ref="H771:H773"/>
    <mergeCell ref="I771:I773"/>
    <mergeCell ref="J771:J773"/>
    <mergeCell ref="K771:K773"/>
    <mergeCell ref="L771:L773"/>
    <mergeCell ref="M771:M773"/>
    <mergeCell ref="N771:N773"/>
    <mergeCell ref="O771:O773"/>
    <mergeCell ref="P771:P773"/>
    <mergeCell ref="Q771:Q773"/>
    <mergeCell ref="E774:E776"/>
    <mergeCell ref="F774:F776"/>
    <mergeCell ref="G774:G776"/>
    <mergeCell ref="H774:H776"/>
    <mergeCell ref="I774:I776"/>
    <mergeCell ref="J774:J776"/>
    <mergeCell ref="K774:K776"/>
    <mergeCell ref="L774:L776"/>
    <mergeCell ref="M774:M776"/>
    <mergeCell ref="N774:N776"/>
    <mergeCell ref="O774:O776"/>
    <mergeCell ref="P774:P776"/>
    <mergeCell ref="Q774:Q776"/>
    <mergeCell ref="E777:E779"/>
    <mergeCell ref="F777:F779"/>
    <mergeCell ref="G777:G779"/>
    <mergeCell ref="H777:H779"/>
    <mergeCell ref="I777:I779"/>
    <mergeCell ref="J777:J779"/>
    <mergeCell ref="K777:K779"/>
    <mergeCell ref="L777:L779"/>
    <mergeCell ref="M777:M779"/>
    <mergeCell ref="N777:N779"/>
    <mergeCell ref="O777:O779"/>
    <mergeCell ref="P777:P779"/>
    <mergeCell ref="Q777:Q779"/>
    <mergeCell ref="E780:E782"/>
    <mergeCell ref="F780:F782"/>
    <mergeCell ref="G780:G782"/>
    <mergeCell ref="H780:H782"/>
    <mergeCell ref="I780:I782"/>
    <mergeCell ref="J780:J782"/>
    <mergeCell ref="K780:K782"/>
    <mergeCell ref="L780:L782"/>
    <mergeCell ref="M780:M782"/>
    <mergeCell ref="N780:N782"/>
    <mergeCell ref="O780:O782"/>
    <mergeCell ref="P780:P782"/>
    <mergeCell ref="Q780:Q782"/>
    <mergeCell ref="E783:E785"/>
    <mergeCell ref="F783:F785"/>
    <mergeCell ref="G783:G785"/>
    <mergeCell ref="H783:H785"/>
    <mergeCell ref="I783:I785"/>
    <mergeCell ref="J783:J785"/>
    <mergeCell ref="K783:K785"/>
    <mergeCell ref="L783:L785"/>
    <mergeCell ref="M783:M785"/>
    <mergeCell ref="N783:N785"/>
    <mergeCell ref="O783:O785"/>
    <mergeCell ref="P783:P785"/>
    <mergeCell ref="Q783:Q785"/>
    <mergeCell ref="E786:E788"/>
    <mergeCell ref="F786:F788"/>
    <mergeCell ref="G786:G788"/>
    <mergeCell ref="H786:H788"/>
    <mergeCell ref="I786:I788"/>
    <mergeCell ref="J786:J788"/>
    <mergeCell ref="K786:K788"/>
    <mergeCell ref="L786:L788"/>
    <mergeCell ref="M786:M788"/>
    <mergeCell ref="N786:N788"/>
    <mergeCell ref="O786:O788"/>
    <mergeCell ref="P786:P788"/>
    <mergeCell ref="Q786:Q788"/>
    <mergeCell ref="E789:E791"/>
    <mergeCell ref="F789:F791"/>
    <mergeCell ref="G789:G791"/>
    <mergeCell ref="H789:H791"/>
    <mergeCell ref="I789:I791"/>
    <mergeCell ref="J789:J791"/>
    <mergeCell ref="K789:K791"/>
    <mergeCell ref="L789:L791"/>
    <mergeCell ref="M789:M791"/>
    <mergeCell ref="N789:N791"/>
    <mergeCell ref="O789:O791"/>
    <mergeCell ref="P789:P791"/>
    <mergeCell ref="Q789:Q791"/>
    <mergeCell ref="E792:E794"/>
    <mergeCell ref="F792:F794"/>
    <mergeCell ref="G792:G794"/>
    <mergeCell ref="H792:H794"/>
    <mergeCell ref="I792:I794"/>
    <mergeCell ref="J792:J794"/>
    <mergeCell ref="K792:K794"/>
    <mergeCell ref="L792:L794"/>
    <mergeCell ref="M792:M794"/>
    <mergeCell ref="N792:N794"/>
    <mergeCell ref="O792:O794"/>
    <mergeCell ref="P792:P794"/>
    <mergeCell ref="Q792:Q794"/>
    <mergeCell ref="E795:E797"/>
    <mergeCell ref="F795:F797"/>
    <mergeCell ref="G795:G797"/>
    <mergeCell ref="H795:H797"/>
    <mergeCell ref="I795:I797"/>
    <mergeCell ref="J795:J797"/>
    <mergeCell ref="K795:K797"/>
    <mergeCell ref="L795:L797"/>
    <mergeCell ref="M795:M797"/>
    <mergeCell ref="N795:N797"/>
    <mergeCell ref="O795:O797"/>
    <mergeCell ref="P795:P797"/>
    <mergeCell ref="Q795:Q797"/>
    <mergeCell ref="E798:E800"/>
    <mergeCell ref="F798:F800"/>
    <mergeCell ref="G798:G800"/>
    <mergeCell ref="H798:H800"/>
    <mergeCell ref="I798:I800"/>
    <mergeCell ref="J798:J800"/>
    <mergeCell ref="K798:K800"/>
    <mergeCell ref="L798:L800"/>
    <mergeCell ref="M798:M800"/>
    <mergeCell ref="N798:N800"/>
    <mergeCell ref="O798:O800"/>
    <mergeCell ref="P798:P800"/>
    <mergeCell ref="Q798:Q800"/>
    <mergeCell ref="E801:E803"/>
    <mergeCell ref="F801:F803"/>
    <mergeCell ref="G801:G803"/>
    <mergeCell ref="H801:H803"/>
    <mergeCell ref="I801:I803"/>
    <mergeCell ref="J801:J803"/>
    <mergeCell ref="K801:K803"/>
    <mergeCell ref="L801:L803"/>
    <mergeCell ref="M801:M803"/>
    <mergeCell ref="N801:N803"/>
    <mergeCell ref="O801:O803"/>
    <mergeCell ref="P801:P803"/>
    <mergeCell ref="Q801:Q803"/>
    <mergeCell ref="E804:E806"/>
    <mergeCell ref="F804:F806"/>
    <mergeCell ref="G804:G806"/>
    <mergeCell ref="H804:H806"/>
    <mergeCell ref="I804:I806"/>
    <mergeCell ref="J804:J806"/>
    <mergeCell ref="K804:K806"/>
    <mergeCell ref="L804:L806"/>
    <mergeCell ref="M804:M806"/>
    <mergeCell ref="N804:N806"/>
    <mergeCell ref="O804:O806"/>
    <mergeCell ref="P804:P806"/>
    <mergeCell ref="Q804:Q806"/>
    <mergeCell ref="E807:E809"/>
    <mergeCell ref="F807:F809"/>
    <mergeCell ref="G807:G809"/>
    <mergeCell ref="H807:H809"/>
    <mergeCell ref="I807:I809"/>
    <mergeCell ref="J807:J809"/>
    <mergeCell ref="K807:K809"/>
    <mergeCell ref="L807:L809"/>
    <mergeCell ref="M807:M809"/>
    <mergeCell ref="N807:N809"/>
    <mergeCell ref="O807:O809"/>
    <mergeCell ref="P807:P809"/>
    <mergeCell ref="Q807:Q809"/>
    <mergeCell ref="E810:E812"/>
    <mergeCell ref="F810:F812"/>
    <mergeCell ref="G810:G812"/>
    <mergeCell ref="H810:H812"/>
    <mergeCell ref="I810:I812"/>
    <mergeCell ref="J810:J812"/>
    <mergeCell ref="K810:K812"/>
    <mergeCell ref="L810:L812"/>
    <mergeCell ref="M810:M812"/>
    <mergeCell ref="N810:N812"/>
    <mergeCell ref="O810:O812"/>
    <mergeCell ref="P810:P812"/>
    <mergeCell ref="Q810:Q812"/>
    <mergeCell ref="E813:E815"/>
    <mergeCell ref="F813:F815"/>
    <mergeCell ref="G813:G815"/>
    <mergeCell ref="H813:H815"/>
    <mergeCell ref="I813:I815"/>
    <mergeCell ref="J813:J815"/>
    <mergeCell ref="K813:K815"/>
    <mergeCell ref="L813:L815"/>
    <mergeCell ref="M813:M815"/>
    <mergeCell ref="N813:N815"/>
    <mergeCell ref="O813:O815"/>
    <mergeCell ref="P813:P815"/>
    <mergeCell ref="Q813:Q815"/>
    <mergeCell ref="E816:E818"/>
    <mergeCell ref="F816:F818"/>
    <mergeCell ref="G816:G818"/>
    <mergeCell ref="H816:H818"/>
    <mergeCell ref="I816:I818"/>
    <mergeCell ref="J816:J818"/>
    <mergeCell ref="K816:K818"/>
    <mergeCell ref="L816:L818"/>
    <mergeCell ref="M816:M818"/>
    <mergeCell ref="N816:N818"/>
    <mergeCell ref="O816:O818"/>
    <mergeCell ref="P816:P818"/>
    <mergeCell ref="Q816:Q818"/>
    <mergeCell ref="E819:E821"/>
    <mergeCell ref="F819:F821"/>
    <mergeCell ref="G819:G821"/>
    <mergeCell ref="H819:H821"/>
    <mergeCell ref="I819:I821"/>
    <mergeCell ref="J819:J821"/>
    <mergeCell ref="K819:K821"/>
    <mergeCell ref="L819:L821"/>
    <mergeCell ref="M819:M821"/>
    <mergeCell ref="N819:N821"/>
    <mergeCell ref="O819:O821"/>
    <mergeCell ref="P819:P821"/>
    <mergeCell ref="Q819:Q821"/>
    <mergeCell ref="E822:E824"/>
    <mergeCell ref="F822:F824"/>
    <mergeCell ref="G822:G824"/>
    <mergeCell ref="H822:H824"/>
    <mergeCell ref="I822:I824"/>
    <mergeCell ref="J822:J824"/>
    <mergeCell ref="K822:K824"/>
    <mergeCell ref="L822:L824"/>
    <mergeCell ref="M822:M824"/>
    <mergeCell ref="N822:N824"/>
    <mergeCell ref="O822:O824"/>
    <mergeCell ref="P822:P824"/>
    <mergeCell ref="Q822:Q824"/>
    <mergeCell ref="E825:E827"/>
    <mergeCell ref="F825:F827"/>
    <mergeCell ref="G825:G827"/>
    <mergeCell ref="H825:H827"/>
    <mergeCell ref="I825:I827"/>
    <mergeCell ref="J825:J827"/>
    <mergeCell ref="K825:K827"/>
    <mergeCell ref="L825:L827"/>
    <mergeCell ref="M825:M827"/>
    <mergeCell ref="N825:N827"/>
    <mergeCell ref="O825:O827"/>
    <mergeCell ref="P825:P827"/>
    <mergeCell ref="Q825:Q827"/>
    <mergeCell ref="E828:E830"/>
    <mergeCell ref="F828:F830"/>
    <mergeCell ref="G828:G830"/>
    <mergeCell ref="H828:H830"/>
    <mergeCell ref="I828:I830"/>
    <mergeCell ref="J828:J830"/>
    <mergeCell ref="K828:K830"/>
    <mergeCell ref="L828:L830"/>
    <mergeCell ref="M828:M830"/>
    <mergeCell ref="N828:N830"/>
    <mergeCell ref="O828:O830"/>
    <mergeCell ref="P828:P830"/>
    <mergeCell ref="Q828:Q830"/>
    <mergeCell ref="E831:E833"/>
    <mergeCell ref="F831:F833"/>
    <mergeCell ref="G831:G833"/>
    <mergeCell ref="H831:H833"/>
    <mergeCell ref="I831:I833"/>
    <mergeCell ref="J831:J833"/>
    <mergeCell ref="K831:K833"/>
    <mergeCell ref="L831:L833"/>
    <mergeCell ref="M831:M833"/>
    <mergeCell ref="N831:N833"/>
    <mergeCell ref="O831:O833"/>
    <mergeCell ref="P831:P833"/>
    <mergeCell ref="Q831:Q833"/>
    <mergeCell ref="E834:E836"/>
    <mergeCell ref="F834:F836"/>
    <mergeCell ref="G834:G836"/>
    <mergeCell ref="H834:H836"/>
    <mergeCell ref="I834:I836"/>
    <mergeCell ref="J834:J836"/>
    <mergeCell ref="K834:K836"/>
    <mergeCell ref="L834:L836"/>
    <mergeCell ref="M834:M836"/>
    <mergeCell ref="N834:N836"/>
    <mergeCell ref="O834:O836"/>
    <mergeCell ref="P834:P836"/>
    <mergeCell ref="Q834:Q836"/>
    <mergeCell ref="E837:E839"/>
    <mergeCell ref="F837:F839"/>
    <mergeCell ref="G837:G839"/>
    <mergeCell ref="H837:H839"/>
    <mergeCell ref="I837:I839"/>
    <mergeCell ref="J837:J839"/>
    <mergeCell ref="K837:K839"/>
    <mergeCell ref="L837:L839"/>
    <mergeCell ref="M837:M839"/>
    <mergeCell ref="N837:N839"/>
    <mergeCell ref="O837:O839"/>
    <mergeCell ref="P837:P839"/>
    <mergeCell ref="Q837:Q839"/>
    <mergeCell ref="E840:E842"/>
    <mergeCell ref="F840:F842"/>
    <mergeCell ref="G840:G842"/>
    <mergeCell ref="H840:H842"/>
    <mergeCell ref="I840:I842"/>
    <mergeCell ref="J840:J842"/>
    <mergeCell ref="K840:K842"/>
    <mergeCell ref="L840:L842"/>
    <mergeCell ref="M840:M842"/>
    <mergeCell ref="N840:N842"/>
    <mergeCell ref="O840:O842"/>
    <mergeCell ref="P840:P842"/>
    <mergeCell ref="Q840:Q842"/>
    <mergeCell ref="E843:E845"/>
    <mergeCell ref="F843:F845"/>
    <mergeCell ref="G843:G845"/>
    <mergeCell ref="H843:H845"/>
    <mergeCell ref="I843:I845"/>
    <mergeCell ref="J843:J845"/>
    <mergeCell ref="K843:K845"/>
    <mergeCell ref="L843:L845"/>
    <mergeCell ref="M843:M845"/>
    <mergeCell ref="N843:N845"/>
    <mergeCell ref="O843:O845"/>
    <mergeCell ref="P843:P845"/>
    <mergeCell ref="Q843:Q845"/>
    <mergeCell ref="E846:E848"/>
    <mergeCell ref="F846:F848"/>
    <mergeCell ref="G846:G848"/>
    <mergeCell ref="H846:H848"/>
    <mergeCell ref="I846:I848"/>
    <mergeCell ref="J846:J848"/>
    <mergeCell ref="K846:K848"/>
    <mergeCell ref="L846:L848"/>
    <mergeCell ref="M846:M848"/>
    <mergeCell ref="N846:N848"/>
    <mergeCell ref="O846:O848"/>
    <mergeCell ref="P846:P848"/>
    <mergeCell ref="Q846:Q848"/>
    <mergeCell ref="E849:E851"/>
    <mergeCell ref="F849:F851"/>
    <mergeCell ref="G849:G851"/>
    <mergeCell ref="H849:H851"/>
    <mergeCell ref="I849:I851"/>
    <mergeCell ref="J849:J851"/>
    <mergeCell ref="K849:K851"/>
    <mergeCell ref="L849:L851"/>
    <mergeCell ref="M849:M851"/>
    <mergeCell ref="N849:N851"/>
    <mergeCell ref="O849:O851"/>
    <mergeCell ref="P849:P851"/>
    <mergeCell ref="Q849:Q851"/>
    <mergeCell ref="E852:E854"/>
    <mergeCell ref="F852:F854"/>
    <mergeCell ref="G852:G854"/>
    <mergeCell ref="H852:H854"/>
    <mergeCell ref="I852:I854"/>
    <mergeCell ref="J852:J854"/>
    <mergeCell ref="K852:K854"/>
    <mergeCell ref="L852:L854"/>
    <mergeCell ref="M852:M854"/>
    <mergeCell ref="N852:N854"/>
    <mergeCell ref="O852:O854"/>
    <mergeCell ref="P852:P854"/>
    <mergeCell ref="Q852:Q854"/>
    <mergeCell ref="E855:E857"/>
    <mergeCell ref="F855:F857"/>
    <mergeCell ref="G855:G857"/>
    <mergeCell ref="H855:H857"/>
    <mergeCell ref="I855:I857"/>
    <mergeCell ref="J855:J857"/>
    <mergeCell ref="K855:K857"/>
    <mergeCell ref="L855:L857"/>
    <mergeCell ref="M855:M857"/>
    <mergeCell ref="N855:N857"/>
    <mergeCell ref="O855:O857"/>
    <mergeCell ref="P855:P857"/>
    <mergeCell ref="Q855:Q857"/>
    <mergeCell ref="E858:E860"/>
    <mergeCell ref="F858:F860"/>
    <mergeCell ref="G858:G860"/>
    <mergeCell ref="H858:H860"/>
    <mergeCell ref="I858:I860"/>
    <mergeCell ref="J858:J860"/>
    <mergeCell ref="K858:K860"/>
    <mergeCell ref="L858:L860"/>
    <mergeCell ref="M858:M860"/>
    <mergeCell ref="N858:N860"/>
    <mergeCell ref="O858:O860"/>
    <mergeCell ref="P858:P860"/>
    <mergeCell ref="Q858:Q860"/>
    <mergeCell ref="E861:E863"/>
    <mergeCell ref="F861:F863"/>
    <mergeCell ref="G861:G863"/>
    <mergeCell ref="H861:H863"/>
    <mergeCell ref="I861:I863"/>
    <mergeCell ref="J861:J863"/>
    <mergeCell ref="K861:K863"/>
    <mergeCell ref="L861:L863"/>
    <mergeCell ref="M861:M863"/>
    <mergeCell ref="N861:N863"/>
    <mergeCell ref="O861:O863"/>
    <mergeCell ref="P861:P863"/>
    <mergeCell ref="Q861:Q863"/>
    <mergeCell ref="E864:E866"/>
    <mergeCell ref="F864:F866"/>
    <mergeCell ref="G864:G866"/>
    <mergeCell ref="H864:H866"/>
    <mergeCell ref="I864:I866"/>
    <mergeCell ref="J864:J866"/>
    <mergeCell ref="K864:K866"/>
    <mergeCell ref="L864:L866"/>
    <mergeCell ref="M864:M866"/>
    <mergeCell ref="N864:N866"/>
    <mergeCell ref="O864:O866"/>
    <mergeCell ref="P864:P866"/>
    <mergeCell ref="Q864:Q866"/>
    <mergeCell ref="E867:E869"/>
    <mergeCell ref="F867:F869"/>
    <mergeCell ref="G867:G869"/>
    <mergeCell ref="H867:H869"/>
    <mergeCell ref="I867:I869"/>
    <mergeCell ref="J867:J869"/>
    <mergeCell ref="K867:K869"/>
    <mergeCell ref="L867:L869"/>
    <mergeCell ref="M867:M869"/>
    <mergeCell ref="N867:N869"/>
    <mergeCell ref="O867:O869"/>
    <mergeCell ref="P867:P869"/>
    <mergeCell ref="Q867:Q869"/>
    <mergeCell ref="E870:E872"/>
    <mergeCell ref="F870:F872"/>
    <mergeCell ref="G870:G872"/>
    <mergeCell ref="H870:H872"/>
    <mergeCell ref="I870:I872"/>
    <mergeCell ref="J870:J872"/>
    <mergeCell ref="K870:K872"/>
    <mergeCell ref="L870:L872"/>
    <mergeCell ref="M870:M872"/>
    <mergeCell ref="N870:N872"/>
    <mergeCell ref="O870:O872"/>
    <mergeCell ref="P870:P872"/>
    <mergeCell ref="Q870:Q872"/>
    <mergeCell ref="E873:E875"/>
    <mergeCell ref="F873:F875"/>
    <mergeCell ref="G873:G875"/>
    <mergeCell ref="H873:H875"/>
    <mergeCell ref="I873:I875"/>
    <mergeCell ref="J873:J875"/>
    <mergeCell ref="K873:K875"/>
    <mergeCell ref="L873:L875"/>
    <mergeCell ref="M873:M875"/>
    <mergeCell ref="N873:N875"/>
    <mergeCell ref="O873:O875"/>
    <mergeCell ref="P873:P875"/>
    <mergeCell ref="Q873:Q875"/>
    <mergeCell ref="E876:E878"/>
    <mergeCell ref="F876:F878"/>
    <mergeCell ref="G876:G878"/>
    <mergeCell ref="H876:H878"/>
    <mergeCell ref="I876:I878"/>
    <mergeCell ref="J876:J878"/>
    <mergeCell ref="K876:K878"/>
    <mergeCell ref="L876:L878"/>
    <mergeCell ref="M876:M878"/>
    <mergeCell ref="N876:N878"/>
    <mergeCell ref="O876:O878"/>
    <mergeCell ref="P876:P878"/>
    <mergeCell ref="Q876:Q878"/>
    <mergeCell ref="E879:E881"/>
    <mergeCell ref="F879:F881"/>
    <mergeCell ref="G879:G881"/>
    <mergeCell ref="H879:H881"/>
    <mergeCell ref="I879:I881"/>
    <mergeCell ref="J879:J881"/>
    <mergeCell ref="K879:K881"/>
    <mergeCell ref="L879:L881"/>
    <mergeCell ref="M879:M881"/>
    <mergeCell ref="N879:N881"/>
    <mergeCell ref="O879:O881"/>
    <mergeCell ref="P879:P881"/>
    <mergeCell ref="Q879:Q881"/>
    <mergeCell ref="E882:E884"/>
    <mergeCell ref="F882:F884"/>
    <mergeCell ref="G882:G884"/>
    <mergeCell ref="H882:H884"/>
    <mergeCell ref="I882:I884"/>
    <mergeCell ref="J882:J884"/>
    <mergeCell ref="K882:K884"/>
    <mergeCell ref="L882:L884"/>
    <mergeCell ref="M882:M884"/>
    <mergeCell ref="N882:N884"/>
    <mergeCell ref="O882:O884"/>
    <mergeCell ref="P882:P884"/>
    <mergeCell ref="Q882:Q884"/>
    <mergeCell ref="E885:E887"/>
    <mergeCell ref="F885:F887"/>
    <mergeCell ref="G885:G887"/>
    <mergeCell ref="H885:H887"/>
    <mergeCell ref="I885:I887"/>
    <mergeCell ref="J885:J887"/>
    <mergeCell ref="K885:K887"/>
    <mergeCell ref="L885:L887"/>
    <mergeCell ref="M885:M887"/>
    <mergeCell ref="N885:N887"/>
    <mergeCell ref="O885:O887"/>
    <mergeCell ref="P885:P887"/>
    <mergeCell ref="Q885:Q887"/>
    <mergeCell ref="E888:E890"/>
    <mergeCell ref="F888:F890"/>
    <mergeCell ref="G888:G890"/>
    <mergeCell ref="H888:H890"/>
    <mergeCell ref="I888:I890"/>
    <mergeCell ref="J888:J890"/>
    <mergeCell ref="K888:K890"/>
    <mergeCell ref="L888:L890"/>
    <mergeCell ref="M888:M890"/>
    <mergeCell ref="N888:N890"/>
    <mergeCell ref="O888:O890"/>
    <mergeCell ref="P888:P890"/>
    <mergeCell ref="Q888:Q890"/>
    <mergeCell ref="E891:E893"/>
    <mergeCell ref="F891:F893"/>
    <mergeCell ref="G891:G893"/>
    <mergeCell ref="H891:H893"/>
    <mergeCell ref="I891:I893"/>
    <mergeCell ref="J891:J893"/>
    <mergeCell ref="K891:K893"/>
    <mergeCell ref="L891:L893"/>
    <mergeCell ref="M891:M893"/>
    <mergeCell ref="N891:N893"/>
    <mergeCell ref="O891:O893"/>
    <mergeCell ref="P891:P893"/>
    <mergeCell ref="Q891:Q893"/>
    <mergeCell ref="E894:E896"/>
    <mergeCell ref="F894:F896"/>
    <mergeCell ref="G894:G896"/>
    <mergeCell ref="H894:H896"/>
    <mergeCell ref="I894:I896"/>
    <mergeCell ref="J894:J896"/>
    <mergeCell ref="K894:K896"/>
    <mergeCell ref="L894:L896"/>
    <mergeCell ref="M894:M896"/>
    <mergeCell ref="N894:N896"/>
    <mergeCell ref="O894:O896"/>
    <mergeCell ref="P894:P896"/>
    <mergeCell ref="Q894:Q896"/>
    <mergeCell ref="E897:E899"/>
    <mergeCell ref="F897:F899"/>
    <mergeCell ref="G897:G899"/>
    <mergeCell ref="H897:H899"/>
    <mergeCell ref="I897:I899"/>
    <mergeCell ref="J897:J899"/>
    <mergeCell ref="K897:K899"/>
    <mergeCell ref="L897:L899"/>
    <mergeCell ref="M897:M899"/>
    <mergeCell ref="N897:N899"/>
    <mergeCell ref="O897:O899"/>
    <mergeCell ref="P897:P899"/>
    <mergeCell ref="Q897:Q899"/>
    <mergeCell ref="E900:E902"/>
    <mergeCell ref="F900:F902"/>
    <mergeCell ref="G900:G902"/>
    <mergeCell ref="H900:H902"/>
    <mergeCell ref="I900:I902"/>
    <mergeCell ref="J900:J902"/>
    <mergeCell ref="K900:K902"/>
    <mergeCell ref="L900:L902"/>
    <mergeCell ref="M900:M902"/>
    <mergeCell ref="N900:N902"/>
    <mergeCell ref="O900:O902"/>
    <mergeCell ref="P900:P902"/>
    <mergeCell ref="Q900:Q902"/>
    <mergeCell ref="E903:E905"/>
    <mergeCell ref="F903:F905"/>
    <mergeCell ref="G903:G905"/>
    <mergeCell ref="H903:H905"/>
    <mergeCell ref="I903:I905"/>
    <mergeCell ref="J903:J905"/>
    <mergeCell ref="K903:K905"/>
    <mergeCell ref="L903:L905"/>
    <mergeCell ref="M903:M905"/>
    <mergeCell ref="N903:N905"/>
    <mergeCell ref="O903:O905"/>
    <mergeCell ref="P903:P905"/>
    <mergeCell ref="Q903:Q905"/>
    <mergeCell ref="E906:E908"/>
    <mergeCell ref="F906:F908"/>
    <mergeCell ref="G906:G908"/>
    <mergeCell ref="H906:H908"/>
    <mergeCell ref="I906:I908"/>
    <mergeCell ref="J906:J908"/>
    <mergeCell ref="K906:K908"/>
    <mergeCell ref="L906:L908"/>
    <mergeCell ref="M906:M908"/>
    <mergeCell ref="N906:N908"/>
    <mergeCell ref="O906:O908"/>
    <mergeCell ref="P906:P908"/>
    <mergeCell ref="Q906:Q908"/>
    <mergeCell ref="E909:E911"/>
    <mergeCell ref="F909:F911"/>
    <mergeCell ref="G909:G911"/>
    <mergeCell ref="H909:H911"/>
    <mergeCell ref="I909:I911"/>
    <mergeCell ref="J909:J911"/>
    <mergeCell ref="K909:K911"/>
    <mergeCell ref="L909:L911"/>
    <mergeCell ref="M909:M911"/>
    <mergeCell ref="N909:N911"/>
    <mergeCell ref="O909:O911"/>
    <mergeCell ref="P909:P911"/>
    <mergeCell ref="Q909:Q911"/>
    <mergeCell ref="E912:E914"/>
    <mergeCell ref="F912:F914"/>
    <mergeCell ref="G912:G914"/>
    <mergeCell ref="H912:H914"/>
    <mergeCell ref="I912:I914"/>
    <mergeCell ref="J912:J914"/>
    <mergeCell ref="K912:K914"/>
    <mergeCell ref="L912:L914"/>
    <mergeCell ref="M912:M914"/>
    <mergeCell ref="N912:N914"/>
    <mergeCell ref="O912:O914"/>
    <mergeCell ref="P912:P914"/>
    <mergeCell ref="Q912:Q914"/>
    <mergeCell ref="E915:E917"/>
    <mergeCell ref="F915:F917"/>
    <mergeCell ref="G915:G917"/>
    <mergeCell ref="H915:H917"/>
    <mergeCell ref="I915:I917"/>
    <mergeCell ref="J915:J917"/>
    <mergeCell ref="K915:K917"/>
    <mergeCell ref="L915:L917"/>
    <mergeCell ref="M915:M917"/>
    <mergeCell ref="N915:N917"/>
    <mergeCell ref="O915:O917"/>
    <mergeCell ref="P915:P917"/>
    <mergeCell ref="Q915:Q917"/>
    <mergeCell ref="E918:E920"/>
    <mergeCell ref="F918:F920"/>
    <mergeCell ref="G918:G920"/>
    <mergeCell ref="H918:H920"/>
    <mergeCell ref="I918:I920"/>
    <mergeCell ref="J918:J920"/>
    <mergeCell ref="K918:K920"/>
    <mergeCell ref="L918:L920"/>
    <mergeCell ref="M918:M920"/>
    <mergeCell ref="N918:N920"/>
    <mergeCell ref="O918:O920"/>
    <mergeCell ref="P918:P920"/>
    <mergeCell ref="Q918:Q920"/>
    <mergeCell ref="E921:E923"/>
    <mergeCell ref="F921:F923"/>
    <mergeCell ref="G921:G923"/>
    <mergeCell ref="H921:H923"/>
    <mergeCell ref="I921:I923"/>
    <mergeCell ref="J921:J923"/>
    <mergeCell ref="K921:K923"/>
    <mergeCell ref="L921:L923"/>
    <mergeCell ref="M921:M923"/>
    <mergeCell ref="N921:N923"/>
    <mergeCell ref="O921:O923"/>
    <mergeCell ref="P921:P923"/>
    <mergeCell ref="Q921:Q923"/>
    <mergeCell ref="E924:E926"/>
    <mergeCell ref="F924:F926"/>
    <mergeCell ref="G924:G926"/>
    <mergeCell ref="H924:H926"/>
    <mergeCell ref="I924:I926"/>
    <mergeCell ref="J924:J926"/>
    <mergeCell ref="K924:K926"/>
    <mergeCell ref="L924:L926"/>
    <mergeCell ref="M924:M926"/>
    <mergeCell ref="N924:N926"/>
    <mergeCell ref="O924:O926"/>
    <mergeCell ref="P924:P926"/>
    <mergeCell ref="Q924:Q926"/>
    <mergeCell ref="E927:E929"/>
    <mergeCell ref="F927:F929"/>
    <mergeCell ref="G927:G929"/>
    <mergeCell ref="H927:H929"/>
    <mergeCell ref="I927:I929"/>
    <mergeCell ref="J927:J929"/>
    <mergeCell ref="K927:K929"/>
    <mergeCell ref="L927:L929"/>
    <mergeCell ref="M927:M929"/>
    <mergeCell ref="N927:N929"/>
    <mergeCell ref="O927:O929"/>
    <mergeCell ref="P927:P929"/>
    <mergeCell ref="Q927:Q929"/>
    <mergeCell ref="E930:E932"/>
    <mergeCell ref="F930:F932"/>
    <mergeCell ref="G930:G932"/>
    <mergeCell ref="H930:H932"/>
    <mergeCell ref="I930:I932"/>
    <mergeCell ref="J930:J932"/>
    <mergeCell ref="K930:K932"/>
    <mergeCell ref="L930:L932"/>
    <mergeCell ref="M930:M932"/>
    <mergeCell ref="N930:N932"/>
    <mergeCell ref="O930:O932"/>
    <mergeCell ref="P930:P932"/>
    <mergeCell ref="Q930:Q932"/>
    <mergeCell ref="E933:E935"/>
    <mergeCell ref="F933:F935"/>
    <mergeCell ref="G933:G935"/>
    <mergeCell ref="H933:H935"/>
    <mergeCell ref="I933:I935"/>
    <mergeCell ref="J933:J935"/>
    <mergeCell ref="K933:K935"/>
    <mergeCell ref="L933:L935"/>
    <mergeCell ref="M933:M935"/>
    <mergeCell ref="N933:N935"/>
    <mergeCell ref="O933:O935"/>
    <mergeCell ref="P933:P935"/>
    <mergeCell ref="Q933:Q935"/>
    <mergeCell ref="E936:E938"/>
    <mergeCell ref="F936:F938"/>
    <mergeCell ref="G936:G938"/>
    <mergeCell ref="H936:H938"/>
    <mergeCell ref="I936:I938"/>
    <mergeCell ref="J936:J938"/>
    <mergeCell ref="K936:K938"/>
    <mergeCell ref="L936:L938"/>
    <mergeCell ref="M936:M938"/>
    <mergeCell ref="N936:N938"/>
    <mergeCell ref="O936:O938"/>
    <mergeCell ref="P936:P938"/>
    <mergeCell ref="Q936:Q938"/>
    <mergeCell ref="E939:E941"/>
    <mergeCell ref="F939:F941"/>
    <mergeCell ref="G939:G941"/>
    <mergeCell ref="H939:H941"/>
    <mergeCell ref="I939:I941"/>
    <mergeCell ref="J939:J941"/>
    <mergeCell ref="K939:K941"/>
    <mergeCell ref="L939:L941"/>
    <mergeCell ref="M939:M941"/>
    <mergeCell ref="N939:N941"/>
    <mergeCell ref="O939:O941"/>
    <mergeCell ref="P939:P941"/>
    <mergeCell ref="Q939:Q941"/>
    <mergeCell ref="E942:E944"/>
    <mergeCell ref="F942:F944"/>
    <mergeCell ref="G942:G944"/>
    <mergeCell ref="H942:H944"/>
    <mergeCell ref="I942:I944"/>
    <mergeCell ref="J942:J944"/>
    <mergeCell ref="K942:K944"/>
    <mergeCell ref="L942:L944"/>
    <mergeCell ref="M942:M944"/>
    <mergeCell ref="N942:N944"/>
    <mergeCell ref="O942:O944"/>
    <mergeCell ref="P942:P944"/>
    <mergeCell ref="Q942:Q944"/>
    <mergeCell ref="E945:E947"/>
    <mergeCell ref="F945:F947"/>
    <mergeCell ref="G945:G947"/>
    <mergeCell ref="H945:H947"/>
    <mergeCell ref="I945:I947"/>
    <mergeCell ref="J945:J947"/>
    <mergeCell ref="K945:K947"/>
    <mergeCell ref="L945:L947"/>
    <mergeCell ref="M945:M947"/>
    <mergeCell ref="N945:N947"/>
    <mergeCell ref="O945:O947"/>
    <mergeCell ref="P945:P947"/>
    <mergeCell ref="Q945:Q947"/>
    <mergeCell ref="E948:E950"/>
    <mergeCell ref="F948:F950"/>
    <mergeCell ref="G948:G950"/>
    <mergeCell ref="H948:H950"/>
    <mergeCell ref="I948:I950"/>
    <mergeCell ref="J948:J950"/>
    <mergeCell ref="K948:K950"/>
    <mergeCell ref="L948:L950"/>
    <mergeCell ref="M948:M950"/>
    <mergeCell ref="N948:N950"/>
    <mergeCell ref="O948:O950"/>
    <mergeCell ref="P948:P950"/>
    <mergeCell ref="Q948:Q950"/>
    <mergeCell ref="E951:E953"/>
    <mergeCell ref="F951:F953"/>
    <mergeCell ref="G951:G953"/>
    <mergeCell ref="H951:H953"/>
    <mergeCell ref="I951:I953"/>
    <mergeCell ref="J951:J953"/>
    <mergeCell ref="K951:K953"/>
    <mergeCell ref="L951:L953"/>
    <mergeCell ref="M951:M953"/>
    <mergeCell ref="N951:N953"/>
    <mergeCell ref="O951:O953"/>
    <mergeCell ref="P951:P953"/>
    <mergeCell ref="Q951:Q953"/>
    <mergeCell ref="E954:E956"/>
    <mergeCell ref="F954:F956"/>
    <mergeCell ref="G954:G956"/>
    <mergeCell ref="H954:H956"/>
    <mergeCell ref="I954:I956"/>
    <mergeCell ref="J954:J956"/>
    <mergeCell ref="K954:K956"/>
    <mergeCell ref="L954:L956"/>
    <mergeCell ref="M954:M956"/>
    <mergeCell ref="N954:N956"/>
    <mergeCell ref="O954:O956"/>
    <mergeCell ref="P954:P956"/>
    <mergeCell ref="Q954:Q956"/>
    <mergeCell ref="E957:E959"/>
    <mergeCell ref="F957:F959"/>
    <mergeCell ref="G957:G959"/>
    <mergeCell ref="H957:H959"/>
    <mergeCell ref="I957:I959"/>
    <mergeCell ref="J957:J959"/>
    <mergeCell ref="K957:K959"/>
    <mergeCell ref="L957:L959"/>
    <mergeCell ref="M957:M959"/>
    <mergeCell ref="N957:N959"/>
    <mergeCell ref="O957:O959"/>
    <mergeCell ref="P957:P959"/>
    <mergeCell ref="Q957:Q959"/>
    <mergeCell ref="E960:E962"/>
    <mergeCell ref="F960:F962"/>
    <mergeCell ref="G960:G962"/>
    <mergeCell ref="H960:H962"/>
    <mergeCell ref="I960:I962"/>
    <mergeCell ref="J960:J962"/>
    <mergeCell ref="K960:K962"/>
    <mergeCell ref="L960:L962"/>
    <mergeCell ref="M960:M962"/>
    <mergeCell ref="N960:N962"/>
    <mergeCell ref="O960:O962"/>
    <mergeCell ref="P960:P962"/>
    <mergeCell ref="Q960:Q962"/>
    <mergeCell ref="E963:E965"/>
    <mergeCell ref="F963:F965"/>
    <mergeCell ref="G963:G965"/>
    <mergeCell ref="H963:H965"/>
    <mergeCell ref="I963:I965"/>
    <mergeCell ref="J963:J965"/>
    <mergeCell ref="K963:K965"/>
    <mergeCell ref="L963:L965"/>
    <mergeCell ref="M963:M965"/>
    <mergeCell ref="N963:N965"/>
    <mergeCell ref="O963:O965"/>
    <mergeCell ref="P963:P965"/>
    <mergeCell ref="Q963:Q965"/>
    <mergeCell ref="E966:E968"/>
    <mergeCell ref="F966:F968"/>
    <mergeCell ref="G966:G968"/>
    <mergeCell ref="H966:H968"/>
    <mergeCell ref="I966:I968"/>
    <mergeCell ref="J966:J968"/>
    <mergeCell ref="K966:K968"/>
    <mergeCell ref="L966:L968"/>
    <mergeCell ref="M966:M968"/>
    <mergeCell ref="N966:N968"/>
    <mergeCell ref="O966:O968"/>
    <mergeCell ref="P966:P968"/>
    <mergeCell ref="Q966:Q968"/>
    <mergeCell ref="E969:E971"/>
    <mergeCell ref="F969:F971"/>
    <mergeCell ref="G969:G971"/>
    <mergeCell ref="H969:H971"/>
    <mergeCell ref="I969:I971"/>
    <mergeCell ref="J969:J971"/>
    <mergeCell ref="K969:K971"/>
    <mergeCell ref="L969:L971"/>
    <mergeCell ref="M969:M971"/>
    <mergeCell ref="N969:N971"/>
    <mergeCell ref="O969:O971"/>
    <mergeCell ref="P969:P971"/>
    <mergeCell ref="Q969:Q971"/>
    <mergeCell ref="E972:E974"/>
    <mergeCell ref="F972:F974"/>
    <mergeCell ref="G972:G974"/>
    <mergeCell ref="H972:H974"/>
    <mergeCell ref="I972:I974"/>
    <mergeCell ref="J972:J974"/>
    <mergeCell ref="K972:K974"/>
    <mergeCell ref="L972:L974"/>
    <mergeCell ref="M972:M974"/>
    <mergeCell ref="N972:N974"/>
    <mergeCell ref="O972:O974"/>
    <mergeCell ref="P972:P974"/>
    <mergeCell ref="Q972:Q974"/>
    <mergeCell ref="E975:E977"/>
    <mergeCell ref="F975:F977"/>
    <mergeCell ref="G975:G977"/>
    <mergeCell ref="H975:H977"/>
    <mergeCell ref="I975:I977"/>
    <mergeCell ref="J975:J977"/>
    <mergeCell ref="K975:K977"/>
    <mergeCell ref="L975:L977"/>
    <mergeCell ref="M975:M977"/>
    <mergeCell ref="N975:N977"/>
    <mergeCell ref="O975:O977"/>
    <mergeCell ref="P975:P977"/>
    <mergeCell ref="Q975:Q977"/>
    <mergeCell ref="E978:E980"/>
    <mergeCell ref="F978:F980"/>
    <mergeCell ref="G978:G980"/>
    <mergeCell ref="H978:H980"/>
    <mergeCell ref="I978:I980"/>
    <mergeCell ref="J978:J980"/>
    <mergeCell ref="K978:K980"/>
    <mergeCell ref="L978:L980"/>
    <mergeCell ref="M978:M980"/>
    <mergeCell ref="N978:N980"/>
    <mergeCell ref="O978:O980"/>
    <mergeCell ref="P978:P980"/>
    <mergeCell ref="Q978:Q980"/>
    <mergeCell ref="E981:E983"/>
    <mergeCell ref="F981:F983"/>
    <mergeCell ref="G981:G983"/>
    <mergeCell ref="H981:H983"/>
    <mergeCell ref="I981:I983"/>
    <mergeCell ref="J981:J983"/>
    <mergeCell ref="K981:K983"/>
    <mergeCell ref="L981:L983"/>
    <mergeCell ref="M981:M983"/>
    <mergeCell ref="N981:N983"/>
    <mergeCell ref="O981:O983"/>
    <mergeCell ref="P981:P983"/>
    <mergeCell ref="Q981:Q983"/>
    <mergeCell ref="E984:E986"/>
    <mergeCell ref="F984:F986"/>
    <mergeCell ref="G984:G986"/>
    <mergeCell ref="H984:H986"/>
    <mergeCell ref="I984:I986"/>
    <mergeCell ref="J984:J986"/>
    <mergeCell ref="K984:K986"/>
    <mergeCell ref="L984:L986"/>
    <mergeCell ref="M984:M986"/>
    <mergeCell ref="N984:N986"/>
    <mergeCell ref="O984:O986"/>
    <mergeCell ref="P984:P986"/>
    <mergeCell ref="Q984:Q986"/>
    <mergeCell ref="E987:E989"/>
    <mergeCell ref="F987:F989"/>
    <mergeCell ref="G987:G989"/>
    <mergeCell ref="H987:H989"/>
    <mergeCell ref="I987:I989"/>
    <mergeCell ref="J987:J989"/>
    <mergeCell ref="K987:K989"/>
    <mergeCell ref="L987:L989"/>
    <mergeCell ref="M987:M989"/>
    <mergeCell ref="N987:N989"/>
    <mergeCell ref="O987:O989"/>
    <mergeCell ref="P987:P989"/>
    <mergeCell ref="Q987:Q989"/>
    <mergeCell ref="E990:E992"/>
    <mergeCell ref="F990:F992"/>
    <mergeCell ref="G990:G992"/>
    <mergeCell ref="H990:H992"/>
    <mergeCell ref="I990:I992"/>
    <mergeCell ref="J990:J992"/>
    <mergeCell ref="K990:K992"/>
    <mergeCell ref="L990:L992"/>
    <mergeCell ref="M990:M992"/>
    <mergeCell ref="N990:N992"/>
    <mergeCell ref="O990:O992"/>
    <mergeCell ref="P990:P992"/>
    <mergeCell ref="Q990:Q992"/>
    <mergeCell ref="E993:E995"/>
    <mergeCell ref="F993:F995"/>
    <mergeCell ref="G993:G995"/>
    <mergeCell ref="H993:H995"/>
    <mergeCell ref="I993:I995"/>
    <mergeCell ref="J993:J995"/>
    <mergeCell ref="K993:K995"/>
    <mergeCell ref="L993:L995"/>
    <mergeCell ref="M993:M995"/>
    <mergeCell ref="N993:N995"/>
    <mergeCell ref="O993:O995"/>
    <mergeCell ref="P993:P995"/>
    <mergeCell ref="Q993:Q995"/>
    <mergeCell ref="E996:E998"/>
    <mergeCell ref="F996:F998"/>
    <mergeCell ref="G996:G998"/>
    <mergeCell ref="H996:H998"/>
    <mergeCell ref="I996:I998"/>
    <mergeCell ref="J996:J998"/>
    <mergeCell ref="K996:K998"/>
    <mergeCell ref="L996:L998"/>
    <mergeCell ref="M996:M998"/>
    <mergeCell ref="N996:N998"/>
    <mergeCell ref="O996:O998"/>
    <mergeCell ref="P996:P998"/>
    <mergeCell ref="Q996:Q998"/>
    <mergeCell ref="E999:E1001"/>
    <mergeCell ref="F999:F1001"/>
    <mergeCell ref="G999:G1001"/>
    <mergeCell ref="H999:H1001"/>
    <mergeCell ref="I999:I1001"/>
    <mergeCell ref="J999:J1001"/>
    <mergeCell ref="K999:K1001"/>
    <mergeCell ref="L999:L1001"/>
    <mergeCell ref="M999:M1001"/>
    <mergeCell ref="N999:N1001"/>
    <mergeCell ref="O999:O1001"/>
    <mergeCell ref="P999:P1001"/>
    <mergeCell ref="Q999:Q1001"/>
    <mergeCell ref="E1002:E1004"/>
    <mergeCell ref="F1002:F1004"/>
    <mergeCell ref="G1002:G1004"/>
    <mergeCell ref="H1002:H1004"/>
    <mergeCell ref="I1002:I1004"/>
    <mergeCell ref="J1002:J1004"/>
    <mergeCell ref="K1002:K1004"/>
    <mergeCell ref="L1002:L1004"/>
    <mergeCell ref="M1002:M1004"/>
    <mergeCell ref="N1002:N1004"/>
    <mergeCell ref="O1002:O1004"/>
    <mergeCell ref="P1002:P1004"/>
    <mergeCell ref="Q1002:Q1004"/>
    <mergeCell ref="E1005:E1007"/>
    <mergeCell ref="F1005:F1007"/>
    <mergeCell ref="G1005:G1007"/>
    <mergeCell ref="H1005:H1007"/>
    <mergeCell ref="I1005:I1007"/>
    <mergeCell ref="J1005:J1007"/>
    <mergeCell ref="K1005:K1007"/>
    <mergeCell ref="L1005:L1007"/>
    <mergeCell ref="M1005:M1007"/>
    <mergeCell ref="N1005:N1007"/>
    <mergeCell ref="O1005:O1007"/>
    <mergeCell ref="P1005:P1007"/>
    <mergeCell ref="Q1005:Q1007"/>
    <mergeCell ref="E1008:E1010"/>
    <mergeCell ref="F1008:F1010"/>
    <mergeCell ref="G1008:G1010"/>
    <mergeCell ref="H1008:H1010"/>
    <mergeCell ref="I1008:I1010"/>
    <mergeCell ref="J1008:J1010"/>
    <mergeCell ref="K1008:K1010"/>
    <mergeCell ref="L1008:L1010"/>
    <mergeCell ref="M1008:M1010"/>
    <mergeCell ref="N1008:N1010"/>
    <mergeCell ref="O1008:O1010"/>
    <mergeCell ref="P1008:P1010"/>
    <mergeCell ref="Q1008:Q1010"/>
    <mergeCell ref="E1011:E1013"/>
    <mergeCell ref="F1011:F1013"/>
    <mergeCell ref="G1011:G1013"/>
    <mergeCell ref="H1011:H1013"/>
    <mergeCell ref="I1011:I1013"/>
    <mergeCell ref="J1011:J1013"/>
    <mergeCell ref="K1011:K1013"/>
    <mergeCell ref="L1011:L1013"/>
    <mergeCell ref="M1011:M1013"/>
    <mergeCell ref="N1011:N1013"/>
    <mergeCell ref="O1011:O1013"/>
    <mergeCell ref="P1011:P1013"/>
    <mergeCell ref="Q1011:Q1013"/>
    <mergeCell ref="E1014:E1016"/>
    <mergeCell ref="F1014:F1016"/>
    <mergeCell ref="G1014:G1016"/>
    <mergeCell ref="H1014:H1016"/>
    <mergeCell ref="I1014:I1016"/>
    <mergeCell ref="J1014:J1016"/>
    <mergeCell ref="K1014:K1016"/>
    <mergeCell ref="L1014:L1016"/>
    <mergeCell ref="M1014:M1016"/>
    <mergeCell ref="N1014:N1016"/>
    <mergeCell ref="O1014:O1016"/>
    <mergeCell ref="P1014:P1016"/>
    <mergeCell ref="Q1014:Q1016"/>
    <mergeCell ref="E1017:E1019"/>
    <mergeCell ref="F1017:F1019"/>
    <mergeCell ref="G1017:G1019"/>
    <mergeCell ref="H1017:H1019"/>
    <mergeCell ref="I1017:I1019"/>
    <mergeCell ref="J1017:J1019"/>
    <mergeCell ref="K1017:K1019"/>
    <mergeCell ref="L1017:L1019"/>
    <mergeCell ref="M1017:M1019"/>
    <mergeCell ref="N1017:N1019"/>
    <mergeCell ref="O1017:O1019"/>
    <mergeCell ref="P1017:P1019"/>
    <mergeCell ref="Q1017:Q1019"/>
    <mergeCell ref="E1020:E1022"/>
    <mergeCell ref="F1020:F1022"/>
    <mergeCell ref="G1020:G1022"/>
    <mergeCell ref="H1020:H1022"/>
    <mergeCell ref="I1020:I1022"/>
    <mergeCell ref="J1020:J1022"/>
    <mergeCell ref="K1020:K1022"/>
    <mergeCell ref="L1020:L1022"/>
    <mergeCell ref="M1020:M1022"/>
    <mergeCell ref="N1020:N1022"/>
    <mergeCell ref="O1020:O1022"/>
    <mergeCell ref="P1020:P1022"/>
    <mergeCell ref="Q1020:Q1022"/>
    <mergeCell ref="E1023:E1025"/>
    <mergeCell ref="F1023:F1025"/>
    <mergeCell ref="G1023:G1025"/>
    <mergeCell ref="H1023:H1025"/>
    <mergeCell ref="I1023:I1025"/>
    <mergeCell ref="J1023:J1025"/>
    <mergeCell ref="K1023:K1025"/>
    <mergeCell ref="L1023:L1025"/>
    <mergeCell ref="M1023:M1025"/>
    <mergeCell ref="N1023:N1025"/>
    <mergeCell ref="O1023:O1025"/>
    <mergeCell ref="P1023:P1025"/>
    <mergeCell ref="Q1023:Q1025"/>
    <mergeCell ref="E1026:E1028"/>
    <mergeCell ref="F1026:F1028"/>
    <mergeCell ref="G1026:G1028"/>
    <mergeCell ref="H1026:H1028"/>
    <mergeCell ref="I1026:I1028"/>
    <mergeCell ref="J1026:J1028"/>
    <mergeCell ref="K1026:K1028"/>
    <mergeCell ref="L1026:L1028"/>
    <mergeCell ref="M1026:M1028"/>
    <mergeCell ref="N1026:N1028"/>
    <mergeCell ref="O1026:O1028"/>
    <mergeCell ref="P1026:P1028"/>
    <mergeCell ref="Q1026:Q1028"/>
    <mergeCell ref="E1029:E1031"/>
    <mergeCell ref="F1029:F1031"/>
    <mergeCell ref="G1029:G1031"/>
    <mergeCell ref="H1029:H1031"/>
    <mergeCell ref="I1029:I1031"/>
    <mergeCell ref="J1029:J1031"/>
    <mergeCell ref="K1029:K1031"/>
    <mergeCell ref="L1029:L1031"/>
    <mergeCell ref="M1029:M1031"/>
    <mergeCell ref="N1029:N1031"/>
    <mergeCell ref="O1029:O1031"/>
    <mergeCell ref="P1029:P1031"/>
    <mergeCell ref="Q1029:Q1031"/>
    <mergeCell ref="E1032:E1034"/>
    <mergeCell ref="F1032:F1034"/>
    <mergeCell ref="G1032:G1034"/>
    <mergeCell ref="H1032:H1034"/>
    <mergeCell ref="I1032:I1034"/>
    <mergeCell ref="J1032:J1034"/>
    <mergeCell ref="K1032:K1034"/>
    <mergeCell ref="L1032:L1034"/>
    <mergeCell ref="M1032:M1034"/>
    <mergeCell ref="N1032:N1034"/>
    <mergeCell ref="O1032:O1034"/>
    <mergeCell ref="P1032:P1034"/>
    <mergeCell ref="Q1032:Q1034"/>
    <mergeCell ref="E1035:E1037"/>
    <mergeCell ref="F1035:F1037"/>
    <mergeCell ref="G1035:G1037"/>
    <mergeCell ref="H1035:H1037"/>
    <mergeCell ref="I1035:I1037"/>
    <mergeCell ref="J1035:J1037"/>
    <mergeCell ref="K1035:K1037"/>
    <mergeCell ref="L1035:L1037"/>
    <mergeCell ref="M1035:M1037"/>
    <mergeCell ref="N1035:N1037"/>
    <mergeCell ref="O1035:O1037"/>
    <mergeCell ref="P1035:P1037"/>
    <mergeCell ref="Q1035:Q1037"/>
    <mergeCell ref="E1038:E1040"/>
    <mergeCell ref="F1038:F1040"/>
    <mergeCell ref="G1038:G1040"/>
    <mergeCell ref="H1038:H1040"/>
    <mergeCell ref="I1038:I1040"/>
    <mergeCell ref="J1038:J1040"/>
    <mergeCell ref="K1038:K1040"/>
    <mergeCell ref="L1038:L1040"/>
    <mergeCell ref="M1038:M1040"/>
    <mergeCell ref="N1038:N1040"/>
    <mergeCell ref="O1038:O1040"/>
    <mergeCell ref="P1038:P1040"/>
    <mergeCell ref="Q1038:Q1040"/>
    <mergeCell ref="E1041:E1043"/>
    <mergeCell ref="F1041:F1043"/>
    <mergeCell ref="G1041:G1043"/>
    <mergeCell ref="H1041:H1043"/>
    <mergeCell ref="I1041:I1043"/>
    <mergeCell ref="J1041:J1043"/>
    <mergeCell ref="K1041:K1043"/>
    <mergeCell ref="L1041:L1043"/>
    <mergeCell ref="M1041:M1043"/>
    <mergeCell ref="N1041:N1043"/>
    <mergeCell ref="O1041:O1043"/>
    <mergeCell ref="P1041:P1043"/>
    <mergeCell ref="Q1041:Q1043"/>
    <mergeCell ref="E1044:E1046"/>
    <mergeCell ref="F1044:F1046"/>
    <mergeCell ref="G1044:G1046"/>
    <mergeCell ref="H1044:H1046"/>
    <mergeCell ref="I1044:I1046"/>
    <mergeCell ref="J1044:J1046"/>
    <mergeCell ref="K1044:K1046"/>
    <mergeCell ref="L1044:L1046"/>
    <mergeCell ref="M1044:M1046"/>
    <mergeCell ref="N1044:N1046"/>
    <mergeCell ref="O1044:O1046"/>
    <mergeCell ref="P1044:P1046"/>
    <mergeCell ref="Q1044:Q1046"/>
    <mergeCell ref="E1047:E1049"/>
    <mergeCell ref="F1047:F1049"/>
    <mergeCell ref="G1047:G1049"/>
    <mergeCell ref="H1047:H1049"/>
    <mergeCell ref="I1047:I1049"/>
    <mergeCell ref="J1047:J1049"/>
    <mergeCell ref="K1047:K1049"/>
    <mergeCell ref="L1047:L1049"/>
    <mergeCell ref="M1047:M1049"/>
    <mergeCell ref="N1047:N1049"/>
    <mergeCell ref="O1047:O1049"/>
    <mergeCell ref="P1047:P1049"/>
    <mergeCell ref="Q1047:Q1049"/>
    <mergeCell ref="E1050:E1052"/>
    <mergeCell ref="F1050:F1052"/>
    <mergeCell ref="G1050:G1052"/>
    <mergeCell ref="H1050:H1052"/>
    <mergeCell ref="I1050:I1052"/>
    <mergeCell ref="J1050:J1052"/>
    <mergeCell ref="K1050:K1052"/>
    <mergeCell ref="L1050:L1052"/>
    <mergeCell ref="M1050:M1052"/>
    <mergeCell ref="N1050:N1052"/>
    <mergeCell ref="O1050:O1052"/>
    <mergeCell ref="P1050:P1052"/>
    <mergeCell ref="Q1050:Q1052"/>
    <mergeCell ref="E1053:E1055"/>
    <mergeCell ref="F1053:F1055"/>
    <mergeCell ref="G1053:G1055"/>
    <mergeCell ref="H1053:H1055"/>
    <mergeCell ref="I1053:I1055"/>
    <mergeCell ref="J1053:J1055"/>
    <mergeCell ref="K1053:K1055"/>
    <mergeCell ref="L1053:L1055"/>
    <mergeCell ref="M1053:M1055"/>
    <mergeCell ref="N1053:N1055"/>
    <mergeCell ref="O1053:O1055"/>
    <mergeCell ref="P1053:P1055"/>
    <mergeCell ref="Q1053:Q1055"/>
    <mergeCell ref="E1056:E1058"/>
    <mergeCell ref="F1056:F1058"/>
    <mergeCell ref="G1056:G1058"/>
    <mergeCell ref="H1056:H1058"/>
    <mergeCell ref="I1056:I1058"/>
    <mergeCell ref="J1056:J1058"/>
    <mergeCell ref="K1056:K1058"/>
    <mergeCell ref="L1056:L1058"/>
    <mergeCell ref="M1056:M1058"/>
    <mergeCell ref="N1056:N1058"/>
    <mergeCell ref="O1056:O1058"/>
    <mergeCell ref="P1056:P1058"/>
    <mergeCell ref="Q1056:Q1058"/>
    <mergeCell ref="E1059:E1061"/>
    <mergeCell ref="F1059:F1061"/>
    <mergeCell ref="G1059:G1061"/>
    <mergeCell ref="H1059:H1061"/>
    <mergeCell ref="I1059:I1061"/>
    <mergeCell ref="J1059:J1061"/>
    <mergeCell ref="K1059:K1061"/>
    <mergeCell ref="L1059:L1061"/>
    <mergeCell ref="M1059:M1061"/>
    <mergeCell ref="N1059:N1061"/>
    <mergeCell ref="O1059:O1061"/>
    <mergeCell ref="P1059:P1061"/>
    <mergeCell ref="Q1059:Q1061"/>
    <mergeCell ref="E1062:E1064"/>
    <mergeCell ref="F1062:F1064"/>
    <mergeCell ref="G1062:G1064"/>
    <mergeCell ref="H1062:H1064"/>
    <mergeCell ref="I1062:I1064"/>
    <mergeCell ref="J1062:J1064"/>
    <mergeCell ref="K1062:K1064"/>
    <mergeCell ref="L1062:L1064"/>
    <mergeCell ref="M1062:M1064"/>
    <mergeCell ref="N1062:N1064"/>
    <mergeCell ref="O1062:O1064"/>
    <mergeCell ref="P1062:P1064"/>
    <mergeCell ref="Q1062:Q1064"/>
    <mergeCell ref="E1065:E1067"/>
    <mergeCell ref="F1065:F1067"/>
    <mergeCell ref="G1065:G1067"/>
    <mergeCell ref="H1065:H1067"/>
    <mergeCell ref="I1065:I1067"/>
    <mergeCell ref="J1065:J1067"/>
    <mergeCell ref="K1065:K1067"/>
    <mergeCell ref="L1065:L1067"/>
    <mergeCell ref="M1065:M1067"/>
    <mergeCell ref="N1065:N1067"/>
    <mergeCell ref="O1065:O1067"/>
    <mergeCell ref="P1065:P1067"/>
    <mergeCell ref="Q1065:Q1067"/>
    <mergeCell ref="E1068:E1070"/>
    <mergeCell ref="F1068:F1070"/>
    <mergeCell ref="G1068:G1070"/>
    <mergeCell ref="H1068:H1070"/>
    <mergeCell ref="I1068:I1070"/>
    <mergeCell ref="J1068:J1070"/>
    <mergeCell ref="K1068:K1070"/>
    <mergeCell ref="L1068:L1070"/>
    <mergeCell ref="M1068:M1070"/>
    <mergeCell ref="N1068:N1070"/>
    <mergeCell ref="O1068:O1070"/>
    <mergeCell ref="P1068:P1070"/>
    <mergeCell ref="Q1068:Q1070"/>
    <mergeCell ref="E1071:E1073"/>
    <mergeCell ref="F1071:F1073"/>
    <mergeCell ref="G1071:G1073"/>
    <mergeCell ref="H1071:H1073"/>
    <mergeCell ref="I1071:I1073"/>
    <mergeCell ref="J1071:J1073"/>
    <mergeCell ref="K1071:K1073"/>
    <mergeCell ref="L1071:L1073"/>
    <mergeCell ref="M1071:M1073"/>
    <mergeCell ref="N1071:N1073"/>
    <mergeCell ref="O1071:O1073"/>
    <mergeCell ref="P1071:P1073"/>
    <mergeCell ref="Q1071:Q1073"/>
    <mergeCell ref="E1074:E1076"/>
    <mergeCell ref="F1074:F1076"/>
    <mergeCell ref="G1074:G1076"/>
    <mergeCell ref="H1074:H1076"/>
    <mergeCell ref="I1074:I1076"/>
    <mergeCell ref="J1074:J1076"/>
    <mergeCell ref="K1074:K1076"/>
    <mergeCell ref="L1074:L1076"/>
    <mergeCell ref="M1074:M1076"/>
    <mergeCell ref="N1074:N1076"/>
    <mergeCell ref="O1074:O1076"/>
    <mergeCell ref="P1074:P1076"/>
    <mergeCell ref="Q1074:Q1076"/>
    <mergeCell ref="E1077:E1079"/>
    <mergeCell ref="F1077:F1079"/>
    <mergeCell ref="G1077:G1079"/>
    <mergeCell ref="H1077:H1079"/>
    <mergeCell ref="I1077:I1079"/>
    <mergeCell ref="J1077:J1079"/>
    <mergeCell ref="K1077:K1079"/>
    <mergeCell ref="L1077:L1079"/>
    <mergeCell ref="M1077:M1079"/>
    <mergeCell ref="N1077:N1079"/>
    <mergeCell ref="O1077:O1079"/>
    <mergeCell ref="P1077:P1079"/>
    <mergeCell ref="Q1077:Q1079"/>
    <mergeCell ref="E1080:E1082"/>
    <mergeCell ref="F1080:F1082"/>
    <mergeCell ref="G1080:G1082"/>
    <mergeCell ref="H1080:H1082"/>
    <mergeCell ref="I1080:I1082"/>
    <mergeCell ref="J1080:J1082"/>
    <mergeCell ref="K1080:K1082"/>
    <mergeCell ref="L1080:L1082"/>
    <mergeCell ref="M1080:M1082"/>
    <mergeCell ref="N1080:N1082"/>
    <mergeCell ref="O1080:O1082"/>
    <mergeCell ref="P1080:P1082"/>
    <mergeCell ref="Q1080:Q1082"/>
    <mergeCell ref="E1083:E1085"/>
    <mergeCell ref="F1083:F1085"/>
    <mergeCell ref="G1083:G1085"/>
    <mergeCell ref="H1083:H1085"/>
    <mergeCell ref="I1083:I1085"/>
    <mergeCell ref="J1083:J1085"/>
    <mergeCell ref="K1083:K1085"/>
    <mergeCell ref="L1083:L1085"/>
    <mergeCell ref="M1083:M1085"/>
    <mergeCell ref="N1083:N1085"/>
    <mergeCell ref="O1083:O1085"/>
    <mergeCell ref="P1083:P1085"/>
    <mergeCell ref="Q1083:Q1085"/>
    <mergeCell ref="E1086:E1088"/>
    <mergeCell ref="F1086:F1088"/>
    <mergeCell ref="G1086:G1088"/>
    <mergeCell ref="H1086:H1088"/>
    <mergeCell ref="I1086:I1088"/>
    <mergeCell ref="J1086:J1088"/>
    <mergeCell ref="K1086:K1088"/>
    <mergeCell ref="L1086:L1088"/>
    <mergeCell ref="M1086:M1088"/>
    <mergeCell ref="N1086:N1088"/>
    <mergeCell ref="O1086:O1088"/>
    <mergeCell ref="P1086:P1088"/>
    <mergeCell ref="Q1086:Q1088"/>
    <mergeCell ref="E1089:E1091"/>
    <mergeCell ref="F1089:F1091"/>
    <mergeCell ref="G1089:G1091"/>
    <mergeCell ref="H1089:H1091"/>
    <mergeCell ref="I1089:I1091"/>
    <mergeCell ref="J1089:J1091"/>
    <mergeCell ref="K1089:K1091"/>
    <mergeCell ref="L1089:L1091"/>
    <mergeCell ref="M1089:M1091"/>
    <mergeCell ref="N1089:N1091"/>
    <mergeCell ref="O1089:O1091"/>
    <mergeCell ref="P1089:P1091"/>
    <mergeCell ref="Q1089:Q1091"/>
    <mergeCell ref="E1092:E1094"/>
    <mergeCell ref="F1092:F1094"/>
    <mergeCell ref="G1092:G1094"/>
    <mergeCell ref="H1092:H1094"/>
    <mergeCell ref="I1092:I1094"/>
    <mergeCell ref="J1092:J1094"/>
    <mergeCell ref="K1092:K1094"/>
    <mergeCell ref="L1092:L1094"/>
    <mergeCell ref="M1092:M1094"/>
    <mergeCell ref="N1092:N1094"/>
    <mergeCell ref="O1092:O1094"/>
    <mergeCell ref="P1092:P1094"/>
    <mergeCell ref="Q1092:Q1094"/>
    <mergeCell ref="E1095:E1097"/>
    <mergeCell ref="F1095:F1097"/>
    <mergeCell ref="G1095:G1097"/>
    <mergeCell ref="H1095:H1097"/>
    <mergeCell ref="I1095:I1097"/>
    <mergeCell ref="J1095:J1097"/>
    <mergeCell ref="K1095:K1097"/>
    <mergeCell ref="L1095:L1097"/>
    <mergeCell ref="M1095:M1097"/>
    <mergeCell ref="N1095:N1097"/>
    <mergeCell ref="O1095:O1097"/>
    <mergeCell ref="P1095:P1097"/>
    <mergeCell ref="Q1095:Q1097"/>
    <mergeCell ref="E1098:E1100"/>
    <mergeCell ref="F1098:F1100"/>
    <mergeCell ref="G1098:G1100"/>
    <mergeCell ref="H1098:H1100"/>
    <mergeCell ref="I1098:I1100"/>
    <mergeCell ref="J1098:J1100"/>
    <mergeCell ref="K1098:K1100"/>
    <mergeCell ref="L1098:L1100"/>
    <mergeCell ref="M1098:M1100"/>
    <mergeCell ref="N1098:N1100"/>
    <mergeCell ref="O1098:O1100"/>
    <mergeCell ref="P1098:P1100"/>
    <mergeCell ref="Q1098:Q1100"/>
    <mergeCell ref="E1101:E1103"/>
    <mergeCell ref="F1101:F1103"/>
    <mergeCell ref="G1101:G1103"/>
    <mergeCell ref="H1101:H1103"/>
    <mergeCell ref="I1101:I1103"/>
    <mergeCell ref="J1101:J1103"/>
    <mergeCell ref="K1101:K1103"/>
    <mergeCell ref="L1101:L1103"/>
    <mergeCell ref="M1101:M1103"/>
    <mergeCell ref="N1101:N1103"/>
    <mergeCell ref="O1101:O1103"/>
    <mergeCell ref="P1101:P1103"/>
    <mergeCell ref="Q1101:Q1103"/>
    <mergeCell ref="E1104:E1106"/>
    <mergeCell ref="F1104:F1106"/>
    <mergeCell ref="G1104:G1106"/>
    <mergeCell ref="H1104:H1106"/>
    <mergeCell ref="I1104:I1106"/>
    <mergeCell ref="J1104:J1106"/>
    <mergeCell ref="K1104:K1106"/>
    <mergeCell ref="L1104:L1106"/>
    <mergeCell ref="M1104:M1106"/>
    <mergeCell ref="N1104:N1106"/>
    <mergeCell ref="O1104:O1106"/>
    <mergeCell ref="P1104:P1106"/>
    <mergeCell ref="Q1104:Q1106"/>
    <mergeCell ref="E1107:E1109"/>
    <mergeCell ref="F1107:F1109"/>
    <mergeCell ref="G1107:G1109"/>
    <mergeCell ref="H1107:H1109"/>
    <mergeCell ref="I1107:I1109"/>
    <mergeCell ref="J1107:J1109"/>
    <mergeCell ref="K1107:K1109"/>
    <mergeCell ref="L1107:L1109"/>
    <mergeCell ref="M1107:M1109"/>
    <mergeCell ref="N1107:N1109"/>
    <mergeCell ref="O1107:O1109"/>
    <mergeCell ref="P1107:P1109"/>
    <mergeCell ref="Q1107:Q1109"/>
    <mergeCell ref="E1110:E1112"/>
    <mergeCell ref="F1110:F1112"/>
    <mergeCell ref="G1110:G1112"/>
    <mergeCell ref="H1110:H1112"/>
    <mergeCell ref="I1110:I1112"/>
    <mergeCell ref="J1110:J1112"/>
    <mergeCell ref="K1110:K1112"/>
    <mergeCell ref="L1110:L1112"/>
    <mergeCell ref="M1110:M1112"/>
    <mergeCell ref="N1110:N1112"/>
    <mergeCell ref="O1110:O1112"/>
    <mergeCell ref="P1110:P1112"/>
    <mergeCell ref="Q1110:Q1112"/>
    <mergeCell ref="E1113:E1115"/>
    <mergeCell ref="F1113:F1115"/>
    <mergeCell ref="G1113:G1115"/>
    <mergeCell ref="H1113:H1115"/>
    <mergeCell ref="I1113:I1115"/>
    <mergeCell ref="J1113:J1115"/>
    <mergeCell ref="K1113:K1115"/>
    <mergeCell ref="L1113:L1115"/>
    <mergeCell ref="M1113:M1115"/>
    <mergeCell ref="N1113:N1115"/>
    <mergeCell ref="O1113:O1115"/>
    <mergeCell ref="P1113:P1115"/>
    <mergeCell ref="Q1113:Q1115"/>
    <mergeCell ref="E1116:E1118"/>
    <mergeCell ref="F1116:F1118"/>
    <mergeCell ref="G1116:G1118"/>
    <mergeCell ref="H1116:H1118"/>
    <mergeCell ref="I1116:I1118"/>
    <mergeCell ref="J1116:J1118"/>
    <mergeCell ref="K1116:K1118"/>
    <mergeCell ref="L1116:L1118"/>
    <mergeCell ref="M1116:M1118"/>
    <mergeCell ref="N1116:N1118"/>
    <mergeCell ref="O1116:O1118"/>
    <mergeCell ref="P1116:P1118"/>
    <mergeCell ref="Q1116:Q1118"/>
    <mergeCell ref="E1119:E1121"/>
    <mergeCell ref="F1119:F1121"/>
    <mergeCell ref="G1119:G1121"/>
    <mergeCell ref="H1119:H1121"/>
    <mergeCell ref="I1119:I1121"/>
    <mergeCell ref="J1119:J1121"/>
    <mergeCell ref="K1119:K1121"/>
    <mergeCell ref="L1119:L1121"/>
    <mergeCell ref="M1119:M1121"/>
    <mergeCell ref="N1119:N1121"/>
    <mergeCell ref="O1119:O1121"/>
    <mergeCell ref="P1119:P1121"/>
    <mergeCell ref="Q1119:Q1121"/>
    <mergeCell ref="E1122:E1124"/>
    <mergeCell ref="F1122:F1124"/>
    <mergeCell ref="G1122:G1124"/>
    <mergeCell ref="H1122:H1124"/>
    <mergeCell ref="I1122:I1124"/>
    <mergeCell ref="J1122:J1124"/>
    <mergeCell ref="K1122:K1124"/>
    <mergeCell ref="L1122:L1124"/>
    <mergeCell ref="M1122:M1124"/>
    <mergeCell ref="N1122:N1124"/>
    <mergeCell ref="O1122:O1124"/>
    <mergeCell ref="P1122:P1124"/>
    <mergeCell ref="Q1122:Q1124"/>
    <mergeCell ref="E1125:E1127"/>
    <mergeCell ref="F1125:F1127"/>
    <mergeCell ref="G1125:G1127"/>
    <mergeCell ref="H1125:H1127"/>
    <mergeCell ref="I1125:I1127"/>
    <mergeCell ref="J1125:J1127"/>
    <mergeCell ref="K1125:K1127"/>
    <mergeCell ref="L1125:L1127"/>
    <mergeCell ref="M1125:M1127"/>
    <mergeCell ref="N1125:N1127"/>
    <mergeCell ref="O1125:O1127"/>
    <mergeCell ref="P1125:P1127"/>
    <mergeCell ref="Q1125:Q1127"/>
    <mergeCell ref="E1128:E1130"/>
    <mergeCell ref="F1128:F1130"/>
    <mergeCell ref="G1128:G1130"/>
    <mergeCell ref="H1128:H1130"/>
    <mergeCell ref="I1128:I1130"/>
    <mergeCell ref="J1128:J1130"/>
    <mergeCell ref="K1128:K1130"/>
    <mergeCell ref="L1128:L1130"/>
    <mergeCell ref="M1128:M1130"/>
    <mergeCell ref="N1128:N1130"/>
    <mergeCell ref="O1128:O1130"/>
    <mergeCell ref="P1128:P1130"/>
    <mergeCell ref="Q1128:Q1130"/>
    <mergeCell ref="E1131:E1133"/>
    <mergeCell ref="F1131:F1133"/>
    <mergeCell ref="G1131:G1133"/>
    <mergeCell ref="H1131:H1133"/>
    <mergeCell ref="I1131:I1133"/>
    <mergeCell ref="J1131:J1133"/>
    <mergeCell ref="K1131:K1133"/>
    <mergeCell ref="L1131:L1133"/>
    <mergeCell ref="M1131:M1133"/>
    <mergeCell ref="N1131:N1133"/>
    <mergeCell ref="O1131:O1133"/>
    <mergeCell ref="P1131:P1133"/>
    <mergeCell ref="Q1131:Q1133"/>
    <mergeCell ref="E1134:E1136"/>
    <mergeCell ref="F1134:F1136"/>
    <mergeCell ref="G1134:G1136"/>
    <mergeCell ref="H1134:H1136"/>
    <mergeCell ref="I1134:I1136"/>
    <mergeCell ref="J1134:J1136"/>
    <mergeCell ref="K1134:K1136"/>
    <mergeCell ref="L1134:L1136"/>
    <mergeCell ref="M1134:M1136"/>
    <mergeCell ref="N1134:N1136"/>
    <mergeCell ref="O1134:O1136"/>
    <mergeCell ref="P1134:P1136"/>
    <mergeCell ref="Q1134:Q1136"/>
    <mergeCell ref="E1137:E1139"/>
    <mergeCell ref="F1137:F1139"/>
    <mergeCell ref="G1137:G1139"/>
    <mergeCell ref="H1137:H1139"/>
    <mergeCell ref="I1137:I1139"/>
    <mergeCell ref="J1137:J1139"/>
    <mergeCell ref="K1137:K1139"/>
    <mergeCell ref="L1137:L1139"/>
    <mergeCell ref="M1137:M1139"/>
    <mergeCell ref="N1137:N1139"/>
    <mergeCell ref="O1137:O1139"/>
    <mergeCell ref="P1137:P1139"/>
    <mergeCell ref="Q1137:Q1139"/>
    <mergeCell ref="E1140:E1142"/>
    <mergeCell ref="F1140:F1142"/>
    <mergeCell ref="G1140:G1142"/>
    <mergeCell ref="H1140:H1142"/>
    <mergeCell ref="I1140:I1142"/>
    <mergeCell ref="J1140:J1142"/>
    <mergeCell ref="K1140:K1142"/>
    <mergeCell ref="L1140:L1142"/>
    <mergeCell ref="M1140:M1142"/>
    <mergeCell ref="N1140:N1142"/>
    <mergeCell ref="O1140:O1142"/>
    <mergeCell ref="P1140:P1142"/>
    <mergeCell ref="Q1140:Q1142"/>
    <mergeCell ref="E1143:E1145"/>
    <mergeCell ref="F1143:F1145"/>
    <mergeCell ref="G1143:G1145"/>
    <mergeCell ref="H1143:H1145"/>
    <mergeCell ref="I1143:I1145"/>
    <mergeCell ref="J1143:J1145"/>
    <mergeCell ref="K1143:K1145"/>
    <mergeCell ref="L1143:L1145"/>
    <mergeCell ref="M1143:M1145"/>
    <mergeCell ref="N1143:N1145"/>
    <mergeCell ref="O1143:O1145"/>
    <mergeCell ref="P1143:P1145"/>
    <mergeCell ref="Q1143:Q1145"/>
    <mergeCell ref="E1146:E1148"/>
    <mergeCell ref="F1146:F1148"/>
    <mergeCell ref="G1146:G1148"/>
    <mergeCell ref="H1146:H1148"/>
    <mergeCell ref="I1146:I1148"/>
    <mergeCell ref="J1146:J1148"/>
    <mergeCell ref="K1146:K1148"/>
    <mergeCell ref="L1146:L1148"/>
    <mergeCell ref="M1146:M1148"/>
    <mergeCell ref="N1146:N1148"/>
    <mergeCell ref="O1146:O1148"/>
    <mergeCell ref="P1146:P1148"/>
    <mergeCell ref="Q1146:Q1148"/>
    <mergeCell ref="E1149:E1151"/>
    <mergeCell ref="F1149:F1151"/>
    <mergeCell ref="G1149:G1151"/>
    <mergeCell ref="H1149:H1151"/>
    <mergeCell ref="I1149:I1151"/>
    <mergeCell ref="J1149:J1151"/>
    <mergeCell ref="K1149:K1151"/>
    <mergeCell ref="L1149:L1151"/>
    <mergeCell ref="M1149:M1151"/>
    <mergeCell ref="N1149:N1151"/>
    <mergeCell ref="O1149:O1151"/>
    <mergeCell ref="P1149:P1151"/>
    <mergeCell ref="Q1149:Q1151"/>
    <mergeCell ref="E1152:E1154"/>
    <mergeCell ref="F1152:F1154"/>
    <mergeCell ref="G1152:G1154"/>
    <mergeCell ref="H1152:H1154"/>
    <mergeCell ref="I1152:I1154"/>
    <mergeCell ref="J1152:J1154"/>
    <mergeCell ref="K1152:K1154"/>
    <mergeCell ref="L1152:L1154"/>
    <mergeCell ref="M1152:M1154"/>
    <mergeCell ref="N1152:N1154"/>
    <mergeCell ref="O1152:O1154"/>
    <mergeCell ref="P1152:P1154"/>
    <mergeCell ref="Q1152:Q1154"/>
    <mergeCell ref="E1155:E1157"/>
    <mergeCell ref="F1155:F1157"/>
    <mergeCell ref="G1155:G1157"/>
    <mergeCell ref="H1155:H1157"/>
    <mergeCell ref="I1155:I1157"/>
    <mergeCell ref="J1155:J1157"/>
    <mergeCell ref="K1155:K1157"/>
    <mergeCell ref="L1155:L1157"/>
    <mergeCell ref="M1155:M1157"/>
    <mergeCell ref="N1155:N1157"/>
    <mergeCell ref="O1155:O1157"/>
    <mergeCell ref="P1155:P1157"/>
    <mergeCell ref="Q1155:Q1157"/>
    <mergeCell ref="E1158:E1160"/>
    <mergeCell ref="F1158:F1160"/>
    <mergeCell ref="G1158:G1160"/>
    <mergeCell ref="H1158:H1160"/>
    <mergeCell ref="I1158:I1160"/>
    <mergeCell ref="J1158:J1160"/>
    <mergeCell ref="K1158:K1160"/>
    <mergeCell ref="L1158:L1160"/>
    <mergeCell ref="M1158:M1160"/>
    <mergeCell ref="N1158:N1160"/>
    <mergeCell ref="O1158:O1160"/>
    <mergeCell ref="P1158:P1160"/>
    <mergeCell ref="Q1158:Q1160"/>
    <mergeCell ref="E1161:E1163"/>
    <mergeCell ref="F1161:F1163"/>
    <mergeCell ref="G1161:G1163"/>
    <mergeCell ref="H1161:H1163"/>
    <mergeCell ref="I1161:I1163"/>
    <mergeCell ref="J1161:J1163"/>
    <mergeCell ref="K1161:K1163"/>
    <mergeCell ref="L1161:L1163"/>
    <mergeCell ref="M1161:M1163"/>
    <mergeCell ref="N1161:N1163"/>
    <mergeCell ref="O1161:O1163"/>
    <mergeCell ref="P1161:P1163"/>
    <mergeCell ref="Q1161:Q1163"/>
    <mergeCell ref="E1164:E1166"/>
    <mergeCell ref="F1164:F1166"/>
    <mergeCell ref="G1164:G1166"/>
    <mergeCell ref="H1164:H1166"/>
    <mergeCell ref="I1164:I1166"/>
    <mergeCell ref="J1164:J1166"/>
    <mergeCell ref="K1164:K1166"/>
    <mergeCell ref="L1164:L1166"/>
    <mergeCell ref="M1164:M1166"/>
    <mergeCell ref="N1164:N1166"/>
    <mergeCell ref="O1164:O1166"/>
    <mergeCell ref="P1164:P1166"/>
    <mergeCell ref="Q1164:Q1166"/>
    <mergeCell ref="E1167:E1169"/>
    <mergeCell ref="F1167:F1169"/>
    <mergeCell ref="G1167:G1169"/>
    <mergeCell ref="H1167:H1169"/>
    <mergeCell ref="I1167:I1169"/>
    <mergeCell ref="J1167:J1169"/>
    <mergeCell ref="K1167:K1169"/>
    <mergeCell ref="L1167:L1169"/>
    <mergeCell ref="M1167:M1169"/>
    <mergeCell ref="N1167:N1169"/>
    <mergeCell ref="O1167:O1169"/>
    <mergeCell ref="P1167:P1169"/>
    <mergeCell ref="Q1167:Q1169"/>
    <mergeCell ref="E1170:E1172"/>
    <mergeCell ref="F1170:F1172"/>
    <mergeCell ref="G1170:G1172"/>
    <mergeCell ref="H1170:H1172"/>
    <mergeCell ref="I1170:I1172"/>
    <mergeCell ref="J1170:J1172"/>
    <mergeCell ref="K1170:K1172"/>
    <mergeCell ref="L1170:L1172"/>
    <mergeCell ref="M1170:M1172"/>
    <mergeCell ref="N1170:N1172"/>
    <mergeCell ref="O1170:O1172"/>
    <mergeCell ref="P1170:P1172"/>
    <mergeCell ref="Q1170:Q1172"/>
    <mergeCell ref="E1173:E1175"/>
    <mergeCell ref="F1173:F1175"/>
    <mergeCell ref="G1173:G1175"/>
    <mergeCell ref="H1173:H1175"/>
    <mergeCell ref="I1173:I1175"/>
    <mergeCell ref="J1173:J1175"/>
    <mergeCell ref="K1173:K1175"/>
    <mergeCell ref="L1173:L1175"/>
    <mergeCell ref="M1173:M1175"/>
    <mergeCell ref="N1173:N1175"/>
    <mergeCell ref="O1173:O1175"/>
    <mergeCell ref="P1173:P1175"/>
    <mergeCell ref="Q1173:Q1175"/>
    <mergeCell ref="E1176:E1178"/>
    <mergeCell ref="F1176:F1178"/>
    <mergeCell ref="G1176:G1178"/>
    <mergeCell ref="H1176:H1178"/>
    <mergeCell ref="I1176:I1178"/>
    <mergeCell ref="J1176:J1178"/>
    <mergeCell ref="K1176:K1178"/>
    <mergeCell ref="L1176:L1178"/>
    <mergeCell ref="M1176:M1178"/>
    <mergeCell ref="N1176:N1178"/>
    <mergeCell ref="O1176:O1178"/>
    <mergeCell ref="P1176:P1178"/>
    <mergeCell ref="Q1176:Q1178"/>
    <mergeCell ref="E1179:E1181"/>
    <mergeCell ref="F1179:F1181"/>
    <mergeCell ref="G1179:G1181"/>
    <mergeCell ref="H1179:H1181"/>
    <mergeCell ref="I1179:I1181"/>
    <mergeCell ref="J1179:J1181"/>
    <mergeCell ref="K1179:K1181"/>
    <mergeCell ref="L1179:L1181"/>
    <mergeCell ref="M1179:M1181"/>
    <mergeCell ref="N1179:N1181"/>
    <mergeCell ref="O1179:O1181"/>
    <mergeCell ref="P1179:P1181"/>
    <mergeCell ref="Q1179:Q1181"/>
    <mergeCell ref="Q1191:Q1193"/>
    <mergeCell ref="E1182:E1184"/>
    <mergeCell ref="F1182:F1184"/>
    <mergeCell ref="G1182:G1184"/>
    <mergeCell ref="H1182:H1184"/>
    <mergeCell ref="I1182:I1184"/>
    <mergeCell ref="J1182:J1184"/>
    <mergeCell ref="K1182:K1184"/>
    <mergeCell ref="L1182:L1184"/>
    <mergeCell ref="M1182:M1184"/>
    <mergeCell ref="N1182:N1184"/>
    <mergeCell ref="O1182:O1184"/>
    <mergeCell ref="P1182:P1184"/>
    <mergeCell ref="Q1182:Q1184"/>
    <mergeCell ref="E1185:E1187"/>
    <mergeCell ref="F1185:F1187"/>
    <mergeCell ref="G1185:G1187"/>
    <mergeCell ref="H1185:H1187"/>
    <mergeCell ref="I1185:I1187"/>
    <mergeCell ref="J1185:J1187"/>
    <mergeCell ref="K1185:K1187"/>
    <mergeCell ref="L1185:L1187"/>
    <mergeCell ref="M1185:M1187"/>
    <mergeCell ref="N1185:N1187"/>
    <mergeCell ref="O1185:O1187"/>
    <mergeCell ref="P1185:P1187"/>
    <mergeCell ref="Q1185:Q1187"/>
    <mergeCell ref="K1197:K1199"/>
    <mergeCell ref="L1197:L1199"/>
    <mergeCell ref="M1197:M1199"/>
    <mergeCell ref="N1197:N1199"/>
    <mergeCell ref="O1197:O1199"/>
    <mergeCell ref="P1197:P1199"/>
    <mergeCell ref="Q1197:Q1199"/>
    <mergeCell ref="E1188:E1190"/>
    <mergeCell ref="F1188:F1190"/>
    <mergeCell ref="G1188:G1190"/>
    <mergeCell ref="H1188:H1190"/>
    <mergeCell ref="I1188:I1190"/>
    <mergeCell ref="J1188:J1190"/>
    <mergeCell ref="K1188:K1190"/>
    <mergeCell ref="L1188:L1190"/>
    <mergeCell ref="M1188:M1190"/>
    <mergeCell ref="N1188:N1190"/>
    <mergeCell ref="O1188:O1190"/>
    <mergeCell ref="P1188:P1190"/>
    <mergeCell ref="Q1188:Q1190"/>
    <mergeCell ref="E1191:E1193"/>
    <mergeCell ref="F1191:F1193"/>
    <mergeCell ref="G1191:G1193"/>
    <mergeCell ref="H1191:H1193"/>
    <mergeCell ref="I1191:I1193"/>
    <mergeCell ref="J1191:J1193"/>
    <mergeCell ref="K1191:K1193"/>
    <mergeCell ref="L1191:L1193"/>
    <mergeCell ref="M1191:M1193"/>
    <mergeCell ref="N1191:N1193"/>
    <mergeCell ref="O1191:O1193"/>
    <mergeCell ref="P1191:P1193"/>
    <mergeCell ref="E1200:E1202"/>
    <mergeCell ref="F1200:F1202"/>
    <mergeCell ref="G1200:G1202"/>
    <mergeCell ref="H1200:H1202"/>
    <mergeCell ref="I1200:I1202"/>
    <mergeCell ref="J1200:J1202"/>
    <mergeCell ref="K1200:K1202"/>
    <mergeCell ref="L1200:L1202"/>
    <mergeCell ref="M1200:M1202"/>
    <mergeCell ref="N1200:N1202"/>
    <mergeCell ref="O1200:O1202"/>
    <mergeCell ref="P1200:P1202"/>
    <mergeCell ref="Q1200:Q1202"/>
    <mergeCell ref="E1194:E1196"/>
    <mergeCell ref="F1194:F1196"/>
    <mergeCell ref="G1194:G1196"/>
    <mergeCell ref="H1194:H1196"/>
    <mergeCell ref="I1194:I1196"/>
    <mergeCell ref="J1194:J1196"/>
    <mergeCell ref="K1194:K1196"/>
    <mergeCell ref="L1194:L1196"/>
    <mergeCell ref="M1194:M1196"/>
    <mergeCell ref="N1194:N1196"/>
    <mergeCell ref="O1194:O1196"/>
    <mergeCell ref="P1194:P1196"/>
    <mergeCell ref="Q1194:Q1196"/>
    <mergeCell ref="E1197:E1199"/>
    <mergeCell ref="F1197:F1199"/>
    <mergeCell ref="G1197:G1199"/>
    <mergeCell ref="H1197:H1199"/>
    <mergeCell ref="I1197:I1199"/>
    <mergeCell ref="J1197:J1199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8910" r:id="rId4" name="Control 6382">
          <controlPr defaultSize="0" r:id="rId5">
            <anchor moveWithCells="1">
              <from>
                <xdr:col>9</xdr:col>
                <xdr:colOff>0</xdr:colOff>
                <xdr:row>33</xdr:row>
                <xdr:rowOff>0</xdr:rowOff>
              </from>
              <to>
                <xdr:col>10</xdr:col>
                <xdr:colOff>304800</xdr:colOff>
                <xdr:row>34</xdr:row>
                <xdr:rowOff>38100</xdr:rowOff>
              </to>
            </anchor>
          </controlPr>
        </control>
      </mc:Choice>
      <mc:Fallback>
        <control shapeId="28910" r:id="rId4" name="Control 6382"/>
      </mc:Fallback>
    </mc:AlternateContent>
    <mc:AlternateContent xmlns:mc="http://schemas.openxmlformats.org/markup-compatibility/2006">
      <mc:Choice Requires="x14">
        <control shapeId="28911" r:id="rId6" name="Control 6383">
          <controlPr defaultSize="0" r:id="rId7">
            <anchor moveWithCells="1">
              <from>
                <xdr:col>9</xdr:col>
                <xdr:colOff>0</xdr:colOff>
                <xdr:row>35</xdr:row>
                <xdr:rowOff>0</xdr:rowOff>
              </from>
              <to>
                <xdr:col>10</xdr:col>
                <xdr:colOff>88900</xdr:colOff>
                <xdr:row>36</xdr:row>
                <xdr:rowOff>38100</xdr:rowOff>
              </to>
            </anchor>
          </controlPr>
        </control>
      </mc:Choice>
      <mc:Fallback>
        <control shapeId="28911" r:id="rId6" name="Control 6383"/>
      </mc:Fallback>
    </mc:AlternateContent>
    <mc:AlternateContent xmlns:mc="http://schemas.openxmlformats.org/markup-compatibility/2006">
      <mc:Choice Requires="x14">
        <control shapeId="28912" r:id="rId8" name="Control 6384">
          <controlPr defaultSize="0" r:id="rId9">
            <anchor moveWithCells="1">
              <from>
                <xdr:col>9</xdr:col>
                <xdr:colOff>0</xdr:colOff>
                <xdr:row>37</xdr:row>
                <xdr:rowOff>0</xdr:rowOff>
              </from>
              <to>
                <xdr:col>10</xdr:col>
                <xdr:colOff>527050</xdr:colOff>
                <xdr:row>38</xdr:row>
                <xdr:rowOff>38100</xdr:rowOff>
              </to>
            </anchor>
          </controlPr>
        </control>
      </mc:Choice>
      <mc:Fallback>
        <control shapeId="28912" r:id="rId8" name="Control 6384"/>
      </mc:Fallback>
    </mc:AlternateContent>
    <mc:AlternateContent xmlns:mc="http://schemas.openxmlformats.org/markup-compatibility/2006">
      <mc:Choice Requires="x14">
        <control shapeId="28913" r:id="rId10" name="Control 6385">
          <controlPr defaultSize="0" r:id="rId7">
            <anchor moveWithCells="1">
              <from>
                <xdr:col>9</xdr:col>
                <xdr:colOff>0</xdr:colOff>
                <xdr:row>39</xdr:row>
                <xdr:rowOff>0</xdr:rowOff>
              </from>
              <to>
                <xdr:col>10</xdr:col>
                <xdr:colOff>88900</xdr:colOff>
                <xdr:row>40</xdr:row>
                <xdr:rowOff>38100</xdr:rowOff>
              </to>
            </anchor>
          </controlPr>
        </control>
      </mc:Choice>
      <mc:Fallback>
        <control shapeId="28913" r:id="rId10" name="Control 6385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36A56-56F5-4897-AB9D-F57CA6D6BA0C}">
  <sheetPr codeName="Sheet2"/>
  <dimension ref="A1:X486"/>
  <sheetViews>
    <sheetView topLeftCell="H1" workbookViewId="0">
      <selection activeCell="R6" sqref="R6"/>
    </sheetView>
  </sheetViews>
  <sheetFormatPr defaultRowHeight="14.5" x14ac:dyDescent="0.35"/>
  <cols>
    <col min="1" max="1" width="7.26953125" bestFit="1" customWidth="1"/>
    <col min="2" max="2" width="6.26953125" bestFit="1" customWidth="1"/>
    <col min="3" max="3" width="7.6328125" bestFit="1" customWidth="1"/>
    <col min="4" max="4" width="22.453125" bestFit="1" customWidth="1"/>
    <col min="5" max="5" width="7.7265625" bestFit="1" customWidth="1"/>
    <col min="6" max="6" width="6.7265625" bestFit="1" customWidth="1"/>
    <col min="7" max="7" width="6.08984375" bestFit="1" customWidth="1"/>
    <col min="8" max="8" width="6.7265625" bestFit="1" customWidth="1"/>
    <col min="9" max="9" width="8.26953125" bestFit="1" customWidth="1"/>
    <col min="10" max="10" width="6.08984375" bestFit="1" customWidth="1"/>
    <col min="11" max="11" width="9.453125" bestFit="1" customWidth="1"/>
    <col min="12" max="12" width="6.6328125" bestFit="1" customWidth="1"/>
    <col min="13" max="13" width="9.36328125" bestFit="1" customWidth="1"/>
    <col min="14" max="14" width="12" bestFit="1" customWidth="1"/>
    <col min="15" max="15" width="12" customWidth="1"/>
    <col min="17" max="17" width="4.36328125" bestFit="1" customWidth="1"/>
    <col min="18" max="18" width="12.54296875" bestFit="1" customWidth="1"/>
    <col min="19" max="19" width="8.90625" bestFit="1" customWidth="1"/>
    <col min="20" max="20" width="11.81640625" bestFit="1" customWidth="1"/>
    <col min="22" max="22" width="1.453125" bestFit="1" customWidth="1"/>
    <col min="23" max="24" width="8.7265625" style="22"/>
    <col min="25" max="25" width="8.7265625" customWidth="1"/>
    <col min="33" max="33" width="11.81640625" bestFit="1" customWidth="1"/>
  </cols>
  <sheetData>
    <row r="1" spans="1:24" ht="15" thickBot="1" x14ac:dyDescent="0.4">
      <c r="A1" s="138" t="s">
        <v>36</v>
      </c>
      <c r="B1" s="139" t="s">
        <v>999</v>
      </c>
      <c r="C1" s="139" t="s">
        <v>37</v>
      </c>
      <c r="D1" s="139" t="s">
        <v>35</v>
      </c>
      <c r="E1" s="139" t="s">
        <v>33</v>
      </c>
      <c r="F1" s="139" t="s">
        <v>32</v>
      </c>
      <c r="G1" s="139" t="s">
        <v>38</v>
      </c>
      <c r="H1" s="139" t="s">
        <v>39</v>
      </c>
      <c r="I1" s="139" t="s">
        <v>40</v>
      </c>
      <c r="J1" s="139" t="s">
        <v>41</v>
      </c>
      <c r="K1" s="139" t="s">
        <v>42</v>
      </c>
      <c r="L1" s="139" t="s">
        <v>43</v>
      </c>
      <c r="M1" s="140" t="s">
        <v>44</v>
      </c>
      <c r="N1" s="141" t="s">
        <v>1184</v>
      </c>
      <c r="O1" s="142" t="s">
        <v>1524</v>
      </c>
      <c r="W1" s="84" t="s">
        <v>41</v>
      </c>
      <c r="X1" s="85" t="s">
        <v>42</v>
      </c>
    </row>
    <row r="2" spans="1:24" ht="15.5" thickTop="1" thickBot="1" x14ac:dyDescent="0.4">
      <c r="A2" s="128">
        <v>1</v>
      </c>
      <c r="B2" s="129">
        <v>1</v>
      </c>
      <c r="C2" s="134" t="s">
        <v>45</v>
      </c>
      <c r="D2" s="134" t="s">
        <v>52</v>
      </c>
      <c r="E2" s="134" t="s">
        <v>53</v>
      </c>
      <c r="F2" s="134" t="s">
        <v>48</v>
      </c>
      <c r="G2" s="129">
        <v>13</v>
      </c>
      <c r="H2" s="129">
        <v>1</v>
      </c>
      <c r="I2" s="129">
        <v>4</v>
      </c>
      <c r="J2" s="129">
        <v>1.1000000000000001</v>
      </c>
      <c r="K2" s="129">
        <v>0.4</v>
      </c>
      <c r="L2" s="129">
        <v>1</v>
      </c>
      <c r="M2" s="130">
        <v>0</v>
      </c>
      <c r="N2" s="131">
        <v>1</v>
      </c>
      <c r="O2" s="143" t="s">
        <v>1525</v>
      </c>
      <c r="Q2" s="182" t="s">
        <v>1321</v>
      </c>
      <c r="R2" s="183"/>
      <c r="S2" s="183"/>
      <c r="T2" s="184"/>
      <c r="W2" s="86">
        <f>IF(LEFT(F2,1)="K",J2,0)</f>
        <v>0</v>
      </c>
      <c r="X2" s="87">
        <f>IF(LEFT(F2,1)="K",K2,0)</f>
        <v>0</v>
      </c>
    </row>
    <row r="3" spans="1:24" x14ac:dyDescent="0.35">
      <c r="A3" s="125">
        <v>2</v>
      </c>
      <c r="B3" s="126">
        <v>1</v>
      </c>
      <c r="C3" s="133" t="s">
        <v>45</v>
      </c>
      <c r="D3" s="133" t="s">
        <v>46</v>
      </c>
      <c r="E3" s="133" t="s">
        <v>47</v>
      </c>
      <c r="F3" s="133" t="s">
        <v>51</v>
      </c>
      <c r="G3" s="126">
        <v>11</v>
      </c>
      <c r="H3" s="126">
        <v>1</v>
      </c>
      <c r="I3" s="126">
        <v>5</v>
      </c>
      <c r="J3" s="126">
        <v>2.1</v>
      </c>
      <c r="K3" s="126">
        <v>0.5</v>
      </c>
      <c r="L3" s="126">
        <v>2</v>
      </c>
      <c r="M3" s="127">
        <v>0</v>
      </c>
      <c r="N3" s="132">
        <v>2</v>
      </c>
      <c r="O3" s="144"/>
      <c r="P3" s="82"/>
      <c r="Q3" s="98" t="s">
        <v>32</v>
      </c>
      <c r="R3" s="89" t="s">
        <v>1318</v>
      </c>
      <c r="S3" s="83" t="s">
        <v>1319</v>
      </c>
      <c r="T3" s="88" t="s">
        <v>1320</v>
      </c>
      <c r="W3" s="86">
        <f t="shared" ref="W3:W66" si="0">IF(LEFT(F3,1)="K",J3,0)</f>
        <v>0</v>
      </c>
      <c r="X3" s="87">
        <f t="shared" ref="X3:X66" si="1">IF(LEFT(F3,1)="K",K3,0)</f>
        <v>0</v>
      </c>
    </row>
    <row r="4" spans="1:24" x14ac:dyDescent="0.35">
      <c r="A4" s="128">
        <v>3</v>
      </c>
      <c r="B4" s="129">
        <v>1</v>
      </c>
      <c r="C4" s="134" t="s">
        <v>45</v>
      </c>
      <c r="D4" s="134" t="s">
        <v>49</v>
      </c>
      <c r="E4" s="134" t="s">
        <v>50</v>
      </c>
      <c r="F4" s="134" t="s">
        <v>54</v>
      </c>
      <c r="G4" s="129">
        <v>10</v>
      </c>
      <c r="H4" s="129">
        <v>2</v>
      </c>
      <c r="I4" s="129">
        <v>17</v>
      </c>
      <c r="J4" s="129">
        <v>3.3</v>
      </c>
      <c r="K4" s="129">
        <v>0.9</v>
      </c>
      <c r="L4" s="129">
        <v>3</v>
      </c>
      <c r="M4" s="130">
        <v>0</v>
      </c>
      <c r="N4" s="131">
        <v>3</v>
      </c>
      <c r="O4" s="143"/>
      <c r="P4" s="82"/>
      <c r="Q4" s="97" t="s">
        <v>813</v>
      </c>
      <c r="R4" s="90">
        <f t="array" ref="R4:T4">LINEST(K2:K201,J2:J201^{1,2})</f>
        <v>-4.3580573610728422E-4</v>
      </c>
      <c r="S4" s="80">
        <v>0.25201892467663234</v>
      </c>
      <c r="T4" s="81">
        <v>1.5141190450213857</v>
      </c>
      <c r="U4" s="1" t="s">
        <v>1348</v>
      </c>
      <c r="W4" s="86">
        <f t="shared" si="0"/>
        <v>0</v>
      </c>
      <c r="X4" s="87">
        <f t="shared" si="1"/>
        <v>0</v>
      </c>
    </row>
    <row r="5" spans="1:24" x14ac:dyDescent="0.35">
      <c r="A5" s="125">
        <v>6</v>
      </c>
      <c r="B5" s="126">
        <v>1</v>
      </c>
      <c r="C5" s="133" t="s">
        <v>45</v>
      </c>
      <c r="D5" s="133" t="s">
        <v>101</v>
      </c>
      <c r="E5" s="133" t="s">
        <v>102</v>
      </c>
      <c r="F5" s="133" t="s">
        <v>60</v>
      </c>
      <c r="G5" s="126">
        <v>7</v>
      </c>
      <c r="H5" s="126">
        <v>2</v>
      </c>
      <c r="I5" s="126">
        <v>45</v>
      </c>
      <c r="J5" s="126">
        <v>6.7</v>
      </c>
      <c r="K5" s="126">
        <v>2.8</v>
      </c>
      <c r="L5" s="126">
        <v>7</v>
      </c>
      <c r="M5" s="127">
        <v>1</v>
      </c>
      <c r="N5" s="132">
        <v>4</v>
      </c>
      <c r="O5" s="144"/>
      <c r="P5" s="82"/>
      <c r="Q5" s="91" t="s">
        <v>3</v>
      </c>
      <c r="R5" s="91">
        <v>9.1725573135687374E-6</v>
      </c>
      <c r="S5" s="92">
        <v>0.17739994788486768</v>
      </c>
      <c r="T5" s="93">
        <v>2.3870631663226761E-2</v>
      </c>
      <c r="U5" s="1" t="s">
        <v>1349</v>
      </c>
      <c r="W5" s="86">
        <f t="shared" si="0"/>
        <v>0</v>
      </c>
      <c r="X5" s="87">
        <f t="shared" si="1"/>
        <v>0</v>
      </c>
    </row>
    <row r="6" spans="1:24" x14ac:dyDescent="0.35">
      <c r="A6" s="125">
        <v>4</v>
      </c>
      <c r="B6" s="126">
        <v>1</v>
      </c>
      <c r="C6" s="133" t="s">
        <v>45</v>
      </c>
      <c r="D6" s="133" t="s">
        <v>55</v>
      </c>
      <c r="E6" s="133" t="s">
        <v>56</v>
      </c>
      <c r="F6" s="133" t="s">
        <v>57</v>
      </c>
      <c r="G6" s="126">
        <v>6</v>
      </c>
      <c r="H6" s="126">
        <v>2</v>
      </c>
      <c r="I6" s="126">
        <v>13</v>
      </c>
      <c r="J6" s="126">
        <v>4.5999999999999996</v>
      </c>
      <c r="K6" s="126">
        <v>1.4</v>
      </c>
      <c r="L6" s="126">
        <v>5</v>
      </c>
      <c r="M6" s="127">
        <v>1</v>
      </c>
      <c r="N6" s="132">
        <v>5</v>
      </c>
      <c r="O6" s="144"/>
      <c r="P6" s="82"/>
      <c r="Q6" s="91" t="s">
        <v>4</v>
      </c>
      <c r="R6" s="26">
        <v>-7.1029626453090501E-4</v>
      </c>
      <c r="S6" s="92">
        <v>0.34435824862969444</v>
      </c>
      <c r="T6" s="93">
        <v>2.8375937729419043E-2</v>
      </c>
      <c r="U6" s="1" t="s">
        <v>1348</v>
      </c>
      <c r="W6" s="86">
        <f t="shared" si="0"/>
        <v>0</v>
      </c>
      <c r="X6" s="87">
        <f t="shared" si="1"/>
        <v>0</v>
      </c>
    </row>
    <row r="7" spans="1:24" x14ac:dyDescent="0.35">
      <c r="A7" s="128">
        <v>5</v>
      </c>
      <c r="B7" s="129">
        <v>1</v>
      </c>
      <c r="C7" s="134" t="s">
        <v>45</v>
      </c>
      <c r="D7" s="134" t="s">
        <v>90</v>
      </c>
      <c r="E7" s="134" t="s">
        <v>56</v>
      </c>
      <c r="F7" s="134" t="s">
        <v>63</v>
      </c>
      <c r="G7" s="129">
        <v>6</v>
      </c>
      <c r="H7" s="129">
        <v>3</v>
      </c>
      <c r="I7" s="129">
        <v>14</v>
      </c>
      <c r="J7" s="129">
        <v>6.5</v>
      </c>
      <c r="K7" s="129">
        <v>2.2999999999999998</v>
      </c>
      <c r="L7" s="129">
        <v>4</v>
      </c>
      <c r="M7" s="130">
        <v>-1</v>
      </c>
      <c r="N7" s="131">
        <v>6</v>
      </c>
      <c r="O7" s="143"/>
      <c r="P7" s="82"/>
      <c r="Q7" s="91" t="s">
        <v>5</v>
      </c>
      <c r="R7" s="26">
        <v>-6.2487895812762622E-4</v>
      </c>
      <c r="S7" s="92">
        <v>0.29005326904056844</v>
      </c>
      <c r="T7" s="93">
        <v>-9.3555924760812648E-2</v>
      </c>
      <c r="U7" s="1" t="s">
        <v>1348</v>
      </c>
      <c r="W7" s="86">
        <f t="shared" si="0"/>
        <v>0</v>
      </c>
      <c r="X7" s="87">
        <f t="shared" si="1"/>
        <v>0</v>
      </c>
    </row>
    <row r="8" spans="1:24" x14ac:dyDescent="0.35">
      <c r="A8" s="128">
        <v>7</v>
      </c>
      <c r="B8" s="129">
        <v>2</v>
      </c>
      <c r="C8" s="134" t="s">
        <v>45</v>
      </c>
      <c r="D8" s="134" t="s">
        <v>121</v>
      </c>
      <c r="E8" s="134" t="s">
        <v>122</v>
      </c>
      <c r="F8" s="134" t="s">
        <v>69</v>
      </c>
      <c r="G8" s="129">
        <v>7</v>
      </c>
      <c r="H8" s="129">
        <v>2</v>
      </c>
      <c r="I8" s="129">
        <v>44</v>
      </c>
      <c r="J8" s="129">
        <v>8.1999999999999993</v>
      </c>
      <c r="K8" s="129">
        <v>3.9</v>
      </c>
      <c r="L8" s="129">
        <v>6</v>
      </c>
      <c r="M8" s="130">
        <v>-1</v>
      </c>
      <c r="N8" s="131">
        <v>7</v>
      </c>
      <c r="O8" s="143"/>
      <c r="P8" s="82"/>
      <c r="Q8" s="91" t="s">
        <v>7</v>
      </c>
      <c r="R8" s="26">
        <v>-9.235369319380264E-4</v>
      </c>
      <c r="S8" s="92">
        <v>0.3433638211323457</v>
      </c>
      <c r="T8" s="93">
        <v>-4.801046412326393E-2</v>
      </c>
      <c r="U8" s="1" t="s">
        <v>1348</v>
      </c>
      <c r="W8" s="86">
        <f t="shared" si="0"/>
        <v>0</v>
      </c>
      <c r="X8" s="87">
        <f t="shared" si="1"/>
        <v>0</v>
      </c>
    </row>
    <row r="9" spans="1:24" x14ac:dyDescent="0.35">
      <c r="A9" s="128">
        <v>15</v>
      </c>
      <c r="B9" s="129">
        <v>3</v>
      </c>
      <c r="C9" s="134" t="s">
        <v>45</v>
      </c>
      <c r="D9" s="134" t="s">
        <v>1246</v>
      </c>
      <c r="E9" s="134" t="s">
        <v>88</v>
      </c>
      <c r="F9" s="134" t="s">
        <v>93</v>
      </c>
      <c r="G9" s="129">
        <v>10</v>
      </c>
      <c r="H9" s="129">
        <v>4</v>
      </c>
      <c r="I9" s="129">
        <v>54</v>
      </c>
      <c r="J9" s="129">
        <v>12.2</v>
      </c>
      <c r="K9" s="129">
        <v>8.3000000000000007</v>
      </c>
      <c r="L9" s="129">
        <v>23</v>
      </c>
      <c r="M9" s="130">
        <v>8</v>
      </c>
      <c r="N9" s="131">
        <v>8</v>
      </c>
      <c r="O9" s="143"/>
      <c r="P9" s="82"/>
      <c r="Q9" s="91" t="s">
        <v>8</v>
      </c>
      <c r="R9" s="91">
        <v>-2.2051132064966874E-4</v>
      </c>
      <c r="S9" s="92">
        <v>0.19225476379010301</v>
      </c>
      <c r="T9" s="93">
        <v>-3.4265616025026535E-3</v>
      </c>
      <c r="U9" s="1" t="s">
        <v>1349</v>
      </c>
      <c r="W9" s="86">
        <f t="shared" si="0"/>
        <v>0</v>
      </c>
      <c r="X9" s="87">
        <f t="shared" si="1"/>
        <v>0</v>
      </c>
    </row>
    <row r="10" spans="1:24" ht="15" thickBot="1" x14ac:dyDescent="0.4">
      <c r="A10" s="125">
        <v>12</v>
      </c>
      <c r="B10" s="126">
        <v>2</v>
      </c>
      <c r="C10" s="133" t="s">
        <v>45</v>
      </c>
      <c r="D10" s="133" t="s">
        <v>341</v>
      </c>
      <c r="E10" s="133" t="s">
        <v>134</v>
      </c>
      <c r="F10" s="133" t="s">
        <v>75</v>
      </c>
      <c r="G10" s="126">
        <v>9</v>
      </c>
      <c r="H10" s="126">
        <v>6</v>
      </c>
      <c r="I10" s="126">
        <v>46</v>
      </c>
      <c r="J10" s="126">
        <v>14.8</v>
      </c>
      <c r="K10" s="126">
        <v>6.5</v>
      </c>
      <c r="L10" s="126">
        <v>22</v>
      </c>
      <c r="M10" s="127">
        <v>10</v>
      </c>
      <c r="N10" s="132">
        <v>9</v>
      </c>
      <c r="O10" s="144"/>
      <c r="P10" s="82"/>
      <c r="Q10" s="94" t="s">
        <v>9</v>
      </c>
      <c r="R10" s="94">
        <v>-7.2843110143662346E-5</v>
      </c>
      <c r="S10" s="95">
        <v>0.13665191241759919</v>
      </c>
      <c r="T10" s="96">
        <v>5.4482432687330551E-4</v>
      </c>
      <c r="U10" s="1" t="s">
        <v>1349</v>
      </c>
      <c r="W10" s="86">
        <f t="shared" si="0"/>
        <v>0</v>
      </c>
      <c r="X10" s="87">
        <f t="shared" si="1"/>
        <v>0</v>
      </c>
    </row>
    <row r="11" spans="1:24" ht="15" thickTop="1" x14ac:dyDescent="0.35">
      <c r="A11" s="125">
        <v>14</v>
      </c>
      <c r="B11" s="126">
        <v>3</v>
      </c>
      <c r="C11" s="133" t="s">
        <v>45</v>
      </c>
      <c r="D11" s="133" t="s">
        <v>204</v>
      </c>
      <c r="E11" s="133" t="s">
        <v>1222</v>
      </c>
      <c r="F11" s="133" t="s">
        <v>83</v>
      </c>
      <c r="G11" s="126">
        <v>6</v>
      </c>
      <c r="H11" s="126">
        <v>2</v>
      </c>
      <c r="I11" s="126">
        <v>46</v>
      </c>
      <c r="J11" s="126">
        <v>17.3</v>
      </c>
      <c r="K11" s="126">
        <v>7.1</v>
      </c>
      <c r="L11" s="126">
        <v>17</v>
      </c>
      <c r="M11" s="127">
        <v>3</v>
      </c>
      <c r="N11" s="132">
        <v>10</v>
      </c>
      <c r="O11" s="144"/>
      <c r="Q11" s="176" t="s">
        <v>1350</v>
      </c>
      <c r="R11" s="177"/>
      <c r="S11" s="177"/>
      <c r="T11" s="178"/>
      <c r="W11" s="86">
        <f t="shared" si="0"/>
        <v>0</v>
      </c>
      <c r="X11" s="87">
        <f t="shared" si="1"/>
        <v>0</v>
      </c>
    </row>
    <row r="12" spans="1:24" ht="15" thickBot="1" x14ac:dyDescent="0.4">
      <c r="A12" s="128">
        <v>13</v>
      </c>
      <c r="B12" s="129">
        <v>3</v>
      </c>
      <c r="C12" s="134" t="s">
        <v>45</v>
      </c>
      <c r="D12" s="134" t="s">
        <v>92</v>
      </c>
      <c r="E12" s="134" t="s">
        <v>85</v>
      </c>
      <c r="F12" s="134" t="s">
        <v>81</v>
      </c>
      <c r="G12" s="129">
        <v>9</v>
      </c>
      <c r="H12" s="129">
        <v>5</v>
      </c>
      <c r="I12" s="129">
        <v>52</v>
      </c>
      <c r="J12" s="129">
        <v>17.100000000000001</v>
      </c>
      <c r="K12" s="129">
        <v>7.5</v>
      </c>
      <c r="L12" s="129">
        <v>13</v>
      </c>
      <c r="M12" s="130">
        <v>0</v>
      </c>
      <c r="N12" s="131">
        <v>11</v>
      </c>
      <c r="O12" s="143"/>
      <c r="Q12" s="179"/>
      <c r="R12" s="180"/>
      <c r="S12" s="180"/>
      <c r="T12" s="181"/>
      <c r="W12" s="86">
        <f t="shared" si="0"/>
        <v>0</v>
      </c>
      <c r="X12" s="87">
        <f t="shared" si="1"/>
        <v>0</v>
      </c>
    </row>
    <row r="13" spans="1:24" ht="15" thickTop="1" x14ac:dyDescent="0.35">
      <c r="A13" s="128">
        <v>9</v>
      </c>
      <c r="B13" s="129">
        <v>2</v>
      </c>
      <c r="C13" s="134" t="s">
        <v>45</v>
      </c>
      <c r="D13" s="134" t="s">
        <v>79</v>
      </c>
      <c r="E13" s="134" t="s">
        <v>80</v>
      </c>
      <c r="F13" s="134" t="s">
        <v>72</v>
      </c>
      <c r="G13" s="129">
        <v>9</v>
      </c>
      <c r="H13" s="129">
        <v>4</v>
      </c>
      <c r="I13" s="129">
        <v>29</v>
      </c>
      <c r="J13" s="129">
        <v>12.5</v>
      </c>
      <c r="K13" s="129">
        <v>6.5</v>
      </c>
      <c r="L13" s="129">
        <v>9</v>
      </c>
      <c r="M13" s="130">
        <v>0</v>
      </c>
      <c r="N13" s="131">
        <v>12</v>
      </c>
      <c r="O13" s="143"/>
      <c r="W13" s="86">
        <f t="shared" si="0"/>
        <v>0</v>
      </c>
      <c r="X13" s="87">
        <f t="shared" si="1"/>
        <v>0</v>
      </c>
    </row>
    <row r="14" spans="1:24" x14ac:dyDescent="0.35">
      <c r="A14" s="128">
        <v>17</v>
      </c>
      <c r="B14" s="129">
        <v>3</v>
      </c>
      <c r="C14" s="134" t="s">
        <v>45</v>
      </c>
      <c r="D14" s="134" t="s">
        <v>178</v>
      </c>
      <c r="E14" s="134" t="s">
        <v>68</v>
      </c>
      <c r="F14" s="134" t="s">
        <v>103</v>
      </c>
      <c r="G14" s="129">
        <v>8</v>
      </c>
      <c r="H14" s="129">
        <v>8</v>
      </c>
      <c r="I14" s="129">
        <v>59</v>
      </c>
      <c r="J14" s="129">
        <v>17.899999999999999</v>
      </c>
      <c r="K14" s="129">
        <v>8.6</v>
      </c>
      <c r="L14" s="129">
        <v>15</v>
      </c>
      <c r="M14" s="130">
        <v>-2</v>
      </c>
      <c r="N14" s="131">
        <v>13</v>
      </c>
      <c r="O14" s="143"/>
      <c r="W14" s="86">
        <f t="shared" si="0"/>
        <v>0</v>
      </c>
      <c r="X14" s="87">
        <f t="shared" si="1"/>
        <v>0</v>
      </c>
    </row>
    <row r="15" spans="1:24" x14ac:dyDescent="0.35">
      <c r="A15" s="128">
        <v>21</v>
      </c>
      <c r="B15" s="129">
        <v>3</v>
      </c>
      <c r="C15" s="134" t="s">
        <v>45</v>
      </c>
      <c r="D15" s="134" t="s">
        <v>131</v>
      </c>
      <c r="E15" s="134" t="s">
        <v>65</v>
      </c>
      <c r="F15" s="134" t="s">
        <v>113</v>
      </c>
      <c r="G15" s="129">
        <v>5</v>
      </c>
      <c r="H15" s="129">
        <v>7</v>
      </c>
      <c r="I15" s="129">
        <v>50</v>
      </c>
      <c r="J15" s="129">
        <v>21.8</v>
      </c>
      <c r="K15" s="129">
        <v>6.5</v>
      </c>
      <c r="L15" s="129">
        <v>19</v>
      </c>
      <c r="M15" s="130">
        <v>-2</v>
      </c>
      <c r="N15" s="131">
        <v>14</v>
      </c>
      <c r="O15" s="143"/>
      <c r="W15" s="86">
        <f t="shared" si="0"/>
        <v>0</v>
      </c>
      <c r="X15" s="87">
        <f t="shared" si="1"/>
        <v>0</v>
      </c>
    </row>
    <row r="16" spans="1:24" x14ac:dyDescent="0.35">
      <c r="A16" s="125">
        <v>22</v>
      </c>
      <c r="B16" s="126">
        <v>3</v>
      </c>
      <c r="C16" s="133" t="s">
        <v>45</v>
      </c>
      <c r="D16" s="133" t="s">
        <v>322</v>
      </c>
      <c r="E16" s="133" t="s">
        <v>59</v>
      </c>
      <c r="F16" s="133" t="s">
        <v>120</v>
      </c>
      <c r="G16" s="126">
        <v>10</v>
      </c>
      <c r="H16" s="126">
        <v>4</v>
      </c>
      <c r="I16" s="126">
        <v>48</v>
      </c>
      <c r="J16" s="126">
        <v>22</v>
      </c>
      <c r="K16" s="126">
        <v>7.4</v>
      </c>
      <c r="L16" s="126">
        <v>24</v>
      </c>
      <c r="M16" s="127">
        <v>2</v>
      </c>
      <c r="N16" s="132">
        <v>15</v>
      </c>
      <c r="O16" s="144"/>
      <c r="W16" s="86">
        <f t="shared" si="0"/>
        <v>0</v>
      </c>
      <c r="X16" s="87">
        <f t="shared" si="1"/>
        <v>0</v>
      </c>
    </row>
    <row r="17" spans="1:24" x14ac:dyDescent="0.35">
      <c r="A17" s="125">
        <v>8</v>
      </c>
      <c r="B17" s="126">
        <v>2</v>
      </c>
      <c r="C17" s="133" t="s">
        <v>45</v>
      </c>
      <c r="D17" s="133" t="s">
        <v>64</v>
      </c>
      <c r="E17" s="133" t="s">
        <v>65</v>
      </c>
      <c r="F17" s="133" t="s">
        <v>66</v>
      </c>
      <c r="G17" s="126">
        <v>5</v>
      </c>
      <c r="H17" s="126">
        <v>3</v>
      </c>
      <c r="I17" s="126">
        <v>20</v>
      </c>
      <c r="J17" s="126">
        <v>9.5</v>
      </c>
      <c r="K17" s="126">
        <v>2.7</v>
      </c>
      <c r="L17" s="126">
        <v>8</v>
      </c>
      <c r="M17" s="127">
        <v>0</v>
      </c>
      <c r="N17" s="132">
        <v>16</v>
      </c>
      <c r="O17" s="144"/>
      <c r="W17" s="86">
        <f t="shared" si="0"/>
        <v>0</v>
      </c>
      <c r="X17" s="87">
        <f t="shared" si="1"/>
        <v>0</v>
      </c>
    </row>
    <row r="18" spans="1:24" x14ac:dyDescent="0.35">
      <c r="A18" s="125">
        <v>10</v>
      </c>
      <c r="B18" s="126">
        <v>2</v>
      </c>
      <c r="C18" s="133" t="s">
        <v>45</v>
      </c>
      <c r="D18" s="133" t="s">
        <v>469</v>
      </c>
      <c r="E18" s="133" t="s">
        <v>88</v>
      </c>
      <c r="F18" s="133" t="s">
        <v>78</v>
      </c>
      <c r="G18" s="126">
        <v>10</v>
      </c>
      <c r="H18" s="126">
        <v>6</v>
      </c>
      <c r="I18" s="126">
        <v>24</v>
      </c>
      <c r="J18" s="126">
        <v>12.5</v>
      </c>
      <c r="K18" s="126">
        <v>2.7</v>
      </c>
      <c r="L18" s="126">
        <v>10</v>
      </c>
      <c r="M18" s="127">
        <v>0</v>
      </c>
      <c r="N18" s="132">
        <v>17</v>
      </c>
      <c r="O18" s="144"/>
      <c r="W18" s="86">
        <f t="shared" si="0"/>
        <v>0</v>
      </c>
      <c r="X18" s="87">
        <f t="shared" si="1"/>
        <v>0</v>
      </c>
    </row>
    <row r="19" spans="1:24" x14ac:dyDescent="0.35">
      <c r="A19" s="128">
        <v>11</v>
      </c>
      <c r="B19" s="129">
        <v>2</v>
      </c>
      <c r="C19" s="134" t="s">
        <v>45</v>
      </c>
      <c r="D19" s="134" t="s">
        <v>76</v>
      </c>
      <c r="E19" s="134" t="s">
        <v>77</v>
      </c>
      <c r="F19" s="134" t="s">
        <v>86</v>
      </c>
      <c r="G19" s="129">
        <v>10</v>
      </c>
      <c r="H19" s="129">
        <v>6</v>
      </c>
      <c r="I19" s="129">
        <v>24</v>
      </c>
      <c r="J19" s="129">
        <v>12.7</v>
      </c>
      <c r="K19" s="129">
        <v>2.9</v>
      </c>
      <c r="L19" s="129">
        <v>12</v>
      </c>
      <c r="M19" s="130">
        <v>1</v>
      </c>
      <c r="N19" s="131">
        <v>18</v>
      </c>
      <c r="O19" s="143"/>
      <c r="W19" s="86">
        <f t="shared" si="0"/>
        <v>0</v>
      </c>
      <c r="X19" s="87">
        <f t="shared" si="1"/>
        <v>0</v>
      </c>
    </row>
    <row r="20" spans="1:24" x14ac:dyDescent="0.35">
      <c r="A20" s="125">
        <v>16</v>
      </c>
      <c r="B20" s="126">
        <v>3</v>
      </c>
      <c r="C20" s="133" t="s">
        <v>45</v>
      </c>
      <c r="D20" s="133" t="s">
        <v>61</v>
      </c>
      <c r="E20" s="133" t="s">
        <v>68</v>
      </c>
      <c r="F20" s="133" t="s">
        <v>91</v>
      </c>
      <c r="G20" s="126">
        <v>8</v>
      </c>
      <c r="H20" s="126">
        <v>8</v>
      </c>
      <c r="I20" s="126">
        <v>31</v>
      </c>
      <c r="J20" s="126">
        <v>17.600000000000001</v>
      </c>
      <c r="K20" s="126">
        <v>5</v>
      </c>
      <c r="L20" s="126">
        <v>11</v>
      </c>
      <c r="M20" s="127">
        <v>-5</v>
      </c>
      <c r="N20" s="132">
        <v>19</v>
      </c>
      <c r="O20" s="144"/>
      <c r="W20" s="86">
        <f t="shared" si="0"/>
        <v>0</v>
      </c>
      <c r="X20" s="87">
        <f t="shared" si="1"/>
        <v>0</v>
      </c>
    </row>
    <row r="21" spans="1:24" x14ac:dyDescent="0.35">
      <c r="A21" s="128">
        <v>19</v>
      </c>
      <c r="B21" s="129">
        <v>3</v>
      </c>
      <c r="C21" s="134" t="s">
        <v>45</v>
      </c>
      <c r="D21" s="134" t="s">
        <v>87</v>
      </c>
      <c r="E21" s="134" t="s">
        <v>88</v>
      </c>
      <c r="F21" s="134" t="s">
        <v>89</v>
      </c>
      <c r="G21" s="129">
        <v>10</v>
      </c>
      <c r="H21" s="129">
        <v>11</v>
      </c>
      <c r="I21" s="129">
        <v>34</v>
      </c>
      <c r="J21" s="129">
        <v>18.2</v>
      </c>
      <c r="K21" s="129">
        <v>3.4</v>
      </c>
      <c r="L21" s="129">
        <v>14</v>
      </c>
      <c r="M21" s="130">
        <v>-5</v>
      </c>
      <c r="N21" s="131">
        <v>20</v>
      </c>
      <c r="O21" s="143"/>
      <c r="W21" s="86">
        <f t="shared" si="0"/>
        <v>0</v>
      </c>
      <c r="X21" s="87">
        <f t="shared" si="1"/>
        <v>0</v>
      </c>
    </row>
    <row r="22" spans="1:24" x14ac:dyDescent="0.35">
      <c r="A22" s="125">
        <v>18</v>
      </c>
      <c r="B22" s="126">
        <v>3</v>
      </c>
      <c r="C22" s="133" t="s">
        <v>45</v>
      </c>
      <c r="D22" s="133" t="s">
        <v>167</v>
      </c>
      <c r="E22" s="133" t="s">
        <v>105</v>
      </c>
      <c r="F22" s="133" t="s">
        <v>95</v>
      </c>
      <c r="G22" s="126">
        <v>13</v>
      </c>
      <c r="H22" s="126">
        <v>9</v>
      </c>
      <c r="I22" s="126">
        <v>46</v>
      </c>
      <c r="J22" s="126">
        <v>18.100000000000001</v>
      </c>
      <c r="K22" s="126">
        <v>5</v>
      </c>
      <c r="L22" s="126">
        <v>18</v>
      </c>
      <c r="M22" s="127">
        <v>0</v>
      </c>
      <c r="N22" s="132">
        <v>21</v>
      </c>
      <c r="O22" s="144"/>
      <c r="W22" s="86">
        <f t="shared" si="0"/>
        <v>0</v>
      </c>
      <c r="X22" s="87">
        <f t="shared" si="1"/>
        <v>0</v>
      </c>
    </row>
    <row r="23" spans="1:24" x14ac:dyDescent="0.35">
      <c r="A23" s="128">
        <v>25</v>
      </c>
      <c r="B23" s="129">
        <v>4</v>
      </c>
      <c r="C23" s="134" t="s">
        <v>45</v>
      </c>
      <c r="D23" s="134" t="s">
        <v>104</v>
      </c>
      <c r="E23" s="134" t="s">
        <v>105</v>
      </c>
      <c r="F23" s="134" t="s">
        <v>109</v>
      </c>
      <c r="G23" s="129">
        <v>13</v>
      </c>
      <c r="H23" s="129">
        <v>15</v>
      </c>
      <c r="I23" s="129">
        <v>72</v>
      </c>
      <c r="J23" s="129">
        <v>28.1</v>
      </c>
      <c r="K23" s="129">
        <v>7</v>
      </c>
      <c r="L23" s="129">
        <v>26</v>
      </c>
      <c r="M23" s="130">
        <v>1</v>
      </c>
      <c r="N23" s="131">
        <v>22</v>
      </c>
      <c r="O23" s="143"/>
      <c r="W23" s="86">
        <f t="shared" si="0"/>
        <v>0</v>
      </c>
      <c r="X23" s="87">
        <f t="shared" si="1"/>
        <v>0</v>
      </c>
    </row>
    <row r="24" spans="1:24" x14ac:dyDescent="0.35">
      <c r="A24" s="125">
        <v>20</v>
      </c>
      <c r="B24" s="126">
        <v>3</v>
      </c>
      <c r="C24" s="133" t="s">
        <v>45</v>
      </c>
      <c r="D24" s="133" t="s">
        <v>96</v>
      </c>
      <c r="E24" s="133" t="s">
        <v>97</v>
      </c>
      <c r="F24" s="133" t="s">
        <v>98</v>
      </c>
      <c r="G24" s="126">
        <v>11</v>
      </c>
      <c r="H24" s="126">
        <v>8</v>
      </c>
      <c r="I24" s="126">
        <v>49</v>
      </c>
      <c r="J24" s="126">
        <v>21.4</v>
      </c>
      <c r="K24" s="126">
        <v>5.9</v>
      </c>
      <c r="L24" s="126">
        <v>21</v>
      </c>
      <c r="M24" s="127">
        <v>1</v>
      </c>
      <c r="N24" s="132">
        <v>23</v>
      </c>
      <c r="O24" s="144"/>
      <c r="W24" s="86">
        <f t="shared" si="0"/>
        <v>0</v>
      </c>
      <c r="X24" s="87">
        <f t="shared" si="1"/>
        <v>0</v>
      </c>
    </row>
    <row r="25" spans="1:24" x14ac:dyDescent="0.35">
      <c r="A25" s="128">
        <v>23</v>
      </c>
      <c r="B25" s="129">
        <v>3</v>
      </c>
      <c r="C25" s="134" t="s">
        <v>45</v>
      </c>
      <c r="D25" s="134" t="s">
        <v>143</v>
      </c>
      <c r="E25" s="134" t="s">
        <v>144</v>
      </c>
      <c r="F25" s="134" t="s">
        <v>100</v>
      </c>
      <c r="G25" s="129">
        <v>5</v>
      </c>
      <c r="H25" s="129">
        <v>9</v>
      </c>
      <c r="I25" s="129">
        <v>42</v>
      </c>
      <c r="J25" s="129">
        <v>22.7</v>
      </c>
      <c r="K25" s="129">
        <v>5.4</v>
      </c>
      <c r="L25" s="129">
        <v>25</v>
      </c>
      <c r="M25" s="130">
        <v>2</v>
      </c>
      <c r="N25" s="131">
        <v>24</v>
      </c>
      <c r="O25" s="143"/>
      <c r="W25" s="86">
        <f t="shared" si="0"/>
        <v>0</v>
      </c>
      <c r="X25" s="87">
        <f t="shared" si="1"/>
        <v>0</v>
      </c>
    </row>
    <row r="26" spans="1:24" x14ac:dyDescent="0.35">
      <c r="A26" s="125">
        <v>28</v>
      </c>
      <c r="B26" s="126">
        <v>4</v>
      </c>
      <c r="C26" s="133" t="s">
        <v>45</v>
      </c>
      <c r="D26" s="133" t="s">
        <v>1061</v>
      </c>
      <c r="E26" s="133" t="s">
        <v>53</v>
      </c>
      <c r="F26" s="133" t="s">
        <v>111</v>
      </c>
      <c r="G26" s="126">
        <v>13</v>
      </c>
      <c r="H26" s="126">
        <v>11</v>
      </c>
      <c r="I26" s="126">
        <v>74</v>
      </c>
      <c r="J26" s="126">
        <v>31.2</v>
      </c>
      <c r="K26" s="126">
        <v>8.6</v>
      </c>
      <c r="L26" s="126">
        <v>33</v>
      </c>
      <c r="M26" s="127">
        <v>5</v>
      </c>
      <c r="N26" s="132">
        <v>25</v>
      </c>
      <c r="O26" s="144"/>
      <c r="W26" s="86">
        <f t="shared" si="0"/>
        <v>0</v>
      </c>
      <c r="X26" s="87">
        <f t="shared" si="1"/>
        <v>0</v>
      </c>
    </row>
    <row r="27" spans="1:24" x14ac:dyDescent="0.35">
      <c r="A27" s="125">
        <v>32</v>
      </c>
      <c r="B27" s="126">
        <v>4</v>
      </c>
      <c r="C27" s="133" t="s">
        <v>45</v>
      </c>
      <c r="D27" s="133" t="s">
        <v>127</v>
      </c>
      <c r="E27" s="133" t="s">
        <v>102</v>
      </c>
      <c r="F27" s="133" t="s">
        <v>130</v>
      </c>
      <c r="G27" s="126">
        <v>7</v>
      </c>
      <c r="H27" s="126">
        <v>17</v>
      </c>
      <c r="I27" s="126">
        <v>74</v>
      </c>
      <c r="J27" s="126">
        <v>33.700000000000003</v>
      </c>
      <c r="K27" s="126">
        <v>9.8000000000000007</v>
      </c>
      <c r="L27" s="126">
        <v>30</v>
      </c>
      <c r="M27" s="127">
        <v>-2</v>
      </c>
      <c r="N27" s="132">
        <v>26</v>
      </c>
      <c r="O27" s="144"/>
      <c r="W27" s="86">
        <f t="shared" si="0"/>
        <v>0</v>
      </c>
      <c r="X27" s="87">
        <f t="shared" si="1"/>
        <v>0</v>
      </c>
    </row>
    <row r="28" spans="1:24" x14ac:dyDescent="0.35">
      <c r="A28" s="128">
        <v>29</v>
      </c>
      <c r="B28" s="129">
        <v>4</v>
      </c>
      <c r="C28" s="134" t="s">
        <v>45</v>
      </c>
      <c r="D28" s="134" t="s">
        <v>116</v>
      </c>
      <c r="E28" s="134" t="s">
        <v>50</v>
      </c>
      <c r="F28" s="134" t="s">
        <v>115</v>
      </c>
      <c r="G28" s="129">
        <v>10</v>
      </c>
      <c r="H28" s="129">
        <v>15</v>
      </c>
      <c r="I28" s="129">
        <v>51</v>
      </c>
      <c r="J28" s="129">
        <v>31.4</v>
      </c>
      <c r="K28" s="129">
        <v>7.8</v>
      </c>
      <c r="L28" s="129">
        <v>31</v>
      </c>
      <c r="M28" s="130">
        <v>2</v>
      </c>
      <c r="N28" s="131">
        <v>27</v>
      </c>
      <c r="O28" s="143"/>
      <c r="W28" s="86">
        <f t="shared" si="0"/>
        <v>0</v>
      </c>
      <c r="X28" s="87">
        <f t="shared" si="1"/>
        <v>0</v>
      </c>
    </row>
    <row r="29" spans="1:24" x14ac:dyDescent="0.35">
      <c r="A29" s="125">
        <v>24</v>
      </c>
      <c r="B29" s="126">
        <v>3</v>
      </c>
      <c r="C29" s="133" t="s">
        <v>45</v>
      </c>
      <c r="D29" s="133" t="s">
        <v>1383</v>
      </c>
      <c r="E29" s="133" t="s">
        <v>174</v>
      </c>
      <c r="F29" s="133" t="s">
        <v>106</v>
      </c>
      <c r="G29" s="126">
        <v>11</v>
      </c>
      <c r="H29" s="126">
        <v>13</v>
      </c>
      <c r="I29" s="126">
        <v>73</v>
      </c>
      <c r="J29" s="126">
        <v>26.6</v>
      </c>
      <c r="K29" s="126">
        <v>6.8</v>
      </c>
      <c r="L29" s="126">
        <v>28</v>
      </c>
      <c r="M29" s="127">
        <v>4</v>
      </c>
      <c r="N29" s="132">
        <v>28</v>
      </c>
      <c r="O29" s="144"/>
      <c r="W29" s="86">
        <f t="shared" si="0"/>
        <v>0</v>
      </c>
      <c r="X29" s="87">
        <f t="shared" si="1"/>
        <v>0</v>
      </c>
    </row>
    <row r="30" spans="1:24" x14ac:dyDescent="0.35">
      <c r="A30" s="128">
        <v>31</v>
      </c>
      <c r="B30" s="129">
        <v>4</v>
      </c>
      <c r="C30" s="134" t="s">
        <v>45</v>
      </c>
      <c r="D30" s="134" t="s">
        <v>84</v>
      </c>
      <c r="E30" s="134" t="s">
        <v>85</v>
      </c>
      <c r="F30" s="134" t="s">
        <v>128</v>
      </c>
      <c r="G30" s="129">
        <v>9</v>
      </c>
      <c r="H30" s="129">
        <v>12</v>
      </c>
      <c r="I30" s="129">
        <v>72</v>
      </c>
      <c r="J30" s="129">
        <v>32.5</v>
      </c>
      <c r="K30" s="129">
        <v>6.7</v>
      </c>
      <c r="L30" s="129">
        <v>27</v>
      </c>
      <c r="M30" s="130">
        <v>-4</v>
      </c>
      <c r="N30" s="131">
        <v>29</v>
      </c>
      <c r="O30" s="143"/>
      <c r="W30" s="86">
        <f t="shared" si="0"/>
        <v>0</v>
      </c>
      <c r="X30" s="87">
        <f t="shared" si="1"/>
        <v>0</v>
      </c>
    </row>
    <row r="31" spans="1:24" x14ac:dyDescent="0.35">
      <c r="A31" s="125">
        <v>30</v>
      </c>
      <c r="B31" s="126">
        <v>4</v>
      </c>
      <c r="C31" s="133" t="s">
        <v>45</v>
      </c>
      <c r="D31" s="133" t="s">
        <v>94</v>
      </c>
      <c r="E31" s="133" t="s">
        <v>74</v>
      </c>
      <c r="F31" s="133" t="s">
        <v>117</v>
      </c>
      <c r="G31" s="126">
        <v>8</v>
      </c>
      <c r="H31" s="126">
        <v>8</v>
      </c>
      <c r="I31" s="126">
        <v>73</v>
      </c>
      <c r="J31" s="126">
        <v>31.8</v>
      </c>
      <c r="K31" s="126">
        <v>8.1</v>
      </c>
      <c r="L31" s="126">
        <v>32</v>
      </c>
      <c r="M31" s="127">
        <v>2</v>
      </c>
      <c r="N31" s="132">
        <v>30</v>
      </c>
      <c r="O31" s="144"/>
      <c r="W31" s="86">
        <f t="shared" si="0"/>
        <v>0</v>
      </c>
      <c r="X31" s="87">
        <f t="shared" si="1"/>
        <v>0</v>
      </c>
    </row>
    <row r="32" spans="1:24" x14ac:dyDescent="0.35">
      <c r="A32" s="128">
        <v>51</v>
      </c>
      <c r="B32" s="129">
        <v>5</v>
      </c>
      <c r="C32" s="134" t="s">
        <v>45</v>
      </c>
      <c r="D32" s="134" t="s">
        <v>236</v>
      </c>
      <c r="E32" s="134" t="s">
        <v>161</v>
      </c>
      <c r="F32" s="134" t="s">
        <v>171</v>
      </c>
      <c r="G32" s="129">
        <v>8</v>
      </c>
      <c r="H32" s="129">
        <v>33</v>
      </c>
      <c r="I32" s="129">
        <v>124</v>
      </c>
      <c r="J32" s="129">
        <v>53.5</v>
      </c>
      <c r="K32" s="129">
        <v>12.7</v>
      </c>
      <c r="L32" s="129">
        <v>43</v>
      </c>
      <c r="M32" s="130">
        <v>-8</v>
      </c>
      <c r="N32" s="131">
        <v>31</v>
      </c>
      <c r="O32" s="143"/>
      <c r="W32" s="86">
        <f t="shared" si="0"/>
        <v>0</v>
      </c>
      <c r="X32" s="87">
        <f t="shared" si="1"/>
        <v>0</v>
      </c>
    </row>
    <row r="33" spans="1:24" x14ac:dyDescent="0.35">
      <c r="A33" s="128">
        <v>37</v>
      </c>
      <c r="B33" s="129">
        <v>4</v>
      </c>
      <c r="C33" s="134" t="s">
        <v>45</v>
      </c>
      <c r="D33" s="134" t="s">
        <v>395</v>
      </c>
      <c r="E33" s="134" t="s">
        <v>122</v>
      </c>
      <c r="F33" s="134" t="s">
        <v>142</v>
      </c>
      <c r="G33" s="129">
        <v>7</v>
      </c>
      <c r="H33" s="129">
        <v>19</v>
      </c>
      <c r="I33" s="129">
        <v>81</v>
      </c>
      <c r="J33" s="129">
        <v>39.200000000000003</v>
      </c>
      <c r="K33" s="129">
        <v>9.8000000000000007</v>
      </c>
      <c r="L33" s="129">
        <v>36</v>
      </c>
      <c r="M33" s="130">
        <v>-1</v>
      </c>
      <c r="N33" s="131">
        <v>32</v>
      </c>
      <c r="O33" s="143"/>
      <c r="W33" s="86">
        <f t="shared" si="0"/>
        <v>0</v>
      </c>
      <c r="X33" s="87">
        <f t="shared" si="1"/>
        <v>0</v>
      </c>
    </row>
    <row r="34" spans="1:24" x14ac:dyDescent="0.35">
      <c r="A34" s="128">
        <v>39</v>
      </c>
      <c r="B34" s="129">
        <v>4</v>
      </c>
      <c r="C34" s="134" t="s">
        <v>45</v>
      </c>
      <c r="D34" s="134" t="s">
        <v>186</v>
      </c>
      <c r="E34" s="134" t="s">
        <v>77</v>
      </c>
      <c r="F34" s="134" t="s">
        <v>145</v>
      </c>
      <c r="G34" s="129">
        <v>10</v>
      </c>
      <c r="H34" s="129">
        <v>20</v>
      </c>
      <c r="I34" s="129">
        <v>87</v>
      </c>
      <c r="J34" s="129">
        <v>40</v>
      </c>
      <c r="K34" s="129">
        <v>9.8000000000000007</v>
      </c>
      <c r="L34" s="129">
        <v>42</v>
      </c>
      <c r="M34" s="130">
        <v>3</v>
      </c>
      <c r="N34" s="131">
        <v>33</v>
      </c>
      <c r="O34" s="143"/>
      <c r="W34" s="86">
        <f t="shared" si="0"/>
        <v>0</v>
      </c>
      <c r="X34" s="87">
        <f t="shared" si="1"/>
        <v>0</v>
      </c>
    </row>
    <row r="35" spans="1:24" x14ac:dyDescent="0.35">
      <c r="A35" s="128">
        <v>27</v>
      </c>
      <c r="B35" s="129">
        <v>4</v>
      </c>
      <c r="C35" s="134" t="s">
        <v>45</v>
      </c>
      <c r="D35" s="134" t="s">
        <v>282</v>
      </c>
      <c r="E35" s="134" t="s">
        <v>157</v>
      </c>
      <c r="F35" s="134" t="s">
        <v>159</v>
      </c>
      <c r="G35" s="129">
        <v>8</v>
      </c>
      <c r="H35" s="129">
        <v>6</v>
      </c>
      <c r="I35" s="129">
        <v>65</v>
      </c>
      <c r="J35" s="129">
        <v>30.8</v>
      </c>
      <c r="K35" s="129">
        <v>10</v>
      </c>
      <c r="L35" s="129">
        <v>20</v>
      </c>
      <c r="M35" s="130">
        <v>-7</v>
      </c>
      <c r="N35" s="131">
        <v>34</v>
      </c>
      <c r="O35" s="143"/>
      <c r="W35" s="86">
        <f t="shared" si="0"/>
        <v>0</v>
      </c>
      <c r="X35" s="87">
        <f t="shared" si="1"/>
        <v>0</v>
      </c>
    </row>
    <row r="36" spans="1:24" x14ac:dyDescent="0.35">
      <c r="A36" s="125">
        <v>26</v>
      </c>
      <c r="B36" s="126">
        <v>4</v>
      </c>
      <c r="C36" s="133" t="s">
        <v>45</v>
      </c>
      <c r="D36" s="133" t="s">
        <v>139</v>
      </c>
      <c r="E36" s="133" t="s">
        <v>88</v>
      </c>
      <c r="F36" s="133" t="s">
        <v>140</v>
      </c>
      <c r="G36" s="126">
        <v>10</v>
      </c>
      <c r="H36" s="126">
        <v>9</v>
      </c>
      <c r="I36" s="126">
        <v>61</v>
      </c>
      <c r="J36" s="126">
        <v>28.1</v>
      </c>
      <c r="K36" s="126">
        <v>9.3000000000000007</v>
      </c>
      <c r="L36" s="126">
        <v>16</v>
      </c>
      <c r="M36" s="127">
        <v>-10</v>
      </c>
      <c r="N36" s="132">
        <v>35</v>
      </c>
      <c r="O36" s="144"/>
      <c r="W36" s="86">
        <f t="shared" si="0"/>
        <v>0</v>
      </c>
      <c r="X36" s="87">
        <f t="shared" si="1"/>
        <v>0</v>
      </c>
    </row>
    <row r="37" spans="1:24" x14ac:dyDescent="0.35">
      <c r="A37" s="128">
        <v>45</v>
      </c>
      <c r="B37" s="129">
        <v>5</v>
      </c>
      <c r="C37" s="134" t="s">
        <v>45</v>
      </c>
      <c r="D37" s="134" t="s">
        <v>169</v>
      </c>
      <c r="E37" s="134" t="s">
        <v>149</v>
      </c>
      <c r="F37" s="134" t="s">
        <v>154</v>
      </c>
      <c r="G37" s="129">
        <v>6</v>
      </c>
      <c r="H37" s="129">
        <v>31</v>
      </c>
      <c r="I37" s="129">
        <v>65</v>
      </c>
      <c r="J37" s="129">
        <v>47.2</v>
      </c>
      <c r="K37" s="129">
        <v>7.9</v>
      </c>
      <c r="L37" s="129">
        <v>48</v>
      </c>
      <c r="M37" s="130">
        <v>3</v>
      </c>
      <c r="N37" s="131">
        <v>36</v>
      </c>
      <c r="O37" s="143"/>
      <c r="W37" s="86">
        <f t="shared" si="0"/>
        <v>0</v>
      </c>
      <c r="X37" s="87">
        <f t="shared" si="1"/>
        <v>0</v>
      </c>
    </row>
    <row r="38" spans="1:24" x14ac:dyDescent="0.35">
      <c r="A38" s="125">
        <v>36</v>
      </c>
      <c r="B38" s="126">
        <v>4</v>
      </c>
      <c r="C38" s="133" t="s">
        <v>45</v>
      </c>
      <c r="D38" s="133" t="s">
        <v>141</v>
      </c>
      <c r="E38" s="133" t="s">
        <v>82</v>
      </c>
      <c r="F38" s="133" t="s">
        <v>137</v>
      </c>
      <c r="G38" s="126">
        <v>9</v>
      </c>
      <c r="H38" s="126">
        <v>11</v>
      </c>
      <c r="I38" s="126">
        <v>80</v>
      </c>
      <c r="J38" s="126">
        <v>38</v>
      </c>
      <c r="K38" s="126">
        <v>10.4</v>
      </c>
      <c r="L38" s="126">
        <v>57</v>
      </c>
      <c r="M38" s="127">
        <v>21</v>
      </c>
      <c r="N38" s="132">
        <v>37</v>
      </c>
      <c r="O38" s="144"/>
      <c r="W38" s="86">
        <f t="shared" si="0"/>
        <v>0</v>
      </c>
      <c r="X38" s="87">
        <f t="shared" si="1"/>
        <v>0</v>
      </c>
    </row>
    <row r="39" spans="1:24" x14ac:dyDescent="0.35">
      <c r="A39" s="128">
        <v>41</v>
      </c>
      <c r="B39" s="129">
        <v>4</v>
      </c>
      <c r="C39" s="134" t="s">
        <v>45</v>
      </c>
      <c r="D39" s="134" t="s">
        <v>153</v>
      </c>
      <c r="E39" s="134" t="s">
        <v>82</v>
      </c>
      <c r="F39" s="134" t="s">
        <v>152</v>
      </c>
      <c r="G39" s="129">
        <v>9</v>
      </c>
      <c r="H39" s="129">
        <v>7</v>
      </c>
      <c r="I39" s="129">
        <v>83</v>
      </c>
      <c r="J39" s="129">
        <v>40.6</v>
      </c>
      <c r="K39" s="129">
        <v>10.3</v>
      </c>
      <c r="L39" s="129">
        <v>39</v>
      </c>
      <c r="M39" s="130">
        <v>-2</v>
      </c>
      <c r="N39" s="131">
        <v>38</v>
      </c>
      <c r="O39" s="143"/>
      <c r="W39" s="86">
        <f t="shared" si="0"/>
        <v>0</v>
      </c>
      <c r="X39" s="87">
        <f t="shared" si="1"/>
        <v>0</v>
      </c>
    </row>
    <row r="40" spans="1:24" x14ac:dyDescent="0.35">
      <c r="A40" s="128">
        <v>33</v>
      </c>
      <c r="B40" s="129">
        <v>4</v>
      </c>
      <c r="C40" s="134" t="s">
        <v>45</v>
      </c>
      <c r="D40" s="134" t="s">
        <v>148</v>
      </c>
      <c r="E40" s="134" t="s">
        <v>149</v>
      </c>
      <c r="F40" s="134" t="s">
        <v>123</v>
      </c>
      <c r="G40" s="129">
        <v>6</v>
      </c>
      <c r="H40" s="129">
        <v>14</v>
      </c>
      <c r="I40" s="129">
        <v>78</v>
      </c>
      <c r="J40" s="129">
        <v>34.200000000000003</v>
      </c>
      <c r="K40" s="129">
        <v>9.1</v>
      </c>
      <c r="L40" s="129">
        <v>34</v>
      </c>
      <c r="M40" s="130">
        <v>1</v>
      </c>
      <c r="N40" s="131">
        <v>39</v>
      </c>
      <c r="O40" s="143"/>
      <c r="W40" s="86">
        <f t="shared" si="0"/>
        <v>0</v>
      </c>
      <c r="X40" s="87">
        <f t="shared" si="1"/>
        <v>0</v>
      </c>
    </row>
    <row r="41" spans="1:24" x14ac:dyDescent="0.35">
      <c r="A41" s="125">
        <v>44</v>
      </c>
      <c r="B41" s="126">
        <v>5</v>
      </c>
      <c r="C41" s="133" t="s">
        <v>45</v>
      </c>
      <c r="D41" s="133" t="s">
        <v>67</v>
      </c>
      <c r="E41" s="133" t="s">
        <v>62</v>
      </c>
      <c r="F41" s="133" t="s">
        <v>156</v>
      </c>
      <c r="G41" s="126">
        <v>8</v>
      </c>
      <c r="H41" s="126">
        <v>20</v>
      </c>
      <c r="I41" s="126">
        <v>147</v>
      </c>
      <c r="J41" s="126">
        <v>44.6</v>
      </c>
      <c r="K41" s="126">
        <v>12.9</v>
      </c>
      <c r="L41" s="126">
        <v>53</v>
      </c>
      <c r="M41" s="127">
        <v>9</v>
      </c>
      <c r="N41" s="132">
        <v>40</v>
      </c>
      <c r="O41" s="144"/>
      <c r="W41" s="86">
        <f t="shared" si="0"/>
        <v>0</v>
      </c>
      <c r="X41" s="87">
        <f t="shared" si="1"/>
        <v>0</v>
      </c>
    </row>
    <row r="42" spans="1:24" x14ac:dyDescent="0.35">
      <c r="A42" s="128">
        <v>43</v>
      </c>
      <c r="B42" s="129">
        <v>5</v>
      </c>
      <c r="C42" s="134" t="s">
        <v>45</v>
      </c>
      <c r="D42" s="134" t="s">
        <v>433</v>
      </c>
      <c r="E42" s="134" t="s">
        <v>157</v>
      </c>
      <c r="F42" s="134" t="s">
        <v>135</v>
      </c>
      <c r="G42" s="129">
        <v>8</v>
      </c>
      <c r="H42" s="129">
        <v>17</v>
      </c>
      <c r="I42" s="129">
        <v>68</v>
      </c>
      <c r="J42" s="129">
        <v>43.7</v>
      </c>
      <c r="K42" s="129">
        <v>9.3000000000000007</v>
      </c>
      <c r="L42" s="129">
        <v>35</v>
      </c>
      <c r="M42" s="130">
        <v>-8</v>
      </c>
      <c r="N42" s="131">
        <v>41</v>
      </c>
      <c r="O42" s="143"/>
      <c r="W42" s="86">
        <f t="shared" si="0"/>
        <v>0</v>
      </c>
      <c r="X42" s="87">
        <f t="shared" si="1"/>
        <v>0</v>
      </c>
    </row>
    <row r="43" spans="1:24" x14ac:dyDescent="0.35">
      <c r="A43" s="125">
        <v>46</v>
      </c>
      <c r="B43" s="126">
        <v>5</v>
      </c>
      <c r="C43" s="133" t="s">
        <v>45</v>
      </c>
      <c r="D43" s="133" t="s">
        <v>133</v>
      </c>
      <c r="E43" s="133" t="s">
        <v>134</v>
      </c>
      <c r="F43" s="133" t="s">
        <v>173</v>
      </c>
      <c r="G43" s="126">
        <v>9</v>
      </c>
      <c r="H43" s="126">
        <v>22</v>
      </c>
      <c r="I43" s="126">
        <v>78</v>
      </c>
      <c r="J43" s="126">
        <v>49.7</v>
      </c>
      <c r="K43" s="126">
        <v>6.7</v>
      </c>
      <c r="L43" s="126">
        <v>40</v>
      </c>
      <c r="M43" s="127">
        <v>-6</v>
      </c>
      <c r="N43" s="132">
        <v>42</v>
      </c>
      <c r="O43" s="144"/>
      <c r="W43" s="86">
        <f t="shared" si="0"/>
        <v>0</v>
      </c>
      <c r="X43" s="87">
        <f t="shared" si="1"/>
        <v>0</v>
      </c>
    </row>
    <row r="44" spans="1:24" x14ac:dyDescent="0.35">
      <c r="A44" s="125">
        <v>34</v>
      </c>
      <c r="B44" s="126">
        <v>4</v>
      </c>
      <c r="C44" s="133" t="s">
        <v>45</v>
      </c>
      <c r="D44" s="133" t="s">
        <v>1213</v>
      </c>
      <c r="E44" s="133" t="s">
        <v>77</v>
      </c>
      <c r="F44" s="133" t="s">
        <v>126</v>
      </c>
      <c r="G44" s="126">
        <v>10</v>
      </c>
      <c r="H44" s="126">
        <v>9</v>
      </c>
      <c r="I44" s="126">
        <v>78</v>
      </c>
      <c r="J44" s="126">
        <v>35.4</v>
      </c>
      <c r="K44" s="126">
        <v>10.3</v>
      </c>
      <c r="L44" s="126">
        <v>29</v>
      </c>
      <c r="M44" s="127">
        <v>-5</v>
      </c>
      <c r="N44" s="132">
        <v>43</v>
      </c>
      <c r="O44" s="144"/>
      <c r="W44" s="86">
        <f t="shared" si="0"/>
        <v>0</v>
      </c>
      <c r="X44" s="87">
        <f t="shared" si="1"/>
        <v>0</v>
      </c>
    </row>
    <row r="45" spans="1:24" x14ac:dyDescent="0.35">
      <c r="A45" s="125">
        <v>38</v>
      </c>
      <c r="B45" s="126">
        <v>4</v>
      </c>
      <c r="C45" s="133" t="s">
        <v>45</v>
      </c>
      <c r="D45" s="133" t="s">
        <v>73</v>
      </c>
      <c r="E45" s="133" t="s">
        <v>74</v>
      </c>
      <c r="F45" s="133" t="s">
        <v>138</v>
      </c>
      <c r="G45" s="126">
        <v>8</v>
      </c>
      <c r="H45" s="126">
        <v>17</v>
      </c>
      <c r="I45" s="126">
        <v>136</v>
      </c>
      <c r="J45" s="126">
        <v>39.700000000000003</v>
      </c>
      <c r="K45" s="126">
        <v>11.6</v>
      </c>
      <c r="L45" s="126">
        <v>44</v>
      </c>
      <c r="M45" s="127">
        <v>6</v>
      </c>
      <c r="N45" s="132">
        <v>44</v>
      </c>
      <c r="O45" s="144"/>
      <c r="W45" s="86">
        <f t="shared" si="0"/>
        <v>0</v>
      </c>
      <c r="X45" s="87">
        <f t="shared" si="1"/>
        <v>0</v>
      </c>
    </row>
    <row r="46" spans="1:24" x14ac:dyDescent="0.35">
      <c r="A46" s="125">
        <v>54</v>
      </c>
      <c r="B46" s="126">
        <v>5</v>
      </c>
      <c r="C46" s="133" t="s">
        <v>45</v>
      </c>
      <c r="D46" s="133" t="s">
        <v>1233</v>
      </c>
      <c r="E46" s="133" t="s">
        <v>108</v>
      </c>
      <c r="F46" s="133" t="s">
        <v>180</v>
      </c>
      <c r="G46" s="126">
        <v>7</v>
      </c>
      <c r="H46" s="126">
        <v>11</v>
      </c>
      <c r="I46" s="126">
        <v>177</v>
      </c>
      <c r="J46" s="126">
        <v>47.4</v>
      </c>
      <c r="K46" s="126">
        <v>20.3</v>
      </c>
      <c r="L46" s="126">
        <v>41</v>
      </c>
      <c r="M46" s="127">
        <v>-13</v>
      </c>
      <c r="N46" s="132">
        <v>45</v>
      </c>
      <c r="O46" s="144"/>
      <c r="W46" s="86">
        <f t="shared" si="0"/>
        <v>0</v>
      </c>
      <c r="X46" s="87">
        <f t="shared" si="1"/>
        <v>0</v>
      </c>
    </row>
    <row r="47" spans="1:24" x14ac:dyDescent="0.35">
      <c r="A47" s="125">
        <v>40</v>
      </c>
      <c r="B47" s="126">
        <v>4</v>
      </c>
      <c r="C47" s="133" t="s">
        <v>45</v>
      </c>
      <c r="D47" s="133" t="s">
        <v>58</v>
      </c>
      <c r="E47" s="133" t="s">
        <v>161</v>
      </c>
      <c r="F47" s="133" t="s">
        <v>147</v>
      </c>
      <c r="G47" s="126">
        <v>8</v>
      </c>
      <c r="H47" s="126">
        <v>15</v>
      </c>
      <c r="I47" s="126">
        <v>139</v>
      </c>
      <c r="J47" s="126">
        <v>40.1</v>
      </c>
      <c r="K47" s="126">
        <v>10.1</v>
      </c>
      <c r="L47" s="126">
        <v>38</v>
      </c>
      <c r="M47" s="127">
        <v>-2</v>
      </c>
      <c r="N47" s="132">
        <v>46</v>
      </c>
      <c r="O47" s="144"/>
      <c r="W47" s="86">
        <f t="shared" si="0"/>
        <v>0</v>
      </c>
      <c r="X47" s="87">
        <f t="shared" si="1"/>
        <v>0</v>
      </c>
    </row>
    <row r="48" spans="1:24" x14ac:dyDescent="0.35">
      <c r="A48" s="125">
        <v>42</v>
      </c>
      <c r="B48" s="126">
        <v>5</v>
      </c>
      <c r="C48" s="133" t="s">
        <v>45</v>
      </c>
      <c r="D48" s="133" t="s">
        <v>70</v>
      </c>
      <c r="E48" s="133" t="s">
        <v>71</v>
      </c>
      <c r="F48" s="133" t="s">
        <v>150</v>
      </c>
      <c r="G48" s="126">
        <v>11</v>
      </c>
      <c r="H48" s="126">
        <v>11</v>
      </c>
      <c r="I48" s="126">
        <v>117</v>
      </c>
      <c r="J48" s="126">
        <v>41.8</v>
      </c>
      <c r="K48" s="126">
        <v>10.5</v>
      </c>
      <c r="L48" s="126">
        <v>45</v>
      </c>
      <c r="M48" s="127">
        <v>3</v>
      </c>
      <c r="N48" s="132">
        <v>47</v>
      </c>
      <c r="O48" s="144"/>
      <c r="W48" s="86">
        <f t="shared" si="0"/>
        <v>0</v>
      </c>
      <c r="X48" s="87">
        <f t="shared" si="1"/>
        <v>0</v>
      </c>
    </row>
    <row r="49" spans="1:24" x14ac:dyDescent="0.35">
      <c r="A49" s="125">
        <v>70</v>
      </c>
      <c r="B49" s="126">
        <v>6</v>
      </c>
      <c r="C49" s="133" t="s">
        <v>45</v>
      </c>
      <c r="D49" s="133" t="s">
        <v>1240</v>
      </c>
      <c r="E49" s="133" t="s">
        <v>82</v>
      </c>
      <c r="F49" s="133" t="s">
        <v>207</v>
      </c>
      <c r="G49" s="126">
        <v>9</v>
      </c>
      <c r="H49" s="126">
        <v>35</v>
      </c>
      <c r="I49" s="126">
        <v>180</v>
      </c>
      <c r="J49" s="126">
        <v>68.7</v>
      </c>
      <c r="K49" s="126">
        <v>23.7</v>
      </c>
      <c r="L49" s="126">
        <v>69</v>
      </c>
      <c r="M49" s="127">
        <v>-1</v>
      </c>
      <c r="N49" s="132">
        <v>48</v>
      </c>
      <c r="O49" s="144"/>
      <c r="W49" s="86">
        <f t="shared" si="0"/>
        <v>0</v>
      </c>
      <c r="X49" s="87">
        <f t="shared" si="1"/>
        <v>0</v>
      </c>
    </row>
    <row r="50" spans="1:24" x14ac:dyDescent="0.35">
      <c r="A50" s="125">
        <v>66</v>
      </c>
      <c r="B50" s="126">
        <v>6</v>
      </c>
      <c r="C50" s="133" t="s">
        <v>45</v>
      </c>
      <c r="D50" s="133" t="s">
        <v>1236</v>
      </c>
      <c r="E50" s="133" t="s">
        <v>144</v>
      </c>
      <c r="F50" s="133" t="s">
        <v>205</v>
      </c>
      <c r="G50" s="126">
        <v>5</v>
      </c>
      <c r="H50" s="126">
        <v>29</v>
      </c>
      <c r="I50" s="126">
        <v>178</v>
      </c>
      <c r="J50" s="126">
        <v>63.7</v>
      </c>
      <c r="K50" s="126">
        <v>21.7</v>
      </c>
      <c r="L50" s="126">
        <v>65</v>
      </c>
      <c r="M50" s="127">
        <v>-1</v>
      </c>
      <c r="N50" s="132">
        <v>49</v>
      </c>
      <c r="O50" s="144"/>
      <c r="W50" s="86">
        <f t="shared" si="0"/>
        <v>0</v>
      </c>
      <c r="X50" s="87">
        <f t="shared" si="1"/>
        <v>0</v>
      </c>
    </row>
    <row r="51" spans="1:24" x14ac:dyDescent="0.35">
      <c r="A51" s="125">
        <v>48</v>
      </c>
      <c r="B51" s="126">
        <v>5</v>
      </c>
      <c r="C51" s="133" t="s">
        <v>45</v>
      </c>
      <c r="D51" s="133" t="s">
        <v>684</v>
      </c>
      <c r="E51" s="133" t="s">
        <v>184</v>
      </c>
      <c r="F51" s="133" t="s">
        <v>168</v>
      </c>
      <c r="G51" s="126">
        <v>8</v>
      </c>
      <c r="H51" s="126">
        <v>24</v>
      </c>
      <c r="I51" s="126">
        <v>86</v>
      </c>
      <c r="J51" s="126">
        <v>49.9</v>
      </c>
      <c r="K51" s="126">
        <v>12.5</v>
      </c>
      <c r="L51" s="126">
        <v>60</v>
      </c>
      <c r="M51" s="127">
        <v>12</v>
      </c>
      <c r="N51" s="132">
        <v>50</v>
      </c>
      <c r="O51" s="144"/>
      <c r="W51" s="86">
        <f t="shared" si="0"/>
        <v>0</v>
      </c>
      <c r="X51" s="87">
        <f t="shared" si="1"/>
        <v>0</v>
      </c>
    </row>
    <row r="52" spans="1:24" x14ac:dyDescent="0.35">
      <c r="A52" s="125">
        <v>62</v>
      </c>
      <c r="B52" s="126">
        <v>6</v>
      </c>
      <c r="C52" s="133" t="s">
        <v>45</v>
      </c>
      <c r="D52" s="133" t="s">
        <v>107</v>
      </c>
      <c r="E52" s="133" t="s">
        <v>108</v>
      </c>
      <c r="F52" s="133" t="s">
        <v>187</v>
      </c>
      <c r="G52" s="126">
        <v>7</v>
      </c>
      <c r="H52" s="126">
        <v>25</v>
      </c>
      <c r="I52" s="126">
        <v>138</v>
      </c>
      <c r="J52" s="126">
        <v>63.7</v>
      </c>
      <c r="K52" s="126">
        <v>13.8</v>
      </c>
      <c r="L52" s="126">
        <v>63</v>
      </c>
      <c r="M52" s="127">
        <v>1</v>
      </c>
      <c r="N52" s="132">
        <v>51</v>
      </c>
      <c r="O52" s="144"/>
      <c r="W52" s="86">
        <f t="shared" si="0"/>
        <v>0</v>
      </c>
      <c r="X52" s="87">
        <f t="shared" si="1"/>
        <v>0</v>
      </c>
    </row>
    <row r="53" spans="1:24" x14ac:dyDescent="0.35">
      <c r="A53" s="125">
        <v>50</v>
      </c>
      <c r="B53" s="126">
        <v>5</v>
      </c>
      <c r="C53" s="133" t="s">
        <v>45</v>
      </c>
      <c r="D53" s="133" t="s">
        <v>114</v>
      </c>
      <c r="E53" s="133" t="s">
        <v>59</v>
      </c>
      <c r="F53" s="133" t="s">
        <v>170</v>
      </c>
      <c r="G53" s="126">
        <v>10</v>
      </c>
      <c r="H53" s="126">
        <v>25</v>
      </c>
      <c r="I53" s="126">
        <v>136</v>
      </c>
      <c r="J53" s="126">
        <v>53.1</v>
      </c>
      <c r="K53" s="126">
        <v>12</v>
      </c>
      <c r="L53" s="126">
        <v>49</v>
      </c>
      <c r="M53" s="127">
        <v>-1</v>
      </c>
      <c r="N53" s="132">
        <v>52</v>
      </c>
      <c r="O53" s="144"/>
      <c r="W53" s="86">
        <f t="shared" si="0"/>
        <v>0</v>
      </c>
      <c r="X53" s="87">
        <f t="shared" si="1"/>
        <v>0</v>
      </c>
    </row>
    <row r="54" spans="1:24" x14ac:dyDescent="0.35">
      <c r="A54" s="128">
        <v>53</v>
      </c>
      <c r="B54" s="129">
        <v>5</v>
      </c>
      <c r="C54" s="134" t="s">
        <v>45</v>
      </c>
      <c r="D54" s="134" t="s">
        <v>1135</v>
      </c>
      <c r="E54" s="134" t="s">
        <v>149</v>
      </c>
      <c r="F54" s="134" t="s">
        <v>175</v>
      </c>
      <c r="G54" s="129">
        <v>6</v>
      </c>
      <c r="H54" s="129">
        <v>27</v>
      </c>
      <c r="I54" s="129">
        <v>134</v>
      </c>
      <c r="J54" s="129">
        <v>55.3</v>
      </c>
      <c r="K54" s="129">
        <v>15.3</v>
      </c>
      <c r="L54" s="129">
        <v>56</v>
      </c>
      <c r="M54" s="130">
        <v>3</v>
      </c>
      <c r="N54" s="131">
        <v>53</v>
      </c>
      <c r="O54" s="143"/>
      <c r="W54" s="86">
        <f t="shared" si="0"/>
        <v>0</v>
      </c>
      <c r="X54" s="87">
        <f t="shared" si="1"/>
        <v>0</v>
      </c>
    </row>
    <row r="55" spans="1:24" x14ac:dyDescent="0.35">
      <c r="A55" s="128">
        <v>67</v>
      </c>
      <c r="B55" s="129">
        <v>6</v>
      </c>
      <c r="C55" s="134" t="s">
        <v>45</v>
      </c>
      <c r="D55" s="134" t="s">
        <v>200</v>
      </c>
      <c r="E55" s="134" t="s">
        <v>85</v>
      </c>
      <c r="F55" s="134" t="s">
        <v>195</v>
      </c>
      <c r="G55" s="129">
        <v>9</v>
      </c>
      <c r="H55" s="129">
        <v>44</v>
      </c>
      <c r="I55" s="129">
        <v>116</v>
      </c>
      <c r="J55" s="129">
        <v>74.8</v>
      </c>
      <c r="K55" s="129">
        <v>11.7</v>
      </c>
      <c r="L55" s="129">
        <v>75</v>
      </c>
      <c r="M55" s="130">
        <v>8</v>
      </c>
      <c r="N55" s="131">
        <v>54</v>
      </c>
      <c r="O55" s="143"/>
      <c r="W55" s="86">
        <f t="shared" si="0"/>
        <v>0</v>
      </c>
      <c r="X55" s="87">
        <f t="shared" si="1"/>
        <v>0</v>
      </c>
    </row>
    <row r="56" spans="1:24" x14ac:dyDescent="0.35">
      <c r="A56" s="128">
        <v>47</v>
      </c>
      <c r="B56" s="129">
        <v>5</v>
      </c>
      <c r="C56" s="134" t="s">
        <v>45</v>
      </c>
      <c r="D56" s="134" t="s">
        <v>1384</v>
      </c>
      <c r="E56" s="134" t="s">
        <v>125</v>
      </c>
      <c r="F56" s="134" t="s">
        <v>164</v>
      </c>
      <c r="G56" s="129">
        <v>7</v>
      </c>
      <c r="H56" s="129">
        <v>25</v>
      </c>
      <c r="I56" s="129">
        <v>130</v>
      </c>
      <c r="J56" s="129">
        <v>49.8</v>
      </c>
      <c r="K56" s="129">
        <v>12.1</v>
      </c>
      <c r="L56" s="129">
        <v>55</v>
      </c>
      <c r="M56" s="130">
        <v>8</v>
      </c>
      <c r="N56" s="131">
        <v>55</v>
      </c>
      <c r="O56" s="143"/>
      <c r="W56" s="86">
        <f t="shared" si="0"/>
        <v>0</v>
      </c>
      <c r="X56" s="87">
        <f t="shared" si="1"/>
        <v>0</v>
      </c>
    </row>
    <row r="57" spans="1:24" x14ac:dyDescent="0.35">
      <c r="A57" s="128">
        <v>61</v>
      </c>
      <c r="B57" s="129">
        <v>6</v>
      </c>
      <c r="C57" s="134" t="s">
        <v>45</v>
      </c>
      <c r="D57" s="134" t="s">
        <v>931</v>
      </c>
      <c r="E57" s="134" t="s">
        <v>97</v>
      </c>
      <c r="F57" s="134" t="s">
        <v>189</v>
      </c>
      <c r="G57" s="129">
        <v>11</v>
      </c>
      <c r="H57" s="129">
        <v>35</v>
      </c>
      <c r="I57" s="129">
        <v>179</v>
      </c>
      <c r="J57" s="129">
        <v>63.3</v>
      </c>
      <c r="K57" s="129">
        <v>18.2</v>
      </c>
      <c r="L57" s="129">
        <v>61</v>
      </c>
      <c r="M57" s="130">
        <v>0</v>
      </c>
      <c r="N57" s="131">
        <v>56</v>
      </c>
      <c r="O57" s="143"/>
      <c r="W57" s="86">
        <f t="shared" si="0"/>
        <v>0</v>
      </c>
      <c r="X57" s="87">
        <f t="shared" si="1"/>
        <v>0</v>
      </c>
    </row>
    <row r="58" spans="1:24" x14ac:dyDescent="0.35">
      <c r="A58" s="125">
        <v>52</v>
      </c>
      <c r="B58" s="126">
        <v>5</v>
      </c>
      <c r="C58" s="133" t="s">
        <v>45</v>
      </c>
      <c r="D58" s="133" t="s">
        <v>255</v>
      </c>
      <c r="E58" s="133" t="s">
        <v>174</v>
      </c>
      <c r="F58" s="133" t="s">
        <v>162</v>
      </c>
      <c r="G58" s="126">
        <v>11</v>
      </c>
      <c r="H58" s="126">
        <v>27</v>
      </c>
      <c r="I58" s="126">
        <v>167</v>
      </c>
      <c r="J58" s="126">
        <v>53.9</v>
      </c>
      <c r="K58" s="126">
        <v>10.7</v>
      </c>
      <c r="L58" s="126">
        <v>64</v>
      </c>
      <c r="M58" s="127">
        <v>12</v>
      </c>
      <c r="N58" s="132">
        <v>57</v>
      </c>
      <c r="O58" s="144"/>
      <c r="W58" s="86">
        <f t="shared" si="0"/>
        <v>0</v>
      </c>
      <c r="X58" s="87">
        <f t="shared" si="1"/>
        <v>0</v>
      </c>
    </row>
    <row r="59" spans="1:24" x14ac:dyDescent="0.35">
      <c r="A59" s="128">
        <v>57</v>
      </c>
      <c r="B59" s="129">
        <v>5</v>
      </c>
      <c r="C59" s="134" t="s">
        <v>45</v>
      </c>
      <c r="D59" s="134" t="s">
        <v>458</v>
      </c>
      <c r="E59" s="134" t="s">
        <v>241</v>
      </c>
      <c r="F59" s="134" t="s">
        <v>185</v>
      </c>
      <c r="G59" s="129">
        <v>11</v>
      </c>
      <c r="H59" s="129">
        <v>13</v>
      </c>
      <c r="I59" s="129">
        <v>151</v>
      </c>
      <c r="J59" s="129">
        <v>60.1</v>
      </c>
      <c r="K59" s="129">
        <v>13.9</v>
      </c>
      <c r="L59" s="129">
        <v>59</v>
      </c>
      <c r="M59" s="130">
        <v>2</v>
      </c>
      <c r="N59" s="131">
        <v>58</v>
      </c>
      <c r="O59" s="143"/>
      <c r="W59" s="86">
        <f t="shared" si="0"/>
        <v>0</v>
      </c>
      <c r="X59" s="87">
        <f t="shared" si="1"/>
        <v>0</v>
      </c>
    </row>
    <row r="60" spans="1:24" x14ac:dyDescent="0.35">
      <c r="A60" s="128">
        <v>63</v>
      </c>
      <c r="B60" s="129">
        <v>6</v>
      </c>
      <c r="C60" s="134" t="s">
        <v>45</v>
      </c>
      <c r="D60" s="134" t="s">
        <v>327</v>
      </c>
      <c r="E60" s="134" t="s">
        <v>85</v>
      </c>
      <c r="F60" s="134" t="s">
        <v>193</v>
      </c>
      <c r="G60" s="129">
        <v>9</v>
      </c>
      <c r="H60" s="129">
        <v>36</v>
      </c>
      <c r="I60" s="129">
        <v>179</v>
      </c>
      <c r="J60" s="129">
        <v>64.8</v>
      </c>
      <c r="K60" s="129">
        <v>16.399999999999999</v>
      </c>
      <c r="L60" s="129">
        <v>74</v>
      </c>
      <c r="M60" s="130">
        <v>11</v>
      </c>
      <c r="N60" s="131">
        <v>59</v>
      </c>
      <c r="O60" s="143"/>
      <c r="W60" s="86">
        <f t="shared" si="0"/>
        <v>0</v>
      </c>
      <c r="X60" s="87">
        <f t="shared" si="1"/>
        <v>0</v>
      </c>
    </row>
    <row r="61" spans="1:24" x14ac:dyDescent="0.35">
      <c r="A61" s="125">
        <v>136</v>
      </c>
      <c r="B61" s="126">
        <v>8</v>
      </c>
      <c r="C61" s="133" t="s">
        <v>45</v>
      </c>
      <c r="D61" s="133" t="s">
        <v>1268</v>
      </c>
      <c r="E61" s="133" t="s">
        <v>184</v>
      </c>
      <c r="F61" s="133" t="s">
        <v>357</v>
      </c>
      <c r="G61" s="126">
        <v>8</v>
      </c>
      <c r="H61" s="126">
        <v>46</v>
      </c>
      <c r="I61" s="126">
        <v>359</v>
      </c>
      <c r="J61" s="126">
        <v>125.1</v>
      </c>
      <c r="K61" s="126">
        <v>51.4</v>
      </c>
      <c r="L61" s="126">
        <v>174</v>
      </c>
      <c r="M61" s="127">
        <v>38</v>
      </c>
      <c r="N61" s="132">
        <v>60</v>
      </c>
      <c r="O61" s="144"/>
      <c r="W61" s="86">
        <f t="shared" si="0"/>
        <v>0</v>
      </c>
      <c r="X61" s="87">
        <f t="shared" si="1"/>
        <v>0</v>
      </c>
    </row>
    <row r="62" spans="1:24" x14ac:dyDescent="0.35">
      <c r="A62" s="128">
        <v>55</v>
      </c>
      <c r="B62" s="129">
        <v>5</v>
      </c>
      <c r="C62" s="134" t="s">
        <v>45</v>
      </c>
      <c r="D62" s="134" t="s">
        <v>1167</v>
      </c>
      <c r="E62" s="134" t="s">
        <v>179</v>
      </c>
      <c r="F62" s="134" t="s">
        <v>177</v>
      </c>
      <c r="G62" s="129">
        <v>11</v>
      </c>
      <c r="H62" s="129">
        <v>25</v>
      </c>
      <c r="I62" s="129">
        <v>108</v>
      </c>
      <c r="J62" s="129">
        <v>57.7</v>
      </c>
      <c r="K62" s="129">
        <v>14.4</v>
      </c>
      <c r="L62" s="129">
        <v>50</v>
      </c>
      <c r="M62" s="130">
        <v>-5</v>
      </c>
      <c r="N62" s="131">
        <v>61</v>
      </c>
      <c r="O62" s="143"/>
      <c r="W62" s="86">
        <f t="shared" si="0"/>
        <v>0</v>
      </c>
      <c r="X62" s="87">
        <f t="shared" si="1"/>
        <v>0</v>
      </c>
    </row>
    <row r="63" spans="1:24" x14ac:dyDescent="0.35">
      <c r="A63" s="128">
        <v>75</v>
      </c>
      <c r="B63" s="129">
        <v>6</v>
      </c>
      <c r="C63" s="134" t="s">
        <v>45</v>
      </c>
      <c r="D63" s="134" t="s">
        <v>286</v>
      </c>
      <c r="E63" s="134" t="s">
        <v>50</v>
      </c>
      <c r="F63" s="134" t="s">
        <v>214</v>
      </c>
      <c r="G63" s="129">
        <v>10</v>
      </c>
      <c r="H63" s="129">
        <v>44</v>
      </c>
      <c r="I63" s="129">
        <v>133</v>
      </c>
      <c r="J63" s="129">
        <v>79.099999999999994</v>
      </c>
      <c r="K63" s="129">
        <v>15.6</v>
      </c>
      <c r="L63" s="129">
        <v>73</v>
      </c>
      <c r="M63" s="130">
        <v>-2</v>
      </c>
      <c r="N63" s="131">
        <v>62</v>
      </c>
      <c r="O63" s="143"/>
      <c r="W63" s="86">
        <f t="shared" si="0"/>
        <v>0</v>
      </c>
      <c r="X63" s="87">
        <f t="shared" si="1"/>
        <v>0</v>
      </c>
    </row>
    <row r="64" spans="1:24" x14ac:dyDescent="0.35">
      <c r="A64" s="125">
        <v>68</v>
      </c>
      <c r="B64" s="126">
        <v>6</v>
      </c>
      <c r="C64" s="133" t="s">
        <v>45</v>
      </c>
      <c r="D64" s="133" t="s">
        <v>110</v>
      </c>
      <c r="E64" s="133" t="s">
        <v>80</v>
      </c>
      <c r="F64" s="133" t="s">
        <v>199</v>
      </c>
      <c r="G64" s="126">
        <v>9</v>
      </c>
      <c r="H64" s="126">
        <v>25</v>
      </c>
      <c r="I64" s="126">
        <v>140</v>
      </c>
      <c r="J64" s="126">
        <v>75.599999999999994</v>
      </c>
      <c r="K64" s="126">
        <v>16.899999999999999</v>
      </c>
      <c r="L64" s="126">
        <v>67</v>
      </c>
      <c r="M64" s="127">
        <v>-1</v>
      </c>
      <c r="N64" s="132">
        <v>63</v>
      </c>
      <c r="O64" s="144"/>
      <c r="W64" s="86">
        <f t="shared" si="0"/>
        <v>0</v>
      </c>
      <c r="X64" s="87">
        <f t="shared" si="1"/>
        <v>0</v>
      </c>
    </row>
    <row r="65" spans="1:24" x14ac:dyDescent="0.35">
      <c r="A65" s="125">
        <v>64</v>
      </c>
      <c r="B65" s="126">
        <v>6</v>
      </c>
      <c r="C65" s="133" t="s">
        <v>45</v>
      </c>
      <c r="D65" s="133" t="s">
        <v>129</v>
      </c>
      <c r="E65" s="133" t="s">
        <v>241</v>
      </c>
      <c r="F65" s="133" t="s">
        <v>191</v>
      </c>
      <c r="G65" s="126">
        <v>11</v>
      </c>
      <c r="H65" s="126">
        <v>29</v>
      </c>
      <c r="I65" s="126">
        <v>116</v>
      </c>
      <c r="J65" s="126">
        <v>65.900000000000006</v>
      </c>
      <c r="K65" s="126">
        <v>13.8</v>
      </c>
      <c r="L65" s="126">
        <v>62</v>
      </c>
      <c r="M65" s="127">
        <v>-2</v>
      </c>
      <c r="N65" s="132">
        <v>64</v>
      </c>
      <c r="O65" s="144"/>
      <c r="W65" s="86">
        <f t="shared" si="0"/>
        <v>0</v>
      </c>
      <c r="X65" s="87">
        <f t="shared" si="1"/>
        <v>0</v>
      </c>
    </row>
    <row r="66" spans="1:24" x14ac:dyDescent="0.35">
      <c r="A66" s="128">
        <v>69</v>
      </c>
      <c r="B66" s="129">
        <v>6</v>
      </c>
      <c r="C66" s="134" t="s">
        <v>45</v>
      </c>
      <c r="D66" s="134" t="s">
        <v>208</v>
      </c>
      <c r="E66" s="134" t="s">
        <v>80</v>
      </c>
      <c r="F66" s="134" t="s">
        <v>201</v>
      </c>
      <c r="G66" s="129">
        <v>9</v>
      </c>
      <c r="H66" s="129">
        <v>41</v>
      </c>
      <c r="I66" s="129">
        <v>143</v>
      </c>
      <c r="J66" s="129">
        <v>76.3</v>
      </c>
      <c r="K66" s="129">
        <v>14.8</v>
      </c>
      <c r="L66" s="129">
        <v>72</v>
      </c>
      <c r="M66" s="130">
        <v>3</v>
      </c>
      <c r="N66" s="131">
        <v>65</v>
      </c>
      <c r="O66" s="143"/>
      <c r="W66" s="86">
        <f t="shared" si="0"/>
        <v>0</v>
      </c>
      <c r="X66" s="87">
        <f t="shared" si="1"/>
        <v>0</v>
      </c>
    </row>
    <row r="67" spans="1:24" x14ac:dyDescent="0.35">
      <c r="A67" s="128">
        <v>85</v>
      </c>
      <c r="B67" s="129">
        <v>7</v>
      </c>
      <c r="C67" s="134" t="s">
        <v>45</v>
      </c>
      <c r="D67" s="134" t="s">
        <v>1081</v>
      </c>
      <c r="E67" s="134" t="s">
        <v>62</v>
      </c>
      <c r="F67" s="134" t="s">
        <v>237</v>
      </c>
      <c r="G67" s="129">
        <v>8</v>
      </c>
      <c r="H67" s="129">
        <v>50</v>
      </c>
      <c r="I67" s="129">
        <v>193</v>
      </c>
      <c r="J67" s="129">
        <v>92.4</v>
      </c>
      <c r="K67" s="129">
        <v>25.3</v>
      </c>
      <c r="L67" s="129">
        <v>84</v>
      </c>
      <c r="M67" s="130">
        <v>-1</v>
      </c>
      <c r="N67" s="131">
        <v>66</v>
      </c>
      <c r="O67" s="143"/>
      <c r="W67" s="86">
        <f t="shared" ref="W67:W130" si="2">IF(LEFT(F67,1)="K",J67,0)</f>
        <v>0</v>
      </c>
      <c r="X67" s="87">
        <f t="shared" ref="X67:X130" si="3">IF(LEFT(F67,1)="K",K67,0)</f>
        <v>0</v>
      </c>
    </row>
    <row r="68" spans="1:24" x14ac:dyDescent="0.35">
      <c r="A68" s="125">
        <v>74</v>
      </c>
      <c r="B68" s="126">
        <v>6</v>
      </c>
      <c r="C68" s="133" t="s">
        <v>45</v>
      </c>
      <c r="D68" s="133" t="s">
        <v>407</v>
      </c>
      <c r="E68" s="133" t="s">
        <v>157</v>
      </c>
      <c r="F68" s="133" t="s">
        <v>209</v>
      </c>
      <c r="G68" s="126">
        <v>8</v>
      </c>
      <c r="H68" s="126">
        <v>32</v>
      </c>
      <c r="I68" s="126">
        <v>136</v>
      </c>
      <c r="J68" s="126">
        <v>79</v>
      </c>
      <c r="K68" s="126">
        <v>17.899999999999999</v>
      </c>
      <c r="L68" s="126">
        <v>80</v>
      </c>
      <c r="M68" s="127">
        <v>6</v>
      </c>
      <c r="N68" s="132">
        <v>67</v>
      </c>
      <c r="O68" s="144"/>
      <c r="W68" s="86">
        <f t="shared" si="2"/>
        <v>0</v>
      </c>
      <c r="X68" s="87">
        <f t="shared" si="3"/>
        <v>0</v>
      </c>
    </row>
    <row r="69" spans="1:24" x14ac:dyDescent="0.35">
      <c r="A69" s="125">
        <v>120</v>
      </c>
      <c r="B69" s="126">
        <v>8</v>
      </c>
      <c r="C69" s="133" t="s">
        <v>45</v>
      </c>
      <c r="D69" s="133" t="s">
        <v>419</v>
      </c>
      <c r="E69" s="133" t="s">
        <v>97</v>
      </c>
      <c r="F69" s="133" t="s">
        <v>275</v>
      </c>
      <c r="G69" s="126">
        <v>11</v>
      </c>
      <c r="H69" s="126">
        <v>64</v>
      </c>
      <c r="I69" s="126">
        <v>244</v>
      </c>
      <c r="J69" s="126">
        <v>123.3</v>
      </c>
      <c r="K69" s="126">
        <v>33.299999999999997</v>
      </c>
      <c r="L69" s="126">
        <v>77</v>
      </c>
      <c r="M69" s="127">
        <v>-43</v>
      </c>
      <c r="N69" s="132">
        <v>68</v>
      </c>
      <c r="O69" s="144"/>
      <c r="W69" s="86">
        <f t="shared" si="2"/>
        <v>0</v>
      </c>
      <c r="X69" s="87">
        <f t="shared" si="3"/>
        <v>0</v>
      </c>
    </row>
    <row r="70" spans="1:24" x14ac:dyDescent="0.35">
      <c r="A70" s="125">
        <v>58</v>
      </c>
      <c r="B70" s="126">
        <v>5</v>
      </c>
      <c r="C70" s="133" t="s">
        <v>45</v>
      </c>
      <c r="D70" s="133" t="s">
        <v>901</v>
      </c>
      <c r="E70" s="133" t="s">
        <v>1222</v>
      </c>
      <c r="F70" s="133" t="s">
        <v>197</v>
      </c>
      <c r="G70" s="126">
        <v>6</v>
      </c>
      <c r="H70" s="126">
        <v>31</v>
      </c>
      <c r="I70" s="126">
        <v>185</v>
      </c>
      <c r="J70" s="126">
        <v>60.7</v>
      </c>
      <c r="K70" s="126">
        <v>12.6</v>
      </c>
      <c r="L70" s="126">
        <v>51</v>
      </c>
      <c r="M70" s="127">
        <v>-7</v>
      </c>
      <c r="N70" s="132">
        <v>69</v>
      </c>
      <c r="O70" s="144"/>
      <c r="W70" s="86">
        <f t="shared" si="2"/>
        <v>0</v>
      </c>
      <c r="X70" s="87">
        <f t="shared" si="3"/>
        <v>0</v>
      </c>
    </row>
    <row r="71" spans="1:24" x14ac:dyDescent="0.35">
      <c r="A71" s="128">
        <v>49</v>
      </c>
      <c r="B71" s="129">
        <v>5</v>
      </c>
      <c r="C71" s="134" t="s">
        <v>45</v>
      </c>
      <c r="D71" s="134" t="s">
        <v>1214</v>
      </c>
      <c r="E71" s="134" t="s">
        <v>157</v>
      </c>
      <c r="F71" s="134" t="s">
        <v>158</v>
      </c>
      <c r="G71" s="129">
        <v>8</v>
      </c>
      <c r="H71" s="129">
        <v>19</v>
      </c>
      <c r="I71" s="129">
        <v>141</v>
      </c>
      <c r="J71" s="129">
        <v>50.6</v>
      </c>
      <c r="K71" s="129">
        <v>13</v>
      </c>
      <c r="L71" s="129">
        <v>46</v>
      </c>
      <c r="M71" s="130">
        <v>-3</v>
      </c>
      <c r="N71" s="131">
        <v>70</v>
      </c>
      <c r="O71" s="143"/>
      <c r="W71" s="86">
        <f t="shared" si="2"/>
        <v>0</v>
      </c>
      <c r="X71" s="87">
        <f t="shared" si="3"/>
        <v>0</v>
      </c>
    </row>
    <row r="72" spans="1:24" x14ac:dyDescent="0.35">
      <c r="A72" s="125">
        <v>98</v>
      </c>
      <c r="B72" s="126">
        <v>7</v>
      </c>
      <c r="C72" s="133" t="s">
        <v>45</v>
      </c>
      <c r="D72" s="133" t="s">
        <v>155</v>
      </c>
      <c r="E72" s="133" t="s">
        <v>144</v>
      </c>
      <c r="F72" s="133" t="s">
        <v>281</v>
      </c>
      <c r="G72" s="126">
        <v>5</v>
      </c>
      <c r="H72" s="126">
        <v>37</v>
      </c>
      <c r="I72" s="126">
        <v>187</v>
      </c>
      <c r="J72" s="126">
        <v>101.9</v>
      </c>
      <c r="K72" s="126">
        <v>25.7</v>
      </c>
      <c r="L72" s="126">
        <v>103</v>
      </c>
      <c r="M72" s="127">
        <v>5</v>
      </c>
      <c r="N72" s="132">
        <v>71</v>
      </c>
      <c r="O72" s="144"/>
      <c r="W72" s="86">
        <f t="shared" si="2"/>
        <v>0</v>
      </c>
      <c r="X72" s="87">
        <f t="shared" si="3"/>
        <v>0</v>
      </c>
    </row>
    <row r="73" spans="1:24" x14ac:dyDescent="0.35">
      <c r="A73" s="125">
        <v>72</v>
      </c>
      <c r="B73" s="126">
        <v>6</v>
      </c>
      <c r="C73" s="133" t="s">
        <v>45</v>
      </c>
      <c r="D73" s="133" t="s">
        <v>1223</v>
      </c>
      <c r="E73" s="133" t="s">
        <v>105</v>
      </c>
      <c r="F73" s="133" t="s">
        <v>219</v>
      </c>
      <c r="G73" s="126">
        <v>13</v>
      </c>
      <c r="H73" s="126">
        <v>28</v>
      </c>
      <c r="I73" s="126">
        <v>163</v>
      </c>
      <c r="J73" s="126">
        <v>78.099999999999994</v>
      </c>
      <c r="K73" s="126">
        <v>26.2</v>
      </c>
      <c r="L73" s="126">
        <v>93</v>
      </c>
      <c r="M73" s="127">
        <v>21</v>
      </c>
      <c r="N73" s="132">
        <v>72</v>
      </c>
      <c r="O73" s="144"/>
      <c r="W73" s="86">
        <f t="shared" si="2"/>
        <v>0</v>
      </c>
      <c r="X73" s="87">
        <f t="shared" si="3"/>
        <v>0</v>
      </c>
    </row>
    <row r="74" spans="1:24" x14ac:dyDescent="0.35">
      <c r="A74" s="128">
        <v>65</v>
      </c>
      <c r="B74" s="129">
        <v>6</v>
      </c>
      <c r="C74" s="134" t="s">
        <v>45</v>
      </c>
      <c r="D74" s="134" t="s">
        <v>181</v>
      </c>
      <c r="E74" s="134" t="s">
        <v>62</v>
      </c>
      <c r="F74" s="134" t="s">
        <v>211</v>
      </c>
      <c r="G74" s="129">
        <v>8</v>
      </c>
      <c r="H74" s="129">
        <v>40</v>
      </c>
      <c r="I74" s="129">
        <v>104</v>
      </c>
      <c r="J74" s="129">
        <v>66.900000000000006</v>
      </c>
      <c r="K74" s="129">
        <v>9.3000000000000007</v>
      </c>
      <c r="L74" s="129">
        <v>58</v>
      </c>
      <c r="M74" s="130">
        <v>-7</v>
      </c>
      <c r="N74" s="131">
        <v>73</v>
      </c>
      <c r="O74" s="143"/>
      <c r="W74" s="86">
        <f t="shared" si="2"/>
        <v>0</v>
      </c>
      <c r="X74" s="87">
        <f t="shared" si="3"/>
        <v>0</v>
      </c>
    </row>
    <row r="75" spans="1:24" x14ac:dyDescent="0.35">
      <c r="A75" s="125">
        <v>60</v>
      </c>
      <c r="B75" s="126">
        <v>6</v>
      </c>
      <c r="C75" s="133" t="s">
        <v>45</v>
      </c>
      <c r="D75" s="133" t="s">
        <v>310</v>
      </c>
      <c r="E75" s="133" t="s">
        <v>68</v>
      </c>
      <c r="F75" s="133" t="s">
        <v>203</v>
      </c>
      <c r="G75" s="126">
        <v>8</v>
      </c>
      <c r="H75" s="126">
        <v>19</v>
      </c>
      <c r="I75" s="126">
        <v>112</v>
      </c>
      <c r="J75" s="126">
        <v>62.2</v>
      </c>
      <c r="K75" s="126">
        <v>7.4</v>
      </c>
      <c r="L75" s="126">
        <v>54</v>
      </c>
      <c r="M75" s="127">
        <v>-6</v>
      </c>
      <c r="N75" s="132">
        <v>74</v>
      </c>
      <c r="O75" s="144"/>
      <c r="W75" s="86">
        <f t="shared" si="2"/>
        <v>0</v>
      </c>
      <c r="X75" s="87">
        <f t="shared" si="3"/>
        <v>0</v>
      </c>
    </row>
    <row r="76" spans="1:24" x14ac:dyDescent="0.35">
      <c r="A76" s="125">
        <v>56</v>
      </c>
      <c r="B76" s="126">
        <v>5</v>
      </c>
      <c r="C76" s="133" t="s">
        <v>45</v>
      </c>
      <c r="D76" s="133" t="s">
        <v>276</v>
      </c>
      <c r="E76" s="133" t="s">
        <v>50</v>
      </c>
      <c r="F76" s="133" t="s">
        <v>166</v>
      </c>
      <c r="G76" s="126">
        <v>10</v>
      </c>
      <c r="H76" s="126">
        <v>32</v>
      </c>
      <c r="I76" s="126">
        <v>91</v>
      </c>
      <c r="J76" s="126">
        <v>57.9</v>
      </c>
      <c r="K76" s="126">
        <v>9.1999999999999993</v>
      </c>
      <c r="L76" s="126">
        <v>47</v>
      </c>
      <c r="M76" s="127">
        <v>-9</v>
      </c>
      <c r="N76" s="132">
        <v>75</v>
      </c>
      <c r="O76" s="144"/>
      <c r="W76" s="86">
        <f t="shared" si="2"/>
        <v>0</v>
      </c>
      <c r="X76" s="87">
        <f t="shared" si="3"/>
        <v>0</v>
      </c>
    </row>
    <row r="77" spans="1:24" x14ac:dyDescent="0.35">
      <c r="A77" s="128">
        <v>59</v>
      </c>
      <c r="B77" s="129">
        <v>6</v>
      </c>
      <c r="C77" s="134" t="s">
        <v>45</v>
      </c>
      <c r="D77" s="134" t="s">
        <v>210</v>
      </c>
      <c r="E77" s="134" t="s">
        <v>149</v>
      </c>
      <c r="F77" s="134" t="s">
        <v>182</v>
      </c>
      <c r="G77" s="129">
        <v>6</v>
      </c>
      <c r="H77" s="129">
        <v>36</v>
      </c>
      <c r="I77" s="129">
        <v>88</v>
      </c>
      <c r="J77" s="129">
        <v>62.2</v>
      </c>
      <c r="K77" s="129">
        <v>8.6999999999999993</v>
      </c>
      <c r="L77" s="129">
        <v>52</v>
      </c>
      <c r="M77" s="130">
        <v>-7</v>
      </c>
      <c r="N77" s="131">
        <v>76</v>
      </c>
      <c r="O77" s="143"/>
      <c r="W77" s="86">
        <f t="shared" si="2"/>
        <v>0</v>
      </c>
      <c r="X77" s="87">
        <f t="shared" si="3"/>
        <v>0</v>
      </c>
    </row>
    <row r="78" spans="1:24" x14ac:dyDescent="0.35">
      <c r="A78" s="128">
        <v>81</v>
      </c>
      <c r="B78" s="129">
        <v>7</v>
      </c>
      <c r="C78" s="134" t="s">
        <v>45</v>
      </c>
      <c r="D78" s="134" t="s">
        <v>1134</v>
      </c>
      <c r="E78" s="134" t="s">
        <v>144</v>
      </c>
      <c r="F78" s="134" t="s">
        <v>223</v>
      </c>
      <c r="G78" s="129">
        <v>5</v>
      </c>
      <c r="H78" s="129">
        <v>52</v>
      </c>
      <c r="I78" s="129">
        <v>137</v>
      </c>
      <c r="J78" s="129">
        <v>87.9</v>
      </c>
      <c r="K78" s="129">
        <v>16</v>
      </c>
      <c r="L78" s="129">
        <v>97</v>
      </c>
      <c r="M78" s="130">
        <v>16</v>
      </c>
      <c r="N78" s="131">
        <v>77</v>
      </c>
      <c r="O78" s="143"/>
      <c r="W78" s="86">
        <f t="shared" si="2"/>
        <v>0</v>
      </c>
      <c r="X78" s="87">
        <f t="shared" si="3"/>
        <v>0</v>
      </c>
    </row>
    <row r="79" spans="1:24" x14ac:dyDescent="0.35">
      <c r="A79" s="128">
        <v>77</v>
      </c>
      <c r="B79" s="129">
        <v>6</v>
      </c>
      <c r="C79" s="134" t="s">
        <v>45</v>
      </c>
      <c r="D79" s="134" t="s">
        <v>151</v>
      </c>
      <c r="E79" s="134" t="s">
        <v>119</v>
      </c>
      <c r="F79" s="134" t="s">
        <v>217</v>
      </c>
      <c r="G79" s="129">
        <v>6</v>
      </c>
      <c r="H79" s="129">
        <v>32</v>
      </c>
      <c r="I79" s="129">
        <v>182</v>
      </c>
      <c r="J79" s="129">
        <v>83.2</v>
      </c>
      <c r="K79" s="129">
        <v>21.1</v>
      </c>
      <c r="L79" s="129">
        <v>82</v>
      </c>
      <c r="M79" s="130">
        <v>5</v>
      </c>
      <c r="N79" s="131">
        <v>78</v>
      </c>
      <c r="O79" s="143"/>
      <c r="W79" s="86">
        <f t="shared" si="2"/>
        <v>0</v>
      </c>
      <c r="X79" s="87">
        <f t="shared" si="3"/>
        <v>0</v>
      </c>
    </row>
    <row r="80" spans="1:24" x14ac:dyDescent="0.35">
      <c r="A80" s="125">
        <v>118</v>
      </c>
      <c r="B80" s="126">
        <v>8</v>
      </c>
      <c r="C80" s="133" t="s">
        <v>45</v>
      </c>
      <c r="D80" s="133" t="s">
        <v>238</v>
      </c>
      <c r="E80" s="133" t="s">
        <v>47</v>
      </c>
      <c r="F80" s="133" t="s">
        <v>274</v>
      </c>
      <c r="G80" s="126">
        <v>11</v>
      </c>
      <c r="H80" s="126">
        <v>64</v>
      </c>
      <c r="I80" s="126">
        <v>177</v>
      </c>
      <c r="J80" s="126">
        <v>113.9</v>
      </c>
      <c r="K80" s="126">
        <v>20.8</v>
      </c>
      <c r="L80" s="126">
        <v>131</v>
      </c>
      <c r="M80" s="127">
        <v>13</v>
      </c>
      <c r="N80" s="132">
        <v>79</v>
      </c>
      <c r="O80" s="144"/>
      <c r="W80" s="86">
        <f t="shared" si="2"/>
        <v>0</v>
      </c>
      <c r="X80" s="87">
        <f t="shared" si="3"/>
        <v>0</v>
      </c>
    </row>
    <row r="81" spans="1:24" x14ac:dyDescent="0.35">
      <c r="A81" s="125">
        <v>86</v>
      </c>
      <c r="B81" s="126">
        <v>7</v>
      </c>
      <c r="C81" s="133" t="s">
        <v>45</v>
      </c>
      <c r="D81" s="133" t="s">
        <v>136</v>
      </c>
      <c r="E81" s="133" t="s">
        <v>62</v>
      </c>
      <c r="F81" s="133" t="s">
        <v>239</v>
      </c>
      <c r="G81" s="126">
        <v>8</v>
      </c>
      <c r="H81" s="126">
        <v>49</v>
      </c>
      <c r="I81" s="126">
        <v>193</v>
      </c>
      <c r="J81" s="126">
        <v>96</v>
      </c>
      <c r="K81" s="126">
        <v>23.7</v>
      </c>
      <c r="L81" s="126">
        <v>90</v>
      </c>
      <c r="M81" s="127">
        <v>4</v>
      </c>
      <c r="N81" s="132">
        <v>80</v>
      </c>
      <c r="O81" s="144"/>
      <c r="W81" s="86">
        <f t="shared" si="2"/>
        <v>0</v>
      </c>
      <c r="X81" s="87">
        <f t="shared" si="3"/>
        <v>0</v>
      </c>
    </row>
    <row r="82" spans="1:24" x14ac:dyDescent="0.35">
      <c r="A82" s="125">
        <v>96</v>
      </c>
      <c r="B82" s="126">
        <v>7</v>
      </c>
      <c r="C82" s="133" t="s">
        <v>45</v>
      </c>
      <c r="D82" s="133" t="s">
        <v>627</v>
      </c>
      <c r="E82" s="133" t="s">
        <v>74</v>
      </c>
      <c r="F82" s="133" t="s">
        <v>244</v>
      </c>
      <c r="G82" s="126">
        <v>8</v>
      </c>
      <c r="H82" s="126">
        <v>49</v>
      </c>
      <c r="I82" s="126">
        <v>194</v>
      </c>
      <c r="J82" s="126">
        <v>105.9</v>
      </c>
      <c r="K82" s="126">
        <v>25.1</v>
      </c>
      <c r="L82" s="126">
        <v>109</v>
      </c>
      <c r="M82" s="127">
        <v>13</v>
      </c>
      <c r="N82" s="132">
        <v>81</v>
      </c>
      <c r="O82" s="144"/>
      <c r="W82" s="86">
        <f t="shared" si="2"/>
        <v>0</v>
      </c>
      <c r="X82" s="87">
        <f t="shared" si="3"/>
        <v>0</v>
      </c>
    </row>
    <row r="83" spans="1:24" x14ac:dyDescent="0.35">
      <c r="A83" s="128">
        <v>73</v>
      </c>
      <c r="B83" s="129">
        <v>6</v>
      </c>
      <c r="C83" s="134" t="s">
        <v>45</v>
      </c>
      <c r="D83" s="134" t="s">
        <v>212</v>
      </c>
      <c r="E83" s="134" t="s">
        <v>47</v>
      </c>
      <c r="F83" s="134" t="s">
        <v>213</v>
      </c>
      <c r="G83" s="129">
        <v>11</v>
      </c>
      <c r="H83" s="129">
        <v>46</v>
      </c>
      <c r="I83" s="129">
        <v>207</v>
      </c>
      <c r="J83" s="129">
        <v>78.599999999999994</v>
      </c>
      <c r="K83" s="129">
        <v>21.2</v>
      </c>
      <c r="L83" s="129">
        <v>78</v>
      </c>
      <c r="M83" s="130">
        <v>5</v>
      </c>
      <c r="N83" s="131">
        <v>82</v>
      </c>
      <c r="O83" s="143"/>
      <c r="W83" s="86">
        <f t="shared" si="2"/>
        <v>0</v>
      </c>
      <c r="X83" s="87">
        <f t="shared" si="3"/>
        <v>0</v>
      </c>
    </row>
    <row r="84" spans="1:24" x14ac:dyDescent="0.35">
      <c r="A84" s="128">
        <v>79</v>
      </c>
      <c r="B84" s="129">
        <v>6</v>
      </c>
      <c r="C84" s="134" t="s">
        <v>45</v>
      </c>
      <c r="D84" s="134" t="s">
        <v>734</v>
      </c>
      <c r="E84" s="134" t="s">
        <v>82</v>
      </c>
      <c r="F84" s="134" t="s">
        <v>231</v>
      </c>
      <c r="G84" s="129">
        <v>9</v>
      </c>
      <c r="H84" s="129">
        <v>43</v>
      </c>
      <c r="I84" s="129">
        <v>163</v>
      </c>
      <c r="J84" s="129">
        <v>84.4</v>
      </c>
      <c r="K84" s="129">
        <v>21.8</v>
      </c>
      <c r="L84" s="129">
        <v>70</v>
      </c>
      <c r="M84" s="130">
        <v>-9</v>
      </c>
      <c r="N84" s="131">
        <v>83</v>
      </c>
      <c r="O84" s="143"/>
      <c r="W84" s="86">
        <f t="shared" si="2"/>
        <v>0</v>
      </c>
      <c r="X84" s="87">
        <f t="shared" si="3"/>
        <v>0</v>
      </c>
    </row>
    <row r="85" spans="1:24" x14ac:dyDescent="0.35">
      <c r="A85" s="128">
        <v>103</v>
      </c>
      <c r="B85" s="129">
        <v>7</v>
      </c>
      <c r="C85" s="134" t="s">
        <v>45</v>
      </c>
      <c r="D85" s="134" t="s">
        <v>243</v>
      </c>
      <c r="E85" s="134" t="s">
        <v>68</v>
      </c>
      <c r="F85" s="134" t="s">
        <v>262</v>
      </c>
      <c r="G85" s="129">
        <v>8</v>
      </c>
      <c r="H85" s="129">
        <v>55</v>
      </c>
      <c r="I85" s="129">
        <v>194</v>
      </c>
      <c r="J85" s="129">
        <v>107.3</v>
      </c>
      <c r="K85" s="129">
        <v>25.2</v>
      </c>
      <c r="L85" s="129">
        <v>117</v>
      </c>
      <c r="M85" s="130">
        <v>14</v>
      </c>
      <c r="N85" s="131">
        <v>84</v>
      </c>
      <c r="O85" s="143"/>
      <c r="W85" s="86">
        <f t="shared" si="2"/>
        <v>0</v>
      </c>
      <c r="X85" s="87">
        <f t="shared" si="3"/>
        <v>0</v>
      </c>
    </row>
    <row r="86" spans="1:24" x14ac:dyDescent="0.35">
      <c r="A86" s="128">
        <v>35</v>
      </c>
      <c r="B86" s="129">
        <v>4</v>
      </c>
      <c r="C86" s="134" t="s">
        <v>45</v>
      </c>
      <c r="D86" s="134" t="s">
        <v>124</v>
      </c>
      <c r="E86" s="134" t="s">
        <v>125</v>
      </c>
      <c r="F86" s="134" t="s">
        <v>132</v>
      </c>
      <c r="G86" s="129">
        <v>7</v>
      </c>
      <c r="H86" s="129">
        <v>14</v>
      </c>
      <c r="I86" s="129">
        <v>113</v>
      </c>
      <c r="J86" s="129">
        <v>37.299999999999997</v>
      </c>
      <c r="K86" s="129">
        <v>12</v>
      </c>
      <c r="L86" s="129">
        <v>37</v>
      </c>
      <c r="M86" s="130">
        <v>2</v>
      </c>
      <c r="N86" s="131">
        <v>85</v>
      </c>
      <c r="O86" s="143"/>
      <c r="W86" s="86">
        <f t="shared" si="2"/>
        <v>0</v>
      </c>
      <c r="X86" s="87">
        <f t="shared" si="3"/>
        <v>0</v>
      </c>
    </row>
    <row r="87" spans="1:24" x14ac:dyDescent="0.35">
      <c r="A87" s="128">
        <v>95</v>
      </c>
      <c r="B87" s="129">
        <v>7</v>
      </c>
      <c r="C87" s="134" t="s">
        <v>45</v>
      </c>
      <c r="D87" s="134" t="s">
        <v>160</v>
      </c>
      <c r="E87" s="134" t="s">
        <v>161</v>
      </c>
      <c r="F87" s="134" t="s">
        <v>278</v>
      </c>
      <c r="G87" s="129">
        <v>8</v>
      </c>
      <c r="H87" s="129">
        <v>47</v>
      </c>
      <c r="I87" s="129">
        <v>226</v>
      </c>
      <c r="J87" s="129">
        <v>96.9</v>
      </c>
      <c r="K87" s="129">
        <v>27.2</v>
      </c>
      <c r="L87" s="129">
        <v>96</v>
      </c>
      <c r="M87" s="130">
        <v>1</v>
      </c>
      <c r="N87" s="131">
        <v>86</v>
      </c>
      <c r="O87" s="143"/>
      <c r="W87" s="86">
        <f t="shared" si="2"/>
        <v>0</v>
      </c>
      <c r="X87" s="87">
        <f t="shared" si="3"/>
        <v>0</v>
      </c>
    </row>
    <row r="88" spans="1:24" x14ac:dyDescent="0.35">
      <c r="A88" s="128">
        <v>83</v>
      </c>
      <c r="B88" s="129">
        <v>7</v>
      </c>
      <c r="C88" s="134" t="s">
        <v>45</v>
      </c>
      <c r="D88" s="134" t="s">
        <v>226</v>
      </c>
      <c r="E88" s="134" t="s">
        <v>179</v>
      </c>
      <c r="F88" s="134" t="s">
        <v>227</v>
      </c>
      <c r="G88" s="129">
        <v>11</v>
      </c>
      <c r="H88" s="129">
        <v>56</v>
      </c>
      <c r="I88" s="129">
        <v>163</v>
      </c>
      <c r="J88" s="129">
        <v>89.4</v>
      </c>
      <c r="K88" s="129">
        <v>21.8</v>
      </c>
      <c r="L88" s="129">
        <v>89</v>
      </c>
      <c r="M88" s="130">
        <v>6</v>
      </c>
      <c r="N88" s="131">
        <v>87</v>
      </c>
      <c r="O88" s="143"/>
      <c r="W88" s="86">
        <f t="shared" si="2"/>
        <v>0</v>
      </c>
      <c r="X88" s="87">
        <f t="shared" si="3"/>
        <v>0</v>
      </c>
    </row>
    <row r="89" spans="1:24" x14ac:dyDescent="0.35">
      <c r="A89" s="128">
        <v>87</v>
      </c>
      <c r="B89" s="129">
        <v>7</v>
      </c>
      <c r="C89" s="134" t="s">
        <v>45</v>
      </c>
      <c r="D89" s="134" t="s">
        <v>1238</v>
      </c>
      <c r="E89" s="134" t="s">
        <v>157</v>
      </c>
      <c r="F89" s="134" t="s">
        <v>233</v>
      </c>
      <c r="G89" s="129">
        <v>8</v>
      </c>
      <c r="H89" s="129">
        <v>49</v>
      </c>
      <c r="I89" s="129">
        <v>188</v>
      </c>
      <c r="J89" s="129">
        <v>96.2</v>
      </c>
      <c r="K89" s="129">
        <v>30.2</v>
      </c>
      <c r="L89" s="129">
        <v>94</v>
      </c>
      <c r="M89" s="130">
        <v>7</v>
      </c>
      <c r="N89" s="131">
        <v>88</v>
      </c>
      <c r="O89" s="143"/>
      <c r="W89" s="86">
        <f t="shared" si="2"/>
        <v>0</v>
      </c>
      <c r="X89" s="87">
        <f t="shared" si="3"/>
        <v>0</v>
      </c>
    </row>
    <row r="90" spans="1:24" x14ac:dyDescent="0.35">
      <c r="A90" s="128">
        <v>129</v>
      </c>
      <c r="B90" s="129">
        <v>8</v>
      </c>
      <c r="C90" s="134" t="s">
        <v>45</v>
      </c>
      <c r="D90" s="134" t="s">
        <v>1248</v>
      </c>
      <c r="E90" s="134" t="s">
        <v>241</v>
      </c>
      <c r="F90" s="134" t="s">
        <v>329</v>
      </c>
      <c r="G90" s="129">
        <v>11</v>
      </c>
      <c r="H90" s="129">
        <v>70</v>
      </c>
      <c r="I90" s="129">
        <v>206</v>
      </c>
      <c r="J90" s="129">
        <v>121.3</v>
      </c>
      <c r="K90" s="129">
        <v>29.7</v>
      </c>
      <c r="L90" s="129">
        <v>144</v>
      </c>
      <c r="M90" s="130">
        <v>15</v>
      </c>
      <c r="N90" s="131">
        <v>89</v>
      </c>
      <c r="O90" s="143"/>
      <c r="W90" s="86">
        <f t="shared" si="2"/>
        <v>0</v>
      </c>
      <c r="X90" s="87">
        <f t="shared" si="3"/>
        <v>0</v>
      </c>
    </row>
    <row r="91" spans="1:24" x14ac:dyDescent="0.35">
      <c r="A91" s="125">
        <v>90</v>
      </c>
      <c r="B91" s="126">
        <v>7</v>
      </c>
      <c r="C91" s="133" t="s">
        <v>45</v>
      </c>
      <c r="D91" s="133" t="s">
        <v>206</v>
      </c>
      <c r="E91" s="133" t="s">
        <v>174</v>
      </c>
      <c r="F91" s="133" t="s">
        <v>254</v>
      </c>
      <c r="G91" s="126">
        <v>11</v>
      </c>
      <c r="H91" s="126">
        <v>52</v>
      </c>
      <c r="I91" s="126">
        <v>193</v>
      </c>
      <c r="J91" s="126">
        <v>99.1</v>
      </c>
      <c r="K91" s="126">
        <v>25.3</v>
      </c>
      <c r="L91" s="126">
        <v>110</v>
      </c>
      <c r="M91" s="127">
        <v>20</v>
      </c>
      <c r="N91" s="132">
        <v>90</v>
      </c>
      <c r="O91" s="144"/>
      <c r="W91" s="86">
        <f t="shared" si="2"/>
        <v>0</v>
      </c>
      <c r="X91" s="87">
        <f t="shared" si="3"/>
        <v>0</v>
      </c>
    </row>
    <row r="92" spans="1:24" x14ac:dyDescent="0.35">
      <c r="A92" s="125">
        <v>88</v>
      </c>
      <c r="B92" s="126">
        <v>7</v>
      </c>
      <c r="C92" s="133" t="s">
        <v>45</v>
      </c>
      <c r="D92" s="133" t="s">
        <v>284</v>
      </c>
      <c r="E92" s="133" t="s">
        <v>179</v>
      </c>
      <c r="F92" s="133" t="s">
        <v>242</v>
      </c>
      <c r="G92" s="126">
        <v>11</v>
      </c>
      <c r="H92" s="126">
        <v>58</v>
      </c>
      <c r="I92" s="126">
        <v>201</v>
      </c>
      <c r="J92" s="126">
        <v>97.1</v>
      </c>
      <c r="K92" s="126">
        <v>22.9</v>
      </c>
      <c r="L92" s="126">
        <v>88</v>
      </c>
      <c r="M92" s="127">
        <v>0</v>
      </c>
      <c r="N92" s="132">
        <v>91</v>
      </c>
      <c r="O92" s="144"/>
      <c r="W92" s="86">
        <f t="shared" si="2"/>
        <v>0</v>
      </c>
      <c r="X92" s="87">
        <f t="shared" si="3"/>
        <v>0</v>
      </c>
    </row>
    <row r="93" spans="1:24" x14ac:dyDescent="0.35">
      <c r="A93" s="128">
        <v>89</v>
      </c>
      <c r="B93" s="129">
        <v>7</v>
      </c>
      <c r="C93" s="134" t="s">
        <v>45</v>
      </c>
      <c r="D93" s="134" t="s">
        <v>192</v>
      </c>
      <c r="E93" s="134" t="s">
        <v>97</v>
      </c>
      <c r="F93" s="134" t="s">
        <v>246</v>
      </c>
      <c r="G93" s="129">
        <v>11</v>
      </c>
      <c r="H93" s="129">
        <v>66</v>
      </c>
      <c r="I93" s="129">
        <v>219</v>
      </c>
      <c r="J93" s="129">
        <v>103.1</v>
      </c>
      <c r="K93" s="129">
        <v>26.3</v>
      </c>
      <c r="L93" s="129">
        <v>120</v>
      </c>
      <c r="M93" s="130">
        <v>31</v>
      </c>
      <c r="N93" s="131">
        <v>92</v>
      </c>
      <c r="O93" s="143"/>
      <c r="W93" s="86">
        <f t="shared" si="2"/>
        <v>0</v>
      </c>
      <c r="X93" s="87">
        <f t="shared" si="3"/>
        <v>0</v>
      </c>
    </row>
    <row r="94" spans="1:24" x14ac:dyDescent="0.35">
      <c r="A94" s="125">
        <v>80</v>
      </c>
      <c r="B94" s="126">
        <v>6</v>
      </c>
      <c r="C94" s="133" t="s">
        <v>45</v>
      </c>
      <c r="D94" s="133" t="s">
        <v>224</v>
      </c>
      <c r="E94" s="133" t="s">
        <v>119</v>
      </c>
      <c r="F94" s="133" t="s">
        <v>225</v>
      </c>
      <c r="G94" s="126">
        <v>6</v>
      </c>
      <c r="H94" s="126">
        <v>45</v>
      </c>
      <c r="I94" s="126">
        <v>198</v>
      </c>
      <c r="J94" s="126">
        <v>86.3</v>
      </c>
      <c r="K94" s="126">
        <v>26.2</v>
      </c>
      <c r="L94" s="126">
        <v>98</v>
      </c>
      <c r="M94" s="127">
        <v>18</v>
      </c>
      <c r="N94" s="132">
        <v>93</v>
      </c>
      <c r="O94" s="144"/>
      <c r="W94" s="86">
        <f t="shared" si="2"/>
        <v>0</v>
      </c>
      <c r="X94" s="87">
        <f t="shared" si="3"/>
        <v>0</v>
      </c>
    </row>
    <row r="95" spans="1:24" x14ac:dyDescent="0.35">
      <c r="A95" s="128">
        <v>139</v>
      </c>
      <c r="B95" s="129">
        <v>9</v>
      </c>
      <c r="C95" s="134" t="s">
        <v>45</v>
      </c>
      <c r="D95" s="134" t="s">
        <v>915</v>
      </c>
      <c r="E95" s="134" t="s">
        <v>179</v>
      </c>
      <c r="F95" s="134" t="s">
        <v>315</v>
      </c>
      <c r="G95" s="129">
        <v>11</v>
      </c>
      <c r="H95" s="129">
        <v>66</v>
      </c>
      <c r="I95" s="129">
        <v>286</v>
      </c>
      <c r="J95" s="129">
        <v>136.69999999999999</v>
      </c>
      <c r="K95" s="129">
        <v>29.3</v>
      </c>
      <c r="L95" s="129">
        <v>159</v>
      </c>
      <c r="M95" s="130">
        <v>20</v>
      </c>
      <c r="N95" s="131">
        <v>94</v>
      </c>
      <c r="O95" s="143"/>
      <c r="W95" s="86">
        <f t="shared" si="2"/>
        <v>0</v>
      </c>
      <c r="X95" s="87">
        <f t="shared" si="3"/>
        <v>0</v>
      </c>
    </row>
    <row r="96" spans="1:24" x14ac:dyDescent="0.35">
      <c r="A96" s="128">
        <v>101</v>
      </c>
      <c r="B96" s="129">
        <v>7</v>
      </c>
      <c r="C96" s="134" t="s">
        <v>45</v>
      </c>
      <c r="D96" s="134" t="s">
        <v>347</v>
      </c>
      <c r="E96" s="134" t="s">
        <v>71</v>
      </c>
      <c r="F96" s="134" t="s">
        <v>250</v>
      </c>
      <c r="G96" s="129">
        <v>11</v>
      </c>
      <c r="H96" s="129">
        <v>61</v>
      </c>
      <c r="I96" s="129">
        <v>214</v>
      </c>
      <c r="J96" s="129">
        <v>110.7</v>
      </c>
      <c r="K96" s="129">
        <v>27.7</v>
      </c>
      <c r="L96" s="129">
        <v>128</v>
      </c>
      <c r="M96" s="130">
        <v>27</v>
      </c>
      <c r="N96" s="131">
        <v>95</v>
      </c>
      <c r="O96" s="143"/>
      <c r="W96" s="86">
        <f t="shared" si="2"/>
        <v>0</v>
      </c>
      <c r="X96" s="87">
        <f t="shared" si="3"/>
        <v>0</v>
      </c>
    </row>
    <row r="97" spans="1:24" x14ac:dyDescent="0.35">
      <c r="A97" s="128">
        <v>115</v>
      </c>
      <c r="B97" s="129">
        <v>8</v>
      </c>
      <c r="C97" s="134" t="s">
        <v>45</v>
      </c>
      <c r="D97" s="134" t="s">
        <v>949</v>
      </c>
      <c r="E97" s="134" t="s">
        <v>47</v>
      </c>
      <c r="F97" s="134" t="s">
        <v>268</v>
      </c>
      <c r="G97" s="129">
        <v>11</v>
      </c>
      <c r="H97" s="129">
        <v>72</v>
      </c>
      <c r="I97" s="129">
        <v>235</v>
      </c>
      <c r="J97" s="129">
        <v>116.3</v>
      </c>
      <c r="K97" s="129">
        <v>29.2</v>
      </c>
      <c r="L97" s="129">
        <v>101</v>
      </c>
      <c r="M97" s="130">
        <v>-14</v>
      </c>
      <c r="N97" s="131">
        <v>96</v>
      </c>
      <c r="O97" s="143"/>
      <c r="W97" s="86">
        <f t="shared" si="2"/>
        <v>0</v>
      </c>
      <c r="X97" s="87">
        <f t="shared" si="3"/>
        <v>0</v>
      </c>
    </row>
    <row r="98" spans="1:24" x14ac:dyDescent="0.35">
      <c r="A98" s="128">
        <v>133</v>
      </c>
      <c r="B98" s="129">
        <v>8</v>
      </c>
      <c r="C98" s="134" t="s">
        <v>45</v>
      </c>
      <c r="D98" s="134" t="s">
        <v>249</v>
      </c>
      <c r="E98" s="134" t="s">
        <v>47</v>
      </c>
      <c r="F98" s="134" t="s">
        <v>303</v>
      </c>
      <c r="G98" s="129">
        <v>11</v>
      </c>
      <c r="H98" s="129">
        <v>73</v>
      </c>
      <c r="I98" s="129">
        <v>197</v>
      </c>
      <c r="J98" s="129">
        <v>135.5</v>
      </c>
      <c r="K98" s="129">
        <v>25.6</v>
      </c>
      <c r="L98" s="129">
        <v>148</v>
      </c>
      <c r="M98" s="130">
        <v>15</v>
      </c>
      <c r="N98" s="131">
        <v>97</v>
      </c>
      <c r="O98" s="143"/>
      <c r="W98" s="86">
        <f t="shared" si="2"/>
        <v>0</v>
      </c>
      <c r="X98" s="87">
        <f t="shared" si="3"/>
        <v>0</v>
      </c>
    </row>
    <row r="99" spans="1:24" x14ac:dyDescent="0.35">
      <c r="A99" s="125">
        <v>154</v>
      </c>
      <c r="B99" s="126">
        <v>9</v>
      </c>
      <c r="C99" s="133" t="s">
        <v>45</v>
      </c>
      <c r="D99" s="133" t="s">
        <v>194</v>
      </c>
      <c r="E99" s="133" t="s">
        <v>53</v>
      </c>
      <c r="F99" s="133" t="s">
        <v>346</v>
      </c>
      <c r="G99" s="126">
        <v>13</v>
      </c>
      <c r="H99" s="126">
        <v>78</v>
      </c>
      <c r="I99" s="126">
        <v>221</v>
      </c>
      <c r="J99" s="126">
        <v>154.9</v>
      </c>
      <c r="K99" s="126">
        <v>29.1</v>
      </c>
      <c r="L99" s="126">
        <v>156</v>
      </c>
      <c r="M99" s="127">
        <v>2</v>
      </c>
      <c r="N99" s="132">
        <v>98</v>
      </c>
      <c r="O99" s="144"/>
      <c r="W99" s="86">
        <f t="shared" si="2"/>
        <v>0</v>
      </c>
      <c r="X99" s="87">
        <f t="shared" si="3"/>
        <v>0</v>
      </c>
    </row>
    <row r="100" spans="1:24" x14ac:dyDescent="0.35">
      <c r="A100" s="128">
        <v>105</v>
      </c>
      <c r="B100" s="129">
        <v>8</v>
      </c>
      <c r="C100" s="134" t="s">
        <v>45</v>
      </c>
      <c r="D100" s="134" t="s">
        <v>302</v>
      </c>
      <c r="E100" s="134" t="s">
        <v>241</v>
      </c>
      <c r="F100" s="134" t="s">
        <v>266</v>
      </c>
      <c r="G100" s="129">
        <v>11</v>
      </c>
      <c r="H100" s="129">
        <v>56</v>
      </c>
      <c r="I100" s="129">
        <v>176</v>
      </c>
      <c r="J100" s="129">
        <v>112.8</v>
      </c>
      <c r="K100" s="129">
        <v>22.5</v>
      </c>
      <c r="L100" s="129">
        <v>92</v>
      </c>
      <c r="M100" s="130">
        <v>-13</v>
      </c>
      <c r="N100" s="131">
        <v>99</v>
      </c>
      <c r="O100" s="143"/>
      <c r="W100" s="86">
        <f t="shared" si="2"/>
        <v>0</v>
      </c>
      <c r="X100" s="87">
        <f t="shared" si="3"/>
        <v>0</v>
      </c>
    </row>
    <row r="101" spans="1:24" x14ac:dyDescent="0.35">
      <c r="A101" s="125">
        <v>124</v>
      </c>
      <c r="B101" s="126">
        <v>8</v>
      </c>
      <c r="C101" s="133" t="s">
        <v>45</v>
      </c>
      <c r="D101" s="133" t="s">
        <v>316</v>
      </c>
      <c r="E101" s="133" t="s">
        <v>56</v>
      </c>
      <c r="F101" s="133" t="s">
        <v>294</v>
      </c>
      <c r="G101" s="126">
        <v>6</v>
      </c>
      <c r="H101" s="126">
        <v>73</v>
      </c>
      <c r="I101" s="126">
        <v>187</v>
      </c>
      <c r="J101" s="126">
        <v>119.4</v>
      </c>
      <c r="K101" s="126">
        <v>22.5</v>
      </c>
      <c r="L101" s="126">
        <v>105</v>
      </c>
      <c r="M101" s="127">
        <v>-19</v>
      </c>
      <c r="N101" s="132">
        <v>100</v>
      </c>
      <c r="O101" s="144"/>
      <c r="W101" s="86">
        <f t="shared" si="2"/>
        <v>0</v>
      </c>
      <c r="X101" s="87">
        <f t="shared" si="3"/>
        <v>0</v>
      </c>
    </row>
    <row r="102" spans="1:24" x14ac:dyDescent="0.35">
      <c r="A102" s="128">
        <v>143</v>
      </c>
      <c r="B102" s="129">
        <v>9</v>
      </c>
      <c r="C102" s="134" t="s">
        <v>45</v>
      </c>
      <c r="D102" s="134" t="s">
        <v>1245</v>
      </c>
      <c r="E102" s="134" t="s">
        <v>1222</v>
      </c>
      <c r="F102" s="134" t="s">
        <v>317</v>
      </c>
      <c r="G102" s="129">
        <v>6</v>
      </c>
      <c r="H102" s="129">
        <v>81</v>
      </c>
      <c r="I102" s="129">
        <v>245</v>
      </c>
      <c r="J102" s="129">
        <v>147.1</v>
      </c>
      <c r="K102" s="129">
        <v>33.799999999999997</v>
      </c>
      <c r="L102" s="129">
        <v>125</v>
      </c>
      <c r="M102" s="130">
        <v>-18</v>
      </c>
      <c r="N102" s="131">
        <v>101</v>
      </c>
      <c r="O102" s="143"/>
      <c r="W102" s="86">
        <f t="shared" si="2"/>
        <v>0</v>
      </c>
      <c r="X102" s="87">
        <f t="shared" si="3"/>
        <v>0</v>
      </c>
    </row>
    <row r="103" spans="1:24" x14ac:dyDescent="0.35">
      <c r="A103" s="125">
        <v>176</v>
      </c>
      <c r="B103" s="126">
        <v>9</v>
      </c>
      <c r="C103" s="133" t="s">
        <v>45</v>
      </c>
      <c r="D103" s="133" t="s">
        <v>293</v>
      </c>
      <c r="E103" s="133" t="s">
        <v>134</v>
      </c>
      <c r="F103" s="133" t="s">
        <v>380</v>
      </c>
      <c r="G103" s="126">
        <v>9</v>
      </c>
      <c r="H103" s="126">
        <v>39</v>
      </c>
      <c r="I103" s="126">
        <v>268</v>
      </c>
      <c r="J103" s="126">
        <v>169.4</v>
      </c>
      <c r="K103" s="126">
        <v>34.4</v>
      </c>
      <c r="L103" s="126">
        <v>170</v>
      </c>
      <c r="M103" s="127">
        <v>-6</v>
      </c>
      <c r="N103" s="132">
        <v>102</v>
      </c>
      <c r="O103" s="144"/>
      <c r="W103" s="86">
        <f t="shared" si="2"/>
        <v>0</v>
      </c>
      <c r="X103" s="87">
        <f t="shared" si="3"/>
        <v>0</v>
      </c>
    </row>
    <row r="104" spans="1:24" x14ac:dyDescent="0.35">
      <c r="A104" s="128">
        <v>113</v>
      </c>
      <c r="B104" s="129">
        <v>8</v>
      </c>
      <c r="C104" s="134" t="s">
        <v>45</v>
      </c>
      <c r="D104" s="134" t="s">
        <v>580</v>
      </c>
      <c r="E104" s="134" t="s">
        <v>102</v>
      </c>
      <c r="F104" s="134" t="s">
        <v>325</v>
      </c>
      <c r="G104" s="129">
        <v>7</v>
      </c>
      <c r="H104" s="129">
        <v>60</v>
      </c>
      <c r="I104" s="129">
        <v>232</v>
      </c>
      <c r="J104" s="129">
        <v>126.7</v>
      </c>
      <c r="K104" s="129">
        <v>28.2</v>
      </c>
      <c r="L104" s="129">
        <v>123</v>
      </c>
      <c r="M104" s="130">
        <v>10</v>
      </c>
      <c r="N104" s="131">
        <v>103</v>
      </c>
      <c r="O104" s="143"/>
      <c r="W104" s="86">
        <f t="shared" si="2"/>
        <v>0</v>
      </c>
      <c r="X104" s="87">
        <f t="shared" si="3"/>
        <v>0</v>
      </c>
    </row>
    <row r="105" spans="1:24" x14ac:dyDescent="0.35">
      <c r="A105" s="125">
        <v>106</v>
      </c>
      <c r="B105" s="126">
        <v>8</v>
      </c>
      <c r="C105" s="133" t="s">
        <v>45</v>
      </c>
      <c r="D105" s="133" t="s">
        <v>1386</v>
      </c>
      <c r="E105" s="133" t="s">
        <v>82</v>
      </c>
      <c r="F105" s="133" t="s">
        <v>289</v>
      </c>
      <c r="G105" s="126">
        <v>9</v>
      </c>
      <c r="H105" s="126">
        <v>68</v>
      </c>
      <c r="I105" s="126">
        <v>270</v>
      </c>
      <c r="J105" s="126">
        <v>125.9</v>
      </c>
      <c r="K105" s="126">
        <v>35.6</v>
      </c>
      <c r="L105" s="126">
        <v>111</v>
      </c>
      <c r="M105" s="127">
        <v>5</v>
      </c>
      <c r="N105" s="132">
        <v>104</v>
      </c>
      <c r="O105" s="144"/>
      <c r="W105" s="86">
        <f t="shared" si="2"/>
        <v>0</v>
      </c>
      <c r="X105" s="87">
        <f t="shared" si="3"/>
        <v>0</v>
      </c>
    </row>
    <row r="106" spans="1:24" x14ac:dyDescent="0.35">
      <c r="A106" s="125">
        <v>102</v>
      </c>
      <c r="B106" s="126">
        <v>7</v>
      </c>
      <c r="C106" s="133" t="s">
        <v>45</v>
      </c>
      <c r="D106" s="133" t="s">
        <v>218</v>
      </c>
      <c r="E106" s="133" t="s">
        <v>56</v>
      </c>
      <c r="F106" s="133" t="s">
        <v>285</v>
      </c>
      <c r="G106" s="126">
        <v>6</v>
      </c>
      <c r="H106" s="126">
        <v>66</v>
      </c>
      <c r="I106" s="126">
        <v>210</v>
      </c>
      <c r="J106" s="126">
        <v>111.1</v>
      </c>
      <c r="K106" s="126">
        <v>25</v>
      </c>
      <c r="L106" s="126">
        <v>119</v>
      </c>
      <c r="M106" s="127">
        <v>17</v>
      </c>
      <c r="N106" s="132">
        <v>105</v>
      </c>
      <c r="O106" s="144"/>
      <c r="W106" s="86">
        <f t="shared" si="2"/>
        <v>0</v>
      </c>
      <c r="X106" s="87">
        <f t="shared" si="3"/>
        <v>0</v>
      </c>
    </row>
    <row r="107" spans="1:24" x14ac:dyDescent="0.35">
      <c r="A107" s="125">
        <v>156</v>
      </c>
      <c r="B107" s="126">
        <v>9</v>
      </c>
      <c r="C107" s="133" t="s">
        <v>45</v>
      </c>
      <c r="D107" s="133" t="s">
        <v>612</v>
      </c>
      <c r="E107" s="133" t="s">
        <v>71</v>
      </c>
      <c r="F107" s="133" t="s">
        <v>350</v>
      </c>
      <c r="G107" s="126">
        <v>11</v>
      </c>
      <c r="H107" s="126">
        <v>87</v>
      </c>
      <c r="I107" s="126">
        <v>277</v>
      </c>
      <c r="J107" s="126">
        <v>159.19999999999999</v>
      </c>
      <c r="K107" s="126">
        <v>31.5</v>
      </c>
      <c r="L107" s="126">
        <v>165</v>
      </c>
      <c r="M107" s="127">
        <v>9</v>
      </c>
      <c r="N107" s="132">
        <v>106</v>
      </c>
      <c r="O107" s="144"/>
      <c r="W107" s="86">
        <f t="shared" si="2"/>
        <v>0</v>
      </c>
      <c r="X107" s="87">
        <f t="shared" si="3"/>
        <v>0</v>
      </c>
    </row>
    <row r="108" spans="1:24" x14ac:dyDescent="0.35">
      <c r="A108" s="128">
        <v>145</v>
      </c>
      <c r="B108" s="129">
        <v>9</v>
      </c>
      <c r="C108" s="134" t="s">
        <v>45</v>
      </c>
      <c r="D108" s="134" t="s">
        <v>1242</v>
      </c>
      <c r="E108" s="134" t="s">
        <v>161</v>
      </c>
      <c r="F108" s="134" t="s">
        <v>326</v>
      </c>
      <c r="G108" s="129">
        <v>8</v>
      </c>
      <c r="H108" s="129">
        <v>76</v>
      </c>
      <c r="I108" s="129">
        <v>205</v>
      </c>
      <c r="J108" s="129">
        <v>142.6</v>
      </c>
      <c r="K108" s="129">
        <v>25.2</v>
      </c>
      <c r="L108" s="129">
        <v>108</v>
      </c>
      <c r="M108" s="130">
        <v>-37</v>
      </c>
      <c r="N108" s="131">
        <v>107</v>
      </c>
      <c r="O108" s="143"/>
      <c r="W108" s="86">
        <f t="shared" si="2"/>
        <v>0</v>
      </c>
      <c r="X108" s="87">
        <f t="shared" si="3"/>
        <v>0</v>
      </c>
    </row>
    <row r="109" spans="1:24" x14ac:dyDescent="0.35">
      <c r="A109" s="125">
        <v>116</v>
      </c>
      <c r="B109" s="126">
        <v>8</v>
      </c>
      <c r="C109" s="133" t="s">
        <v>45</v>
      </c>
      <c r="D109" s="133" t="s">
        <v>190</v>
      </c>
      <c r="E109" s="133" t="s">
        <v>59</v>
      </c>
      <c r="F109" s="133" t="s">
        <v>270</v>
      </c>
      <c r="G109" s="126">
        <v>10</v>
      </c>
      <c r="H109" s="126">
        <v>63</v>
      </c>
      <c r="I109" s="126">
        <v>192</v>
      </c>
      <c r="J109" s="126">
        <v>112.9</v>
      </c>
      <c r="K109" s="126">
        <v>24.9</v>
      </c>
      <c r="L109" s="126">
        <v>122</v>
      </c>
      <c r="M109" s="127">
        <v>6</v>
      </c>
      <c r="N109" s="132">
        <v>108</v>
      </c>
      <c r="O109" s="144"/>
      <c r="W109" s="86">
        <f t="shared" si="2"/>
        <v>0</v>
      </c>
      <c r="X109" s="87">
        <f t="shared" si="3"/>
        <v>0</v>
      </c>
    </row>
    <row r="110" spans="1:24" x14ac:dyDescent="0.35">
      <c r="A110" s="125">
        <v>128</v>
      </c>
      <c r="B110" s="126">
        <v>8</v>
      </c>
      <c r="C110" s="133" t="s">
        <v>45</v>
      </c>
      <c r="D110" s="133" t="s">
        <v>1241</v>
      </c>
      <c r="E110" s="133" t="s">
        <v>50</v>
      </c>
      <c r="F110" s="133" t="s">
        <v>299</v>
      </c>
      <c r="G110" s="126">
        <v>10</v>
      </c>
      <c r="H110" s="126">
        <v>63</v>
      </c>
      <c r="I110" s="126">
        <v>186</v>
      </c>
      <c r="J110" s="126">
        <v>121</v>
      </c>
      <c r="K110" s="126">
        <v>26.4</v>
      </c>
      <c r="L110" s="126">
        <v>106</v>
      </c>
      <c r="M110" s="127">
        <v>-22</v>
      </c>
      <c r="N110" s="132">
        <v>109</v>
      </c>
      <c r="O110" s="144"/>
      <c r="W110" s="86">
        <f t="shared" si="2"/>
        <v>0</v>
      </c>
      <c r="X110" s="87">
        <f t="shared" si="3"/>
        <v>0</v>
      </c>
    </row>
    <row r="111" spans="1:24" x14ac:dyDescent="0.35">
      <c r="A111" s="125">
        <v>78</v>
      </c>
      <c r="B111" s="126">
        <v>6</v>
      </c>
      <c r="C111" s="133" t="s">
        <v>45</v>
      </c>
      <c r="D111" s="133" t="s">
        <v>196</v>
      </c>
      <c r="E111" s="133" t="s">
        <v>59</v>
      </c>
      <c r="F111" s="133" t="s">
        <v>229</v>
      </c>
      <c r="G111" s="126">
        <v>10</v>
      </c>
      <c r="H111" s="126">
        <v>38</v>
      </c>
      <c r="I111" s="126">
        <v>146</v>
      </c>
      <c r="J111" s="126">
        <v>83.4</v>
      </c>
      <c r="K111" s="126">
        <v>22.1</v>
      </c>
      <c r="L111" s="126">
        <v>66</v>
      </c>
      <c r="M111" s="127">
        <v>-12</v>
      </c>
      <c r="N111" s="132">
        <v>110</v>
      </c>
      <c r="O111" s="144"/>
      <c r="W111" s="86">
        <f t="shared" si="2"/>
        <v>0</v>
      </c>
      <c r="X111" s="87">
        <f t="shared" si="3"/>
        <v>0</v>
      </c>
    </row>
    <row r="112" spans="1:24" x14ac:dyDescent="0.35">
      <c r="A112" s="125">
        <v>92</v>
      </c>
      <c r="B112" s="126">
        <v>7</v>
      </c>
      <c r="C112" s="133" t="s">
        <v>45</v>
      </c>
      <c r="D112" s="133" t="s">
        <v>230</v>
      </c>
      <c r="E112" s="133" t="s">
        <v>56</v>
      </c>
      <c r="F112" s="133" t="s">
        <v>248</v>
      </c>
      <c r="G112" s="126">
        <v>6</v>
      </c>
      <c r="H112" s="126">
        <v>49</v>
      </c>
      <c r="I112" s="126">
        <v>188</v>
      </c>
      <c r="J112" s="126">
        <v>103.6</v>
      </c>
      <c r="K112" s="126">
        <v>24.5</v>
      </c>
      <c r="L112" s="126">
        <v>79</v>
      </c>
      <c r="M112" s="127">
        <v>-13</v>
      </c>
      <c r="N112" s="132">
        <v>111</v>
      </c>
      <c r="O112" s="144"/>
      <c r="W112" s="86">
        <f t="shared" si="2"/>
        <v>0</v>
      </c>
      <c r="X112" s="87">
        <f t="shared" si="3"/>
        <v>0</v>
      </c>
    </row>
    <row r="113" spans="1:24" x14ac:dyDescent="0.35">
      <c r="A113" s="128">
        <v>107</v>
      </c>
      <c r="B113" s="129">
        <v>8</v>
      </c>
      <c r="C113" s="134" t="s">
        <v>45</v>
      </c>
      <c r="D113" s="134" t="s">
        <v>1323</v>
      </c>
      <c r="E113" s="134" t="s">
        <v>105</v>
      </c>
      <c r="F113" s="134" t="s">
        <v>298</v>
      </c>
      <c r="G113" s="129">
        <v>13</v>
      </c>
      <c r="H113" s="129">
        <v>42</v>
      </c>
      <c r="I113" s="129">
        <v>267</v>
      </c>
      <c r="J113" s="129">
        <v>110.3</v>
      </c>
      <c r="K113" s="129">
        <v>33.200000000000003</v>
      </c>
      <c r="L113" s="129">
        <v>81</v>
      </c>
      <c r="M113" s="130">
        <v>-26</v>
      </c>
      <c r="N113" s="131">
        <v>112</v>
      </c>
      <c r="O113" s="143"/>
      <c r="W113" s="86">
        <f t="shared" si="2"/>
        <v>0</v>
      </c>
      <c r="X113" s="87">
        <f t="shared" si="3"/>
        <v>0</v>
      </c>
    </row>
    <row r="114" spans="1:24" x14ac:dyDescent="0.35">
      <c r="A114" s="125">
        <v>112</v>
      </c>
      <c r="B114" s="126">
        <v>8</v>
      </c>
      <c r="C114" s="133" t="s">
        <v>45</v>
      </c>
      <c r="D114" s="133" t="s">
        <v>409</v>
      </c>
      <c r="E114" s="133" t="s">
        <v>161</v>
      </c>
      <c r="F114" s="133" t="s">
        <v>319</v>
      </c>
      <c r="G114" s="126">
        <v>8</v>
      </c>
      <c r="H114" s="126">
        <v>59</v>
      </c>
      <c r="I114" s="126">
        <v>236</v>
      </c>
      <c r="J114" s="126">
        <v>126.6</v>
      </c>
      <c r="K114" s="126">
        <v>28.7</v>
      </c>
      <c r="L114" s="126">
        <v>118</v>
      </c>
      <c r="M114" s="127">
        <v>6</v>
      </c>
      <c r="N114" s="132">
        <v>113</v>
      </c>
      <c r="O114" s="144"/>
      <c r="W114" s="86">
        <f t="shared" si="2"/>
        <v>0</v>
      </c>
      <c r="X114" s="87">
        <f t="shared" si="3"/>
        <v>0</v>
      </c>
    </row>
    <row r="115" spans="1:24" x14ac:dyDescent="0.35">
      <c r="A115" s="128">
        <v>97</v>
      </c>
      <c r="B115" s="129">
        <v>7</v>
      </c>
      <c r="C115" s="134" t="s">
        <v>45</v>
      </c>
      <c r="D115" s="134" t="s">
        <v>537</v>
      </c>
      <c r="E115" s="134" t="s">
        <v>77</v>
      </c>
      <c r="F115" s="134" t="s">
        <v>291</v>
      </c>
      <c r="G115" s="129">
        <v>10</v>
      </c>
      <c r="H115" s="129">
        <v>35</v>
      </c>
      <c r="I115" s="129">
        <v>260</v>
      </c>
      <c r="J115" s="129">
        <v>100.6</v>
      </c>
      <c r="K115" s="129">
        <v>32.799999999999997</v>
      </c>
      <c r="L115" s="129">
        <v>113</v>
      </c>
      <c r="M115" s="130">
        <v>16</v>
      </c>
      <c r="N115" s="131">
        <v>114</v>
      </c>
      <c r="O115" s="143"/>
      <c r="W115" s="86">
        <f t="shared" si="2"/>
        <v>0</v>
      </c>
      <c r="X115" s="87">
        <f t="shared" si="3"/>
        <v>0</v>
      </c>
    </row>
    <row r="116" spans="1:24" x14ac:dyDescent="0.35">
      <c r="A116" s="125">
        <v>114</v>
      </c>
      <c r="B116" s="126">
        <v>8</v>
      </c>
      <c r="C116" s="133" t="s">
        <v>45</v>
      </c>
      <c r="D116" s="133" t="s">
        <v>397</v>
      </c>
      <c r="E116" s="133" t="s">
        <v>144</v>
      </c>
      <c r="F116" s="133" t="s">
        <v>334</v>
      </c>
      <c r="G116" s="126">
        <v>5</v>
      </c>
      <c r="H116" s="126">
        <v>56</v>
      </c>
      <c r="I116" s="126">
        <v>232</v>
      </c>
      <c r="J116" s="126">
        <v>127.3</v>
      </c>
      <c r="K116" s="126">
        <v>23.9</v>
      </c>
      <c r="L116" s="126">
        <v>130</v>
      </c>
      <c r="M116" s="127">
        <v>16</v>
      </c>
      <c r="N116" s="132">
        <v>115</v>
      </c>
      <c r="O116" s="144"/>
      <c r="W116" s="86">
        <f t="shared" si="2"/>
        <v>0</v>
      </c>
      <c r="X116" s="87">
        <f t="shared" si="3"/>
        <v>0</v>
      </c>
    </row>
    <row r="117" spans="1:24" x14ac:dyDescent="0.35">
      <c r="A117" s="128">
        <v>71</v>
      </c>
      <c r="B117" s="129">
        <v>6</v>
      </c>
      <c r="C117" s="134" t="s">
        <v>45</v>
      </c>
      <c r="D117" s="134" t="s">
        <v>215</v>
      </c>
      <c r="E117" s="134" t="s">
        <v>77</v>
      </c>
      <c r="F117" s="134" t="s">
        <v>216</v>
      </c>
      <c r="G117" s="129">
        <v>10</v>
      </c>
      <c r="H117" s="129">
        <v>44</v>
      </c>
      <c r="I117" s="129">
        <v>111</v>
      </c>
      <c r="J117" s="129">
        <v>78.099999999999994</v>
      </c>
      <c r="K117" s="129">
        <v>11.3</v>
      </c>
      <c r="L117" s="129">
        <v>76</v>
      </c>
      <c r="M117" s="130">
        <v>5</v>
      </c>
      <c r="N117" s="131">
        <v>116</v>
      </c>
      <c r="O117" s="143"/>
      <c r="W117" s="86">
        <f t="shared" si="2"/>
        <v>0</v>
      </c>
      <c r="X117" s="87">
        <f t="shared" si="3"/>
        <v>0</v>
      </c>
    </row>
    <row r="118" spans="1:24" x14ac:dyDescent="0.35">
      <c r="A118" s="128">
        <v>93</v>
      </c>
      <c r="B118" s="129">
        <v>7</v>
      </c>
      <c r="C118" s="134" t="s">
        <v>45</v>
      </c>
      <c r="D118" s="134" t="s">
        <v>306</v>
      </c>
      <c r="E118" s="134" t="s">
        <v>105</v>
      </c>
      <c r="F118" s="134" t="s">
        <v>260</v>
      </c>
      <c r="G118" s="129">
        <v>13</v>
      </c>
      <c r="H118" s="129">
        <v>58</v>
      </c>
      <c r="I118" s="129">
        <v>184</v>
      </c>
      <c r="J118" s="129">
        <v>96.5</v>
      </c>
      <c r="K118" s="129">
        <v>17.8</v>
      </c>
      <c r="L118" s="129">
        <v>83</v>
      </c>
      <c r="M118" s="130">
        <v>-10</v>
      </c>
      <c r="N118" s="131">
        <v>117</v>
      </c>
      <c r="O118" s="143"/>
      <c r="W118" s="86">
        <f t="shared" si="2"/>
        <v>0</v>
      </c>
      <c r="X118" s="87">
        <f t="shared" si="3"/>
        <v>0</v>
      </c>
    </row>
    <row r="119" spans="1:24" x14ac:dyDescent="0.35">
      <c r="A119" s="125">
        <v>84</v>
      </c>
      <c r="B119" s="126">
        <v>7</v>
      </c>
      <c r="C119" s="133" t="s">
        <v>45</v>
      </c>
      <c r="D119" s="133" t="s">
        <v>259</v>
      </c>
      <c r="E119" s="133" t="s">
        <v>134</v>
      </c>
      <c r="F119" s="133" t="s">
        <v>252</v>
      </c>
      <c r="G119" s="126">
        <v>9</v>
      </c>
      <c r="H119" s="126">
        <v>59</v>
      </c>
      <c r="I119" s="126">
        <v>218</v>
      </c>
      <c r="J119" s="126">
        <v>90.5</v>
      </c>
      <c r="K119" s="126">
        <v>19.100000000000001</v>
      </c>
      <c r="L119" s="126">
        <v>87</v>
      </c>
      <c r="M119" s="127">
        <v>3</v>
      </c>
      <c r="N119" s="132">
        <v>118</v>
      </c>
      <c r="O119" s="144"/>
      <c r="W119" s="86">
        <f t="shared" si="2"/>
        <v>0</v>
      </c>
      <c r="X119" s="87">
        <f t="shared" si="3"/>
        <v>0</v>
      </c>
    </row>
    <row r="120" spans="1:24" x14ac:dyDescent="0.35">
      <c r="A120" s="125">
        <v>76</v>
      </c>
      <c r="B120" s="126">
        <v>6</v>
      </c>
      <c r="C120" s="133" t="s">
        <v>45</v>
      </c>
      <c r="D120" s="133" t="s">
        <v>304</v>
      </c>
      <c r="E120" s="133" t="s">
        <v>241</v>
      </c>
      <c r="F120" s="133" t="s">
        <v>221</v>
      </c>
      <c r="G120" s="126">
        <v>11</v>
      </c>
      <c r="H120" s="126">
        <v>45</v>
      </c>
      <c r="I120" s="126">
        <v>214</v>
      </c>
      <c r="J120" s="126">
        <v>79.5</v>
      </c>
      <c r="K120" s="126">
        <v>19.600000000000001</v>
      </c>
      <c r="L120" s="126">
        <v>68</v>
      </c>
      <c r="M120" s="127">
        <v>-8</v>
      </c>
      <c r="N120" s="132">
        <v>119</v>
      </c>
      <c r="O120" s="144"/>
      <c r="W120" s="86">
        <f t="shared" si="2"/>
        <v>0</v>
      </c>
      <c r="X120" s="87">
        <f t="shared" si="3"/>
        <v>0</v>
      </c>
    </row>
    <row r="121" spans="1:24" x14ac:dyDescent="0.35">
      <c r="A121" s="125">
        <v>82</v>
      </c>
      <c r="B121" s="126">
        <v>7</v>
      </c>
      <c r="C121" s="133" t="s">
        <v>45</v>
      </c>
      <c r="D121" s="133" t="s">
        <v>220</v>
      </c>
      <c r="E121" s="133" t="s">
        <v>56</v>
      </c>
      <c r="F121" s="133" t="s">
        <v>235</v>
      </c>
      <c r="G121" s="126">
        <v>6</v>
      </c>
      <c r="H121" s="126">
        <v>57</v>
      </c>
      <c r="I121" s="126">
        <v>118</v>
      </c>
      <c r="J121" s="126">
        <v>89</v>
      </c>
      <c r="K121" s="126">
        <v>13.2</v>
      </c>
      <c r="L121" s="126">
        <v>71</v>
      </c>
      <c r="M121" s="127">
        <v>-11</v>
      </c>
      <c r="N121" s="132">
        <v>120</v>
      </c>
      <c r="O121" s="144"/>
      <c r="W121" s="86">
        <f t="shared" si="2"/>
        <v>0</v>
      </c>
      <c r="X121" s="87">
        <f t="shared" si="3"/>
        <v>0</v>
      </c>
    </row>
    <row r="122" spans="1:24" x14ac:dyDescent="0.35">
      <c r="A122" s="128">
        <v>91</v>
      </c>
      <c r="B122" s="129">
        <v>7</v>
      </c>
      <c r="C122" s="134" t="s">
        <v>45</v>
      </c>
      <c r="D122" s="134" t="s">
        <v>372</v>
      </c>
      <c r="E122" s="134" t="s">
        <v>144</v>
      </c>
      <c r="F122" s="134" t="s">
        <v>258</v>
      </c>
      <c r="G122" s="129">
        <v>5</v>
      </c>
      <c r="H122" s="129">
        <v>63</v>
      </c>
      <c r="I122" s="129">
        <v>220</v>
      </c>
      <c r="J122" s="129">
        <v>99.2</v>
      </c>
      <c r="K122" s="129">
        <v>20.6</v>
      </c>
      <c r="L122" s="129">
        <v>99</v>
      </c>
      <c r="M122" s="130">
        <v>8</v>
      </c>
      <c r="N122" s="131">
        <v>121</v>
      </c>
      <c r="O122" s="143"/>
      <c r="W122" s="86">
        <f t="shared" si="2"/>
        <v>0</v>
      </c>
      <c r="X122" s="87">
        <f t="shared" si="3"/>
        <v>0</v>
      </c>
    </row>
    <row r="123" spans="1:24" x14ac:dyDescent="0.35">
      <c r="A123" s="125">
        <v>104</v>
      </c>
      <c r="B123" s="126">
        <v>7</v>
      </c>
      <c r="C123" s="133" t="s">
        <v>45</v>
      </c>
      <c r="D123" s="133" t="s">
        <v>165</v>
      </c>
      <c r="E123" s="133" t="s">
        <v>65</v>
      </c>
      <c r="F123" s="133" t="s">
        <v>264</v>
      </c>
      <c r="G123" s="126">
        <v>5</v>
      </c>
      <c r="H123" s="126">
        <v>60</v>
      </c>
      <c r="I123" s="126">
        <v>306</v>
      </c>
      <c r="J123" s="126">
        <v>103.2</v>
      </c>
      <c r="K123" s="126">
        <v>27.9</v>
      </c>
      <c r="L123" s="126">
        <v>86</v>
      </c>
      <c r="M123" s="127">
        <v>-18</v>
      </c>
      <c r="N123" s="132">
        <v>122</v>
      </c>
      <c r="O123" s="144"/>
      <c r="W123" s="86">
        <f t="shared" si="2"/>
        <v>0</v>
      </c>
      <c r="X123" s="87">
        <f t="shared" si="3"/>
        <v>0</v>
      </c>
    </row>
    <row r="124" spans="1:24" x14ac:dyDescent="0.35">
      <c r="A124" s="125">
        <v>146</v>
      </c>
      <c r="B124" s="126">
        <v>9</v>
      </c>
      <c r="C124" s="133" t="s">
        <v>45</v>
      </c>
      <c r="D124" s="133" t="s">
        <v>386</v>
      </c>
      <c r="E124" s="133" t="s">
        <v>88</v>
      </c>
      <c r="F124" s="133" t="s">
        <v>330</v>
      </c>
      <c r="G124" s="126">
        <v>10</v>
      </c>
      <c r="H124" s="126">
        <v>77</v>
      </c>
      <c r="I124" s="126">
        <v>218</v>
      </c>
      <c r="J124" s="126">
        <v>147.5</v>
      </c>
      <c r="K124" s="126">
        <v>27.6</v>
      </c>
      <c r="L124" s="126">
        <v>137</v>
      </c>
      <c r="M124" s="127">
        <v>-9</v>
      </c>
      <c r="N124" s="132">
        <v>123</v>
      </c>
      <c r="O124" s="144"/>
      <c r="W124" s="86">
        <f t="shared" si="2"/>
        <v>0</v>
      </c>
      <c r="X124" s="87">
        <f t="shared" si="3"/>
        <v>0</v>
      </c>
    </row>
    <row r="125" spans="1:24" x14ac:dyDescent="0.35">
      <c r="A125" s="128">
        <v>159</v>
      </c>
      <c r="B125" s="129">
        <v>9</v>
      </c>
      <c r="C125" s="134" t="s">
        <v>45</v>
      </c>
      <c r="D125" s="134" t="s">
        <v>351</v>
      </c>
      <c r="E125" s="134" t="s">
        <v>119</v>
      </c>
      <c r="F125" s="134" t="s">
        <v>352</v>
      </c>
      <c r="G125" s="129">
        <v>6</v>
      </c>
      <c r="H125" s="129">
        <v>73</v>
      </c>
      <c r="I125" s="129">
        <v>274</v>
      </c>
      <c r="J125" s="129">
        <v>160.80000000000001</v>
      </c>
      <c r="K125" s="129">
        <v>31.9</v>
      </c>
      <c r="L125" s="129">
        <v>190</v>
      </c>
      <c r="M125" s="130">
        <v>31</v>
      </c>
      <c r="N125" s="131">
        <v>124</v>
      </c>
      <c r="O125" s="143"/>
      <c r="W125" s="86">
        <f t="shared" si="2"/>
        <v>0</v>
      </c>
      <c r="X125" s="87">
        <f t="shared" si="3"/>
        <v>0</v>
      </c>
    </row>
    <row r="126" spans="1:24" x14ac:dyDescent="0.35">
      <c r="A126" s="128">
        <v>155</v>
      </c>
      <c r="B126" s="129">
        <v>9</v>
      </c>
      <c r="C126" s="134" t="s">
        <v>45</v>
      </c>
      <c r="D126" s="134" t="s">
        <v>265</v>
      </c>
      <c r="E126" s="134" t="s">
        <v>53</v>
      </c>
      <c r="F126" s="134" t="s">
        <v>348</v>
      </c>
      <c r="G126" s="129">
        <v>13</v>
      </c>
      <c r="H126" s="129">
        <v>94</v>
      </c>
      <c r="I126" s="129">
        <v>236</v>
      </c>
      <c r="J126" s="129">
        <v>155.19999999999999</v>
      </c>
      <c r="K126" s="129">
        <v>29.4</v>
      </c>
      <c r="L126" s="129">
        <v>178</v>
      </c>
      <c r="M126" s="130">
        <v>23</v>
      </c>
      <c r="N126" s="131">
        <v>125</v>
      </c>
      <c r="O126" s="143"/>
      <c r="W126" s="86">
        <f t="shared" si="2"/>
        <v>0</v>
      </c>
      <c r="X126" s="87">
        <f t="shared" si="3"/>
        <v>0</v>
      </c>
    </row>
    <row r="127" spans="1:24" x14ac:dyDescent="0.35">
      <c r="A127" s="125">
        <v>174</v>
      </c>
      <c r="B127" s="126">
        <v>9</v>
      </c>
      <c r="C127" s="133" t="s">
        <v>45</v>
      </c>
      <c r="D127" s="133" t="s">
        <v>379</v>
      </c>
      <c r="E127" s="133" t="s">
        <v>108</v>
      </c>
      <c r="F127" s="133" t="s">
        <v>376</v>
      </c>
      <c r="G127" s="126">
        <v>7</v>
      </c>
      <c r="H127" s="126">
        <v>101</v>
      </c>
      <c r="I127" s="126">
        <v>255</v>
      </c>
      <c r="J127" s="126">
        <v>182.6</v>
      </c>
      <c r="K127" s="126">
        <v>26.7</v>
      </c>
      <c r="L127" s="126">
        <v>212</v>
      </c>
      <c r="M127" s="127">
        <v>38</v>
      </c>
      <c r="N127" s="132">
        <v>126</v>
      </c>
      <c r="O127" s="144"/>
      <c r="W127" s="86">
        <f t="shared" si="2"/>
        <v>0</v>
      </c>
      <c r="X127" s="87">
        <f t="shared" si="3"/>
        <v>0</v>
      </c>
    </row>
    <row r="128" spans="1:24" x14ac:dyDescent="0.35">
      <c r="A128" s="128">
        <v>121</v>
      </c>
      <c r="B128" s="129">
        <v>8</v>
      </c>
      <c r="C128" s="134" t="s">
        <v>45</v>
      </c>
      <c r="D128" s="134" t="s">
        <v>267</v>
      </c>
      <c r="E128" s="134" t="s">
        <v>174</v>
      </c>
      <c r="F128" s="134" t="s">
        <v>287</v>
      </c>
      <c r="G128" s="129">
        <v>11</v>
      </c>
      <c r="H128" s="129">
        <v>78</v>
      </c>
      <c r="I128" s="129">
        <v>217</v>
      </c>
      <c r="J128" s="129">
        <v>124</v>
      </c>
      <c r="K128" s="129">
        <v>27.2</v>
      </c>
      <c r="L128" s="129">
        <v>155</v>
      </c>
      <c r="M128" s="130">
        <v>34</v>
      </c>
      <c r="N128" s="131">
        <v>127</v>
      </c>
      <c r="O128" s="143"/>
      <c r="W128" s="86">
        <f t="shared" si="2"/>
        <v>0</v>
      </c>
      <c r="X128" s="87">
        <f t="shared" si="3"/>
        <v>0</v>
      </c>
    </row>
    <row r="129" spans="1:24" x14ac:dyDescent="0.35">
      <c r="A129" s="125">
        <v>108</v>
      </c>
      <c r="B129" s="126">
        <v>8</v>
      </c>
      <c r="C129" s="133" t="s">
        <v>45</v>
      </c>
      <c r="D129" s="133" t="s">
        <v>1224</v>
      </c>
      <c r="E129" s="133" t="s">
        <v>62</v>
      </c>
      <c r="F129" s="133" t="s">
        <v>301</v>
      </c>
      <c r="G129" s="126">
        <v>8</v>
      </c>
      <c r="H129" s="126">
        <v>74</v>
      </c>
      <c r="I129" s="126">
        <v>265</v>
      </c>
      <c r="J129" s="126">
        <v>127.2</v>
      </c>
      <c r="K129" s="126">
        <v>28.8</v>
      </c>
      <c r="L129" s="126">
        <v>154</v>
      </c>
      <c r="M129" s="127">
        <v>46</v>
      </c>
      <c r="N129" s="132">
        <v>128</v>
      </c>
      <c r="O129" s="144"/>
      <c r="W129" s="86">
        <f t="shared" si="2"/>
        <v>0</v>
      </c>
      <c r="X129" s="87">
        <f t="shared" si="3"/>
        <v>0</v>
      </c>
    </row>
    <row r="130" spans="1:24" x14ac:dyDescent="0.35">
      <c r="A130" s="125">
        <v>94</v>
      </c>
      <c r="B130" s="126">
        <v>7</v>
      </c>
      <c r="C130" s="133" t="s">
        <v>45</v>
      </c>
      <c r="D130" s="133" t="s">
        <v>112</v>
      </c>
      <c r="E130" s="133" t="s">
        <v>108</v>
      </c>
      <c r="F130" s="133" t="s">
        <v>256</v>
      </c>
      <c r="G130" s="126">
        <v>7</v>
      </c>
      <c r="H130" s="126">
        <v>42</v>
      </c>
      <c r="I130" s="126">
        <v>229</v>
      </c>
      <c r="J130" s="126">
        <v>105</v>
      </c>
      <c r="K130" s="126">
        <v>30.6</v>
      </c>
      <c r="L130" s="126">
        <v>100</v>
      </c>
      <c r="M130" s="127">
        <v>6</v>
      </c>
      <c r="N130" s="132">
        <v>129</v>
      </c>
      <c r="O130" s="144"/>
      <c r="W130" s="86">
        <f t="shared" si="2"/>
        <v>0</v>
      </c>
      <c r="X130" s="87">
        <f t="shared" si="3"/>
        <v>0</v>
      </c>
    </row>
    <row r="131" spans="1:24" x14ac:dyDescent="0.35">
      <c r="A131" s="128">
        <v>135</v>
      </c>
      <c r="B131" s="129">
        <v>8</v>
      </c>
      <c r="C131" s="134" t="s">
        <v>45</v>
      </c>
      <c r="D131" s="134" t="s">
        <v>525</v>
      </c>
      <c r="E131" s="134" t="s">
        <v>68</v>
      </c>
      <c r="F131" s="134" t="s">
        <v>354</v>
      </c>
      <c r="G131" s="129">
        <v>8</v>
      </c>
      <c r="H131" s="129">
        <v>80</v>
      </c>
      <c r="I131" s="129">
        <v>241</v>
      </c>
      <c r="J131" s="129">
        <v>147.80000000000001</v>
      </c>
      <c r="K131" s="129">
        <v>29.3</v>
      </c>
      <c r="L131" s="129">
        <v>181</v>
      </c>
      <c r="M131" s="130">
        <v>46</v>
      </c>
      <c r="N131" s="131">
        <v>130</v>
      </c>
      <c r="O131" s="143"/>
      <c r="W131" s="86">
        <f t="shared" ref="W131:W194" si="4">IF(LEFT(F131,1)="K",J131,0)</f>
        <v>0</v>
      </c>
      <c r="X131" s="87">
        <f t="shared" ref="X131:X194" si="5">IF(LEFT(F131,1)="K",K131,0)</f>
        <v>0</v>
      </c>
    </row>
    <row r="132" spans="1:24" x14ac:dyDescent="0.35">
      <c r="A132" s="128">
        <v>109</v>
      </c>
      <c r="B132" s="129">
        <v>8</v>
      </c>
      <c r="C132" s="134" t="s">
        <v>45</v>
      </c>
      <c r="D132" s="134" t="s">
        <v>118</v>
      </c>
      <c r="E132" s="134" t="s">
        <v>119</v>
      </c>
      <c r="F132" s="134" t="s">
        <v>323</v>
      </c>
      <c r="G132" s="129">
        <v>6</v>
      </c>
      <c r="H132" s="129">
        <v>65</v>
      </c>
      <c r="I132" s="129">
        <v>182</v>
      </c>
      <c r="J132" s="129">
        <v>112.5</v>
      </c>
      <c r="K132" s="129">
        <v>29.6</v>
      </c>
      <c r="L132" s="129">
        <v>85</v>
      </c>
      <c r="M132" s="130">
        <v>-24</v>
      </c>
      <c r="N132" s="131">
        <v>131</v>
      </c>
      <c r="O132" s="143"/>
      <c r="W132" s="86">
        <f t="shared" si="4"/>
        <v>0</v>
      </c>
      <c r="X132" s="87">
        <f t="shared" si="5"/>
        <v>0</v>
      </c>
    </row>
    <row r="133" spans="1:24" x14ac:dyDescent="0.35">
      <c r="A133" s="125">
        <v>130</v>
      </c>
      <c r="B133" s="126">
        <v>8</v>
      </c>
      <c r="C133" s="133" t="s">
        <v>45</v>
      </c>
      <c r="D133" s="133" t="s">
        <v>788</v>
      </c>
      <c r="E133" s="133" t="s">
        <v>50</v>
      </c>
      <c r="F133" s="133" t="s">
        <v>332</v>
      </c>
      <c r="G133" s="126">
        <v>10</v>
      </c>
      <c r="H133" s="126">
        <v>79</v>
      </c>
      <c r="I133" s="126">
        <v>226</v>
      </c>
      <c r="J133" s="126">
        <v>136.19999999999999</v>
      </c>
      <c r="K133" s="126">
        <v>29</v>
      </c>
      <c r="L133" s="126">
        <v>142</v>
      </c>
      <c r="M133" s="127">
        <v>12</v>
      </c>
      <c r="N133" s="132">
        <v>132</v>
      </c>
      <c r="O133" s="144"/>
      <c r="W133" s="86">
        <f t="shared" si="4"/>
        <v>0</v>
      </c>
      <c r="X133" s="87">
        <f t="shared" si="5"/>
        <v>0</v>
      </c>
    </row>
    <row r="134" spans="1:24" x14ac:dyDescent="0.35">
      <c r="A134" s="128">
        <v>161</v>
      </c>
      <c r="B134" s="129">
        <v>9</v>
      </c>
      <c r="C134" s="134" t="s">
        <v>45</v>
      </c>
      <c r="D134" s="134" t="s">
        <v>480</v>
      </c>
      <c r="E134" s="134" t="s">
        <v>119</v>
      </c>
      <c r="F134" s="134" t="s">
        <v>371</v>
      </c>
      <c r="G134" s="129">
        <v>6</v>
      </c>
      <c r="H134" s="129">
        <v>66</v>
      </c>
      <c r="I134" s="129">
        <v>289</v>
      </c>
      <c r="J134" s="129">
        <v>167.6</v>
      </c>
      <c r="K134" s="129">
        <v>49.9</v>
      </c>
      <c r="L134" s="129">
        <v>207</v>
      </c>
      <c r="M134" s="130">
        <v>46</v>
      </c>
      <c r="N134" s="131">
        <v>133</v>
      </c>
      <c r="O134" s="143"/>
      <c r="W134" s="86">
        <f t="shared" si="4"/>
        <v>0</v>
      </c>
      <c r="X134" s="87">
        <f t="shared" si="5"/>
        <v>0</v>
      </c>
    </row>
    <row r="135" spans="1:24" x14ac:dyDescent="0.35">
      <c r="A135" s="125">
        <v>100</v>
      </c>
      <c r="B135" s="126">
        <v>7</v>
      </c>
      <c r="C135" s="133" t="s">
        <v>45</v>
      </c>
      <c r="D135" s="133" t="s">
        <v>421</v>
      </c>
      <c r="E135" s="133" t="s">
        <v>179</v>
      </c>
      <c r="F135" s="133" t="s">
        <v>296</v>
      </c>
      <c r="G135" s="126">
        <v>11</v>
      </c>
      <c r="H135" s="126">
        <v>50</v>
      </c>
      <c r="I135" s="126">
        <v>226</v>
      </c>
      <c r="J135" s="126">
        <v>112.5</v>
      </c>
      <c r="K135" s="126">
        <v>33.1</v>
      </c>
      <c r="L135" s="126">
        <v>124</v>
      </c>
      <c r="M135" s="127">
        <v>24</v>
      </c>
      <c r="N135" s="132">
        <v>134</v>
      </c>
      <c r="O135" s="144"/>
      <c r="W135" s="86">
        <f t="shared" si="4"/>
        <v>0</v>
      </c>
      <c r="X135" s="87">
        <f t="shared" si="5"/>
        <v>0</v>
      </c>
    </row>
    <row r="136" spans="1:24" x14ac:dyDescent="0.35">
      <c r="A136" s="125">
        <v>152</v>
      </c>
      <c r="B136" s="126">
        <v>9</v>
      </c>
      <c r="C136" s="133" t="s">
        <v>45</v>
      </c>
      <c r="D136" s="133" t="s">
        <v>1162</v>
      </c>
      <c r="E136" s="133" t="s">
        <v>71</v>
      </c>
      <c r="F136" s="133" t="s">
        <v>398</v>
      </c>
      <c r="G136" s="126">
        <v>11</v>
      </c>
      <c r="H136" s="126">
        <v>83</v>
      </c>
      <c r="I136" s="126">
        <v>267</v>
      </c>
      <c r="J136" s="126">
        <v>157.4</v>
      </c>
      <c r="K136" s="126">
        <v>32.1</v>
      </c>
      <c r="L136" s="126">
        <v>202</v>
      </c>
      <c r="M136" s="127">
        <v>50</v>
      </c>
      <c r="N136" s="132">
        <v>135</v>
      </c>
      <c r="O136" s="144"/>
      <c r="W136" s="86">
        <f t="shared" si="4"/>
        <v>0</v>
      </c>
      <c r="X136" s="87">
        <f t="shared" si="5"/>
        <v>0</v>
      </c>
    </row>
    <row r="137" spans="1:24" x14ac:dyDescent="0.35">
      <c r="A137" s="128">
        <v>99</v>
      </c>
      <c r="B137" s="129">
        <v>7</v>
      </c>
      <c r="C137" s="134" t="s">
        <v>45</v>
      </c>
      <c r="D137" s="134" t="s">
        <v>295</v>
      </c>
      <c r="E137" s="134" t="s">
        <v>85</v>
      </c>
      <c r="F137" s="134" t="s">
        <v>292</v>
      </c>
      <c r="G137" s="129">
        <v>9</v>
      </c>
      <c r="H137" s="129">
        <v>53</v>
      </c>
      <c r="I137" s="129">
        <v>229</v>
      </c>
      <c r="J137" s="129">
        <v>111.2</v>
      </c>
      <c r="K137" s="129">
        <v>29.2</v>
      </c>
      <c r="L137" s="129">
        <v>91</v>
      </c>
      <c r="M137" s="130">
        <v>-8</v>
      </c>
      <c r="N137" s="131">
        <v>136</v>
      </c>
      <c r="O137" s="143"/>
      <c r="W137" s="86">
        <f t="shared" si="4"/>
        <v>0</v>
      </c>
      <c r="X137" s="87">
        <f t="shared" si="5"/>
        <v>0</v>
      </c>
    </row>
    <row r="138" spans="1:24" x14ac:dyDescent="0.35">
      <c r="A138" s="128">
        <v>111</v>
      </c>
      <c r="B138" s="129">
        <v>8</v>
      </c>
      <c r="C138" s="134" t="s">
        <v>45</v>
      </c>
      <c r="D138" s="134" t="s">
        <v>721</v>
      </c>
      <c r="E138" s="134" t="s">
        <v>47</v>
      </c>
      <c r="F138" s="134" t="s">
        <v>277</v>
      </c>
      <c r="G138" s="129">
        <v>11</v>
      </c>
      <c r="H138" s="129">
        <v>63</v>
      </c>
      <c r="I138" s="129">
        <v>171</v>
      </c>
      <c r="J138" s="129">
        <v>113.9</v>
      </c>
      <c r="K138" s="129">
        <v>19.5</v>
      </c>
      <c r="L138" s="129">
        <v>140</v>
      </c>
      <c r="M138" s="130">
        <v>29</v>
      </c>
      <c r="N138" s="131">
        <v>137</v>
      </c>
      <c r="O138" s="143"/>
      <c r="W138" s="86">
        <f t="shared" si="4"/>
        <v>0</v>
      </c>
      <c r="X138" s="87">
        <f t="shared" si="5"/>
        <v>0</v>
      </c>
    </row>
    <row r="139" spans="1:24" x14ac:dyDescent="0.35">
      <c r="A139" s="128">
        <v>117</v>
      </c>
      <c r="B139" s="129">
        <v>8</v>
      </c>
      <c r="C139" s="134" t="s">
        <v>45</v>
      </c>
      <c r="D139" s="134" t="s">
        <v>234</v>
      </c>
      <c r="E139" s="134" t="s">
        <v>119</v>
      </c>
      <c r="F139" s="134" t="s">
        <v>279</v>
      </c>
      <c r="G139" s="129">
        <v>6</v>
      </c>
      <c r="H139" s="129">
        <v>71</v>
      </c>
      <c r="I139" s="129">
        <v>312</v>
      </c>
      <c r="J139" s="129">
        <v>121.9</v>
      </c>
      <c r="K139" s="129">
        <v>35.799999999999997</v>
      </c>
      <c r="L139" s="129">
        <v>161</v>
      </c>
      <c r="M139" s="130">
        <v>44</v>
      </c>
      <c r="N139" s="131">
        <v>138</v>
      </c>
      <c r="O139" s="143"/>
      <c r="W139" s="86">
        <f t="shared" si="4"/>
        <v>0</v>
      </c>
      <c r="X139" s="87">
        <f t="shared" si="5"/>
        <v>0</v>
      </c>
    </row>
    <row r="140" spans="1:24" x14ac:dyDescent="0.35">
      <c r="A140" s="128">
        <v>157</v>
      </c>
      <c r="B140" s="129">
        <v>9</v>
      </c>
      <c r="C140" s="134" t="s">
        <v>45</v>
      </c>
      <c r="D140" s="134" t="s">
        <v>553</v>
      </c>
      <c r="E140" s="134" t="s">
        <v>59</v>
      </c>
      <c r="F140" s="134" t="s">
        <v>369</v>
      </c>
      <c r="G140" s="129">
        <v>10</v>
      </c>
      <c r="H140" s="129">
        <v>84</v>
      </c>
      <c r="I140" s="129">
        <v>282</v>
      </c>
      <c r="J140" s="129">
        <v>159.5</v>
      </c>
      <c r="K140" s="129">
        <v>38</v>
      </c>
      <c r="L140" s="129">
        <v>194</v>
      </c>
      <c r="M140" s="130">
        <v>37</v>
      </c>
      <c r="N140" s="131">
        <v>139</v>
      </c>
      <c r="O140" s="143"/>
      <c r="W140" s="86">
        <f t="shared" si="4"/>
        <v>0</v>
      </c>
      <c r="X140" s="87">
        <f t="shared" si="5"/>
        <v>0</v>
      </c>
    </row>
    <row r="141" spans="1:24" x14ac:dyDescent="0.35">
      <c r="A141" s="128">
        <v>199</v>
      </c>
      <c r="B141" s="129">
        <v>10</v>
      </c>
      <c r="C141" s="134" t="s">
        <v>45</v>
      </c>
      <c r="D141" s="134" t="s">
        <v>392</v>
      </c>
      <c r="E141" s="134" t="s">
        <v>125</v>
      </c>
      <c r="F141" s="134" t="s">
        <v>430</v>
      </c>
      <c r="G141" s="129">
        <v>7</v>
      </c>
      <c r="H141" s="129">
        <v>101</v>
      </c>
      <c r="I141" s="129">
        <v>300</v>
      </c>
      <c r="J141" s="129">
        <v>204.9</v>
      </c>
      <c r="K141" s="129">
        <v>36.299999999999997</v>
      </c>
      <c r="L141" s="129">
        <v>256</v>
      </c>
      <c r="M141" s="130">
        <v>57</v>
      </c>
      <c r="N141" s="131">
        <v>140</v>
      </c>
      <c r="O141" s="143"/>
      <c r="W141" s="86">
        <f t="shared" si="4"/>
        <v>0</v>
      </c>
      <c r="X141" s="87">
        <f t="shared" si="5"/>
        <v>0</v>
      </c>
    </row>
    <row r="142" spans="1:24" x14ac:dyDescent="0.35">
      <c r="A142" s="128">
        <v>125</v>
      </c>
      <c r="B142" s="129">
        <v>8</v>
      </c>
      <c r="C142" s="134" t="s">
        <v>45</v>
      </c>
      <c r="D142" s="134" t="s">
        <v>337</v>
      </c>
      <c r="E142" s="134" t="s">
        <v>184</v>
      </c>
      <c r="F142" s="134" t="s">
        <v>328</v>
      </c>
      <c r="G142" s="129">
        <v>8</v>
      </c>
      <c r="H142" s="129">
        <v>73</v>
      </c>
      <c r="I142" s="129">
        <v>213</v>
      </c>
      <c r="J142" s="129">
        <v>124.1</v>
      </c>
      <c r="K142" s="129">
        <v>29.8</v>
      </c>
      <c r="L142" s="129">
        <v>143</v>
      </c>
      <c r="M142" s="130">
        <v>18</v>
      </c>
      <c r="N142" s="131">
        <v>141</v>
      </c>
      <c r="O142" s="143"/>
      <c r="W142" s="86">
        <f t="shared" si="4"/>
        <v>0</v>
      </c>
      <c r="X142" s="87">
        <f t="shared" si="5"/>
        <v>0</v>
      </c>
    </row>
    <row r="143" spans="1:24" x14ac:dyDescent="0.35">
      <c r="A143" s="125">
        <v>382</v>
      </c>
      <c r="B143" s="126">
        <v>14</v>
      </c>
      <c r="C143" s="133" t="s">
        <v>45</v>
      </c>
      <c r="D143" s="133" t="s">
        <v>968</v>
      </c>
      <c r="E143" s="133" t="s">
        <v>125</v>
      </c>
      <c r="F143" s="133" t="s">
        <v>767</v>
      </c>
      <c r="G143" s="126">
        <v>7</v>
      </c>
      <c r="H143" s="126">
        <v>201</v>
      </c>
      <c r="I143" s="126">
        <v>373</v>
      </c>
      <c r="J143" s="126">
        <v>315.2</v>
      </c>
      <c r="K143" s="126">
        <v>56.8</v>
      </c>
      <c r="L143" s="126"/>
      <c r="M143" s="127"/>
      <c r="N143" s="132">
        <v>142</v>
      </c>
      <c r="O143" s="144"/>
      <c r="W143" s="86">
        <f t="shared" si="4"/>
        <v>0</v>
      </c>
      <c r="X143" s="87">
        <f t="shared" si="5"/>
        <v>0</v>
      </c>
    </row>
    <row r="144" spans="1:24" x14ac:dyDescent="0.35">
      <c r="A144" s="128">
        <v>131</v>
      </c>
      <c r="B144" s="129">
        <v>8</v>
      </c>
      <c r="C144" s="134" t="s">
        <v>45</v>
      </c>
      <c r="D144" s="134" t="s">
        <v>766</v>
      </c>
      <c r="E144" s="134" t="s">
        <v>134</v>
      </c>
      <c r="F144" s="134" t="s">
        <v>338</v>
      </c>
      <c r="G144" s="129">
        <v>9</v>
      </c>
      <c r="H144" s="129">
        <v>82</v>
      </c>
      <c r="I144" s="129">
        <v>211</v>
      </c>
      <c r="J144" s="129">
        <v>137.1</v>
      </c>
      <c r="K144" s="129">
        <v>26.6</v>
      </c>
      <c r="L144" s="129">
        <v>177</v>
      </c>
      <c r="M144" s="130">
        <v>46</v>
      </c>
      <c r="N144" s="131">
        <v>143</v>
      </c>
      <c r="O144" s="143"/>
      <c r="W144" s="86">
        <f t="shared" si="4"/>
        <v>0</v>
      </c>
      <c r="X144" s="87">
        <f t="shared" si="5"/>
        <v>0</v>
      </c>
    </row>
    <row r="145" spans="1:24" x14ac:dyDescent="0.35">
      <c r="A145" s="125">
        <v>140</v>
      </c>
      <c r="B145" s="126">
        <v>9</v>
      </c>
      <c r="C145" s="133" t="s">
        <v>45</v>
      </c>
      <c r="D145" s="133" t="s">
        <v>300</v>
      </c>
      <c r="E145" s="133" t="s">
        <v>108</v>
      </c>
      <c r="F145" s="133" t="s">
        <v>367</v>
      </c>
      <c r="G145" s="126">
        <v>7</v>
      </c>
      <c r="H145" s="126">
        <v>68</v>
      </c>
      <c r="I145" s="126">
        <v>238</v>
      </c>
      <c r="J145" s="126">
        <v>152.4</v>
      </c>
      <c r="K145" s="126">
        <v>30</v>
      </c>
      <c r="L145" s="126">
        <v>188</v>
      </c>
      <c r="M145" s="127">
        <v>48</v>
      </c>
      <c r="N145" s="132">
        <v>144</v>
      </c>
      <c r="O145" s="144"/>
      <c r="W145" s="86">
        <f t="shared" si="4"/>
        <v>0</v>
      </c>
      <c r="X145" s="87">
        <f t="shared" si="5"/>
        <v>0</v>
      </c>
    </row>
    <row r="146" spans="1:24" x14ac:dyDescent="0.35">
      <c r="A146" s="128">
        <v>151</v>
      </c>
      <c r="B146" s="129">
        <v>9</v>
      </c>
      <c r="C146" s="134" t="s">
        <v>45</v>
      </c>
      <c r="D146" s="134" t="s">
        <v>1244</v>
      </c>
      <c r="E146" s="134" t="s">
        <v>102</v>
      </c>
      <c r="F146" s="134" t="s">
        <v>336</v>
      </c>
      <c r="G146" s="129">
        <v>7</v>
      </c>
      <c r="H146" s="129">
        <v>72</v>
      </c>
      <c r="I146" s="129">
        <v>232</v>
      </c>
      <c r="J146" s="129">
        <v>144</v>
      </c>
      <c r="K146" s="129">
        <v>32.299999999999997</v>
      </c>
      <c r="L146" s="129">
        <v>132</v>
      </c>
      <c r="M146" s="130">
        <v>-19</v>
      </c>
      <c r="N146" s="131">
        <v>145</v>
      </c>
      <c r="O146" s="143"/>
      <c r="W146" s="86">
        <f t="shared" si="4"/>
        <v>0</v>
      </c>
      <c r="X146" s="87">
        <f t="shared" si="5"/>
        <v>0</v>
      </c>
    </row>
    <row r="147" spans="1:24" x14ac:dyDescent="0.35">
      <c r="A147" s="128">
        <v>173</v>
      </c>
      <c r="B147" s="129">
        <v>9</v>
      </c>
      <c r="C147" s="134" t="s">
        <v>45</v>
      </c>
      <c r="D147" s="134" t="s">
        <v>1254</v>
      </c>
      <c r="E147" s="134" t="s">
        <v>97</v>
      </c>
      <c r="F147" s="134" t="s">
        <v>375</v>
      </c>
      <c r="G147" s="129">
        <v>11</v>
      </c>
      <c r="H147" s="129">
        <v>72</v>
      </c>
      <c r="I147" s="129">
        <v>257</v>
      </c>
      <c r="J147" s="129">
        <v>167.6</v>
      </c>
      <c r="K147" s="129">
        <v>37.200000000000003</v>
      </c>
      <c r="L147" s="129">
        <v>204</v>
      </c>
      <c r="M147" s="130">
        <v>31</v>
      </c>
      <c r="N147" s="131">
        <v>146</v>
      </c>
      <c r="O147" s="143"/>
      <c r="W147" s="86">
        <f t="shared" si="4"/>
        <v>0</v>
      </c>
      <c r="X147" s="87">
        <f t="shared" si="5"/>
        <v>0</v>
      </c>
    </row>
    <row r="148" spans="1:24" x14ac:dyDescent="0.35">
      <c r="A148" s="125">
        <v>168</v>
      </c>
      <c r="B148" s="126">
        <v>9</v>
      </c>
      <c r="C148" s="133" t="s">
        <v>45</v>
      </c>
      <c r="D148" s="133" t="s">
        <v>176</v>
      </c>
      <c r="E148" s="133" t="s">
        <v>88</v>
      </c>
      <c r="F148" s="133" t="s">
        <v>374</v>
      </c>
      <c r="G148" s="126">
        <v>10</v>
      </c>
      <c r="H148" s="126">
        <v>79</v>
      </c>
      <c r="I148" s="126">
        <v>216</v>
      </c>
      <c r="J148" s="126">
        <v>164.5</v>
      </c>
      <c r="K148" s="126">
        <v>26.3</v>
      </c>
      <c r="L148" s="126">
        <v>149</v>
      </c>
      <c r="M148" s="127">
        <v>-19</v>
      </c>
      <c r="N148" s="132">
        <v>147</v>
      </c>
      <c r="O148" s="144"/>
      <c r="W148" s="86">
        <f t="shared" si="4"/>
        <v>0</v>
      </c>
      <c r="X148" s="87">
        <f t="shared" si="5"/>
        <v>0</v>
      </c>
    </row>
    <row r="149" spans="1:24" x14ac:dyDescent="0.35">
      <c r="A149" s="125">
        <v>192</v>
      </c>
      <c r="B149" s="126">
        <v>10</v>
      </c>
      <c r="C149" s="133" t="s">
        <v>45</v>
      </c>
      <c r="D149" s="133" t="s">
        <v>443</v>
      </c>
      <c r="E149" s="133" t="s">
        <v>62</v>
      </c>
      <c r="F149" s="133" t="s">
        <v>396</v>
      </c>
      <c r="G149" s="126">
        <v>8</v>
      </c>
      <c r="H149" s="126">
        <v>139</v>
      </c>
      <c r="I149" s="126">
        <v>279</v>
      </c>
      <c r="J149" s="126">
        <v>200.3</v>
      </c>
      <c r="K149" s="126">
        <v>27.8</v>
      </c>
      <c r="L149" s="126">
        <v>227</v>
      </c>
      <c r="M149" s="127">
        <v>35</v>
      </c>
      <c r="N149" s="132">
        <v>148</v>
      </c>
      <c r="O149" s="144"/>
      <c r="W149" s="86">
        <f t="shared" si="4"/>
        <v>0</v>
      </c>
      <c r="X149" s="87">
        <f t="shared" si="5"/>
        <v>0</v>
      </c>
    </row>
    <row r="150" spans="1:24" x14ac:dyDescent="0.35">
      <c r="A150" s="128">
        <v>187</v>
      </c>
      <c r="B150" s="129">
        <v>10</v>
      </c>
      <c r="C150" s="134" t="s">
        <v>45</v>
      </c>
      <c r="D150" s="134" t="s">
        <v>163</v>
      </c>
      <c r="E150" s="134" t="s">
        <v>134</v>
      </c>
      <c r="F150" s="134" t="s">
        <v>384</v>
      </c>
      <c r="G150" s="129">
        <v>9</v>
      </c>
      <c r="H150" s="129">
        <v>76</v>
      </c>
      <c r="I150" s="129">
        <v>281</v>
      </c>
      <c r="J150" s="129">
        <v>177.9</v>
      </c>
      <c r="K150" s="129">
        <v>37.5</v>
      </c>
      <c r="L150" s="129">
        <v>150</v>
      </c>
      <c r="M150" s="130">
        <v>-37</v>
      </c>
      <c r="N150" s="131">
        <v>149</v>
      </c>
      <c r="O150" s="143"/>
      <c r="W150" s="86">
        <f t="shared" si="4"/>
        <v>0</v>
      </c>
      <c r="X150" s="87">
        <f t="shared" si="5"/>
        <v>0</v>
      </c>
    </row>
    <row r="151" spans="1:24" x14ac:dyDescent="0.35">
      <c r="A151" s="125">
        <v>138</v>
      </c>
      <c r="B151" s="126">
        <v>8</v>
      </c>
      <c r="C151" s="133" t="s">
        <v>45</v>
      </c>
      <c r="D151" s="133" t="s">
        <v>1250</v>
      </c>
      <c r="E151" s="133" t="s">
        <v>134</v>
      </c>
      <c r="F151" s="133" t="s">
        <v>313</v>
      </c>
      <c r="G151" s="126">
        <v>9</v>
      </c>
      <c r="H151" s="126">
        <v>71</v>
      </c>
      <c r="I151" s="126">
        <v>256</v>
      </c>
      <c r="J151" s="126">
        <v>134.9</v>
      </c>
      <c r="K151" s="126">
        <v>36.9</v>
      </c>
      <c r="L151" s="126">
        <v>138</v>
      </c>
      <c r="M151" s="127">
        <v>0</v>
      </c>
      <c r="N151" s="132">
        <v>150</v>
      </c>
      <c r="O151" s="144"/>
      <c r="W151" s="86">
        <f t="shared" si="4"/>
        <v>0</v>
      </c>
      <c r="X151" s="87">
        <f t="shared" si="5"/>
        <v>0</v>
      </c>
    </row>
    <row r="152" spans="1:24" x14ac:dyDescent="0.35">
      <c r="A152" s="125">
        <v>182</v>
      </c>
      <c r="B152" s="126">
        <v>10</v>
      </c>
      <c r="C152" s="133" t="s">
        <v>45</v>
      </c>
      <c r="D152" s="133" t="s">
        <v>1259</v>
      </c>
      <c r="E152" s="133" t="s">
        <v>108</v>
      </c>
      <c r="F152" s="133" t="s">
        <v>382</v>
      </c>
      <c r="G152" s="126">
        <v>7</v>
      </c>
      <c r="H152" s="126">
        <v>64</v>
      </c>
      <c r="I152" s="126">
        <v>231</v>
      </c>
      <c r="J152" s="126">
        <v>173.3</v>
      </c>
      <c r="K152" s="126">
        <v>30.3</v>
      </c>
      <c r="L152" s="126">
        <v>183</v>
      </c>
      <c r="M152" s="127">
        <v>1</v>
      </c>
      <c r="N152" s="132">
        <v>151</v>
      </c>
      <c r="O152" s="144"/>
      <c r="W152" s="86">
        <f t="shared" si="4"/>
        <v>0</v>
      </c>
      <c r="X152" s="87">
        <f t="shared" si="5"/>
        <v>0</v>
      </c>
    </row>
    <row r="153" spans="1:24" x14ac:dyDescent="0.35">
      <c r="A153" s="125">
        <v>184</v>
      </c>
      <c r="B153" s="126">
        <v>10</v>
      </c>
      <c r="C153" s="133" t="s">
        <v>45</v>
      </c>
      <c r="D153" s="133" t="s">
        <v>269</v>
      </c>
      <c r="E153" s="133" t="s">
        <v>68</v>
      </c>
      <c r="F153" s="133" t="s">
        <v>383</v>
      </c>
      <c r="G153" s="126">
        <v>8</v>
      </c>
      <c r="H153" s="126">
        <v>105</v>
      </c>
      <c r="I153" s="126">
        <v>271</v>
      </c>
      <c r="J153" s="126">
        <v>185.7</v>
      </c>
      <c r="K153" s="126">
        <v>33.4</v>
      </c>
      <c r="L153" s="126">
        <v>169</v>
      </c>
      <c r="M153" s="127">
        <v>-15</v>
      </c>
      <c r="N153" s="132">
        <v>152</v>
      </c>
      <c r="O153" s="144"/>
      <c r="W153" s="86">
        <f t="shared" si="4"/>
        <v>0</v>
      </c>
      <c r="X153" s="87">
        <f t="shared" si="5"/>
        <v>0</v>
      </c>
    </row>
    <row r="154" spans="1:24" x14ac:dyDescent="0.35">
      <c r="A154" s="125">
        <v>166</v>
      </c>
      <c r="B154" s="126">
        <v>9</v>
      </c>
      <c r="C154" s="133" t="s">
        <v>45</v>
      </c>
      <c r="D154" s="133" t="s">
        <v>1226</v>
      </c>
      <c r="E154" s="133" t="s">
        <v>65</v>
      </c>
      <c r="F154" s="133" t="s">
        <v>356</v>
      </c>
      <c r="G154" s="126">
        <v>5</v>
      </c>
      <c r="H154" s="126">
        <v>80</v>
      </c>
      <c r="I154" s="126">
        <v>278</v>
      </c>
      <c r="J154" s="126">
        <v>163.69999999999999</v>
      </c>
      <c r="K154" s="126">
        <v>33.9</v>
      </c>
      <c r="L154" s="126">
        <v>187</v>
      </c>
      <c r="M154" s="127">
        <v>21</v>
      </c>
      <c r="N154" s="132">
        <v>153</v>
      </c>
      <c r="O154" s="144"/>
      <c r="W154" s="86">
        <f t="shared" si="4"/>
        <v>0</v>
      </c>
      <c r="X154" s="87">
        <f t="shared" si="5"/>
        <v>0</v>
      </c>
    </row>
    <row r="155" spans="1:24" x14ac:dyDescent="0.35">
      <c r="A155" s="128">
        <v>207</v>
      </c>
      <c r="B155" s="129">
        <v>10</v>
      </c>
      <c r="C155" s="134" t="s">
        <v>45</v>
      </c>
      <c r="D155" s="134" t="s">
        <v>1255</v>
      </c>
      <c r="E155" s="134" t="s">
        <v>71</v>
      </c>
      <c r="F155" s="134" t="s">
        <v>408</v>
      </c>
      <c r="G155" s="129">
        <v>11</v>
      </c>
      <c r="H155" s="129">
        <v>96</v>
      </c>
      <c r="I155" s="129">
        <v>283</v>
      </c>
      <c r="J155" s="129">
        <v>197.3</v>
      </c>
      <c r="K155" s="129">
        <v>30.1</v>
      </c>
      <c r="L155" s="129">
        <v>199</v>
      </c>
      <c r="M155" s="130">
        <v>-8</v>
      </c>
      <c r="N155" s="131">
        <v>154</v>
      </c>
      <c r="O155" s="143"/>
      <c r="W155" s="86">
        <f t="shared" si="4"/>
        <v>0</v>
      </c>
      <c r="X155" s="87">
        <f t="shared" si="5"/>
        <v>0</v>
      </c>
    </row>
    <row r="156" spans="1:24" x14ac:dyDescent="0.35">
      <c r="A156" s="128">
        <v>245</v>
      </c>
      <c r="B156" s="129">
        <v>11</v>
      </c>
      <c r="C156" s="134" t="s">
        <v>45</v>
      </c>
      <c r="D156" s="134" t="s">
        <v>1243</v>
      </c>
      <c r="E156" s="134" t="s">
        <v>80</v>
      </c>
      <c r="F156" s="134" t="s">
        <v>454</v>
      </c>
      <c r="G156" s="129">
        <v>9</v>
      </c>
      <c r="H156" s="129">
        <v>117</v>
      </c>
      <c r="I156" s="129">
        <v>293</v>
      </c>
      <c r="J156" s="129">
        <v>217.3</v>
      </c>
      <c r="K156" s="129">
        <v>31.4</v>
      </c>
      <c r="L156" s="129">
        <v>173</v>
      </c>
      <c r="M156" s="130">
        <v>-72</v>
      </c>
      <c r="N156" s="131">
        <v>155</v>
      </c>
      <c r="O156" s="143"/>
      <c r="W156" s="86">
        <f t="shared" si="4"/>
        <v>0</v>
      </c>
      <c r="X156" s="87">
        <f t="shared" si="5"/>
        <v>0</v>
      </c>
    </row>
    <row r="157" spans="1:24" x14ac:dyDescent="0.35">
      <c r="A157" s="125">
        <v>196</v>
      </c>
      <c r="B157" s="126">
        <v>10</v>
      </c>
      <c r="C157" s="133" t="s">
        <v>45</v>
      </c>
      <c r="D157" s="133" t="s">
        <v>1261</v>
      </c>
      <c r="E157" s="133" t="s">
        <v>122</v>
      </c>
      <c r="F157" s="133" t="s">
        <v>426</v>
      </c>
      <c r="G157" s="126">
        <v>7</v>
      </c>
      <c r="H157" s="126">
        <v>122</v>
      </c>
      <c r="I157" s="126">
        <v>360</v>
      </c>
      <c r="J157" s="126">
        <v>180</v>
      </c>
      <c r="K157" s="126">
        <v>38.6</v>
      </c>
      <c r="L157" s="126">
        <v>226</v>
      </c>
      <c r="M157" s="127">
        <v>30</v>
      </c>
      <c r="N157" s="132">
        <v>156</v>
      </c>
      <c r="O157" s="144"/>
      <c r="W157" s="86">
        <f t="shared" si="4"/>
        <v>0</v>
      </c>
      <c r="X157" s="87">
        <f t="shared" si="5"/>
        <v>0</v>
      </c>
    </row>
    <row r="158" spans="1:24" x14ac:dyDescent="0.35">
      <c r="A158" s="125">
        <v>202</v>
      </c>
      <c r="B158" s="126">
        <v>10</v>
      </c>
      <c r="C158" s="133" t="s">
        <v>45</v>
      </c>
      <c r="D158" s="133" t="s">
        <v>644</v>
      </c>
      <c r="E158" s="133" t="s">
        <v>74</v>
      </c>
      <c r="F158" s="133" t="s">
        <v>432</v>
      </c>
      <c r="G158" s="126">
        <v>8</v>
      </c>
      <c r="H158" s="126">
        <v>139</v>
      </c>
      <c r="I158" s="126">
        <v>305</v>
      </c>
      <c r="J158" s="126">
        <v>210.9</v>
      </c>
      <c r="K158" s="126">
        <v>35.4</v>
      </c>
      <c r="L158" s="126">
        <v>261</v>
      </c>
      <c r="M158" s="127">
        <v>59</v>
      </c>
      <c r="N158" s="132">
        <v>157</v>
      </c>
      <c r="O158" s="144"/>
      <c r="W158" s="86">
        <f t="shared" si="4"/>
        <v>0</v>
      </c>
      <c r="X158" s="87">
        <f t="shared" si="5"/>
        <v>0</v>
      </c>
    </row>
    <row r="159" spans="1:24" x14ac:dyDescent="0.35">
      <c r="A159" s="128">
        <v>203</v>
      </c>
      <c r="B159" s="129">
        <v>10</v>
      </c>
      <c r="C159" s="134" t="s">
        <v>45</v>
      </c>
      <c r="D159" s="134" t="s">
        <v>585</v>
      </c>
      <c r="E159" s="134" t="s">
        <v>125</v>
      </c>
      <c r="F159" s="134" t="s">
        <v>448</v>
      </c>
      <c r="G159" s="129">
        <v>7</v>
      </c>
      <c r="H159" s="129">
        <v>122</v>
      </c>
      <c r="I159" s="129">
        <v>322</v>
      </c>
      <c r="J159" s="129">
        <v>205.6</v>
      </c>
      <c r="K159" s="129">
        <v>36.200000000000003</v>
      </c>
      <c r="L159" s="129">
        <v>223</v>
      </c>
      <c r="M159" s="130">
        <v>20</v>
      </c>
      <c r="N159" s="131">
        <v>158</v>
      </c>
      <c r="O159" s="143"/>
      <c r="W159" s="86">
        <f t="shared" si="4"/>
        <v>0</v>
      </c>
      <c r="X159" s="87">
        <f t="shared" si="5"/>
        <v>0</v>
      </c>
    </row>
    <row r="160" spans="1:24" x14ac:dyDescent="0.35">
      <c r="A160" s="125">
        <v>204</v>
      </c>
      <c r="B160" s="126">
        <v>10</v>
      </c>
      <c r="C160" s="133" t="s">
        <v>45</v>
      </c>
      <c r="D160" s="133" t="s">
        <v>1270</v>
      </c>
      <c r="E160" s="133" t="s">
        <v>59</v>
      </c>
      <c r="F160" s="133" t="s">
        <v>459</v>
      </c>
      <c r="G160" s="126">
        <v>10</v>
      </c>
      <c r="H160" s="126">
        <v>81</v>
      </c>
      <c r="I160" s="126">
        <v>350</v>
      </c>
      <c r="J160" s="126">
        <v>183.8</v>
      </c>
      <c r="K160" s="126">
        <v>44.7</v>
      </c>
      <c r="L160" s="126">
        <v>244</v>
      </c>
      <c r="M160" s="127">
        <v>40</v>
      </c>
      <c r="N160" s="132">
        <v>159</v>
      </c>
      <c r="O160" s="144"/>
      <c r="W160" s="86">
        <f t="shared" si="4"/>
        <v>0</v>
      </c>
      <c r="X160" s="87">
        <f t="shared" si="5"/>
        <v>0</v>
      </c>
    </row>
    <row r="161" spans="1:24" x14ac:dyDescent="0.35">
      <c r="A161" s="125">
        <v>240</v>
      </c>
      <c r="B161" s="126">
        <v>11</v>
      </c>
      <c r="C161" s="133" t="s">
        <v>45</v>
      </c>
      <c r="D161" s="133" t="s">
        <v>245</v>
      </c>
      <c r="E161" s="133" t="s">
        <v>97</v>
      </c>
      <c r="F161" s="133" t="s">
        <v>526</v>
      </c>
      <c r="G161" s="126">
        <v>11</v>
      </c>
      <c r="H161" s="126">
        <v>117</v>
      </c>
      <c r="I161" s="126">
        <v>352</v>
      </c>
      <c r="J161" s="126">
        <v>227.3</v>
      </c>
      <c r="K161" s="126">
        <v>55.2</v>
      </c>
      <c r="L161" s="126">
        <v>220</v>
      </c>
      <c r="M161" s="127">
        <v>-20</v>
      </c>
      <c r="N161" s="132">
        <v>160</v>
      </c>
      <c r="O161" s="144"/>
      <c r="W161" s="86">
        <f t="shared" si="4"/>
        <v>0</v>
      </c>
      <c r="X161" s="87">
        <f t="shared" si="5"/>
        <v>0</v>
      </c>
    </row>
    <row r="162" spans="1:24" x14ac:dyDescent="0.35">
      <c r="A162" s="128">
        <v>175</v>
      </c>
      <c r="B162" s="129">
        <v>9</v>
      </c>
      <c r="C162" s="134" t="s">
        <v>45</v>
      </c>
      <c r="D162" s="134" t="s">
        <v>1400</v>
      </c>
      <c r="E162" s="134" t="s">
        <v>65</v>
      </c>
      <c r="F162" s="134" t="s">
        <v>403</v>
      </c>
      <c r="G162" s="129">
        <v>5</v>
      </c>
      <c r="H162" s="129">
        <v>55</v>
      </c>
      <c r="I162" s="129">
        <v>274</v>
      </c>
      <c r="J162" s="129">
        <v>167.9</v>
      </c>
      <c r="K162" s="129">
        <v>40.4</v>
      </c>
      <c r="L162" s="129">
        <v>179</v>
      </c>
      <c r="M162" s="130">
        <v>4</v>
      </c>
      <c r="N162" s="131">
        <v>161</v>
      </c>
      <c r="O162" s="143"/>
      <c r="W162" s="86">
        <f t="shared" si="4"/>
        <v>0</v>
      </c>
      <c r="X162" s="87">
        <f t="shared" si="5"/>
        <v>0</v>
      </c>
    </row>
    <row r="163" spans="1:24" x14ac:dyDescent="0.35">
      <c r="A163" s="125">
        <v>142</v>
      </c>
      <c r="B163" s="126">
        <v>9</v>
      </c>
      <c r="C163" s="133" t="s">
        <v>45</v>
      </c>
      <c r="D163" s="133" t="s">
        <v>333</v>
      </c>
      <c r="E163" s="133" t="s">
        <v>108</v>
      </c>
      <c r="F163" s="133" t="s">
        <v>365</v>
      </c>
      <c r="G163" s="126">
        <v>7</v>
      </c>
      <c r="H163" s="126">
        <v>76</v>
      </c>
      <c r="I163" s="126">
        <v>236</v>
      </c>
      <c r="J163" s="126">
        <v>145</v>
      </c>
      <c r="K163" s="126">
        <v>26.6</v>
      </c>
      <c r="L163" s="126">
        <v>176</v>
      </c>
      <c r="M163" s="127">
        <v>34</v>
      </c>
      <c r="N163" s="132">
        <v>162</v>
      </c>
      <c r="O163" s="144"/>
      <c r="W163" s="86">
        <f t="shared" si="4"/>
        <v>0</v>
      </c>
      <c r="X163" s="87">
        <f t="shared" si="5"/>
        <v>0</v>
      </c>
    </row>
    <row r="164" spans="1:24" x14ac:dyDescent="0.35">
      <c r="A164" s="125">
        <v>158</v>
      </c>
      <c r="B164" s="126">
        <v>9</v>
      </c>
      <c r="C164" s="133" t="s">
        <v>45</v>
      </c>
      <c r="D164" s="133" t="s">
        <v>228</v>
      </c>
      <c r="E164" s="133" t="s">
        <v>74</v>
      </c>
      <c r="F164" s="133" t="s">
        <v>410</v>
      </c>
      <c r="G164" s="126">
        <v>8</v>
      </c>
      <c r="H164" s="126">
        <v>92</v>
      </c>
      <c r="I164" s="126">
        <v>244</v>
      </c>
      <c r="J164" s="126">
        <v>160.5</v>
      </c>
      <c r="K164" s="126">
        <v>27.6</v>
      </c>
      <c r="L164" s="126">
        <v>166</v>
      </c>
      <c r="M164" s="127">
        <v>8</v>
      </c>
      <c r="N164" s="132">
        <v>163</v>
      </c>
      <c r="O164" s="144"/>
      <c r="W164" s="86">
        <f t="shared" si="4"/>
        <v>0</v>
      </c>
      <c r="X164" s="87">
        <f t="shared" si="5"/>
        <v>0</v>
      </c>
    </row>
    <row r="165" spans="1:24" x14ac:dyDescent="0.35">
      <c r="A165" s="125">
        <v>122</v>
      </c>
      <c r="B165" s="126">
        <v>8</v>
      </c>
      <c r="C165" s="133" t="s">
        <v>45</v>
      </c>
      <c r="D165" s="133" t="s">
        <v>614</v>
      </c>
      <c r="E165" s="133" t="s">
        <v>122</v>
      </c>
      <c r="F165" s="133" t="s">
        <v>340</v>
      </c>
      <c r="G165" s="126">
        <v>7</v>
      </c>
      <c r="H165" s="126">
        <v>60</v>
      </c>
      <c r="I165" s="126">
        <v>274</v>
      </c>
      <c r="J165" s="126">
        <v>132.19999999999999</v>
      </c>
      <c r="K165" s="126">
        <v>31</v>
      </c>
      <c r="L165" s="126">
        <v>141</v>
      </c>
      <c r="M165" s="127">
        <v>19</v>
      </c>
      <c r="N165" s="132">
        <v>164</v>
      </c>
      <c r="O165" s="144"/>
      <c r="W165" s="86">
        <f t="shared" si="4"/>
        <v>0</v>
      </c>
      <c r="X165" s="87">
        <f t="shared" si="5"/>
        <v>0</v>
      </c>
    </row>
    <row r="166" spans="1:24" x14ac:dyDescent="0.35">
      <c r="A166" s="125">
        <v>110</v>
      </c>
      <c r="B166" s="126">
        <v>8</v>
      </c>
      <c r="C166" s="133" t="s">
        <v>45</v>
      </c>
      <c r="D166" s="133" t="s">
        <v>263</v>
      </c>
      <c r="E166" s="133" t="s">
        <v>74</v>
      </c>
      <c r="F166" s="133" t="s">
        <v>272</v>
      </c>
      <c r="G166" s="126">
        <v>8</v>
      </c>
      <c r="H166" s="126">
        <v>68</v>
      </c>
      <c r="I166" s="126">
        <v>178</v>
      </c>
      <c r="J166" s="126">
        <v>117</v>
      </c>
      <c r="K166" s="126">
        <v>17.399999999999999</v>
      </c>
      <c r="L166" s="126">
        <v>115</v>
      </c>
      <c r="M166" s="127">
        <v>5</v>
      </c>
      <c r="N166" s="132">
        <v>165</v>
      </c>
      <c r="O166" s="144"/>
      <c r="W166" s="86">
        <f t="shared" si="4"/>
        <v>0</v>
      </c>
      <c r="X166" s="87">
        <f t="shared" si="5"/>
        <v>0</v>
      </c>
    </row>
    <row r="167" spans="1:24" x14ac:dyDescent="0.35">
      <c r="A167" s="128">
        <v>127</v>
      </c>
      <c r="B167" s="129">
        <v>8</v>
      </c>
      <c r="C167" s="134" t="s">
        <v>45</v>
      </c>
      <c r="D167" s="134" t="s">
        <v>594</v>
      </c>
      <c r="E167" s="134" t="s">
        <v>122</v>
      </c>
      <c r="F167" s="134" t="s">
        <v>307</v>
      </c>
      <c r="G167" s="129">
        <v>7</v>
      </c>
      <c r="H167" s="129">
        <v>71</v>
      </c>
      <c r="I167" s="129">
        <v>161</v>
      </c>
      <c r="J167" s="129">
        <v>125.1</v>
      </c>
      <c r="K167" s="129">
        <v>18.8</v>
      </c>
      <c r="L167" s="129">
        <v>134</v>
      </c>
      <c r="M167" s="130">
        <v>7</v>
      </c>
      <c r="N167" s="131">
        <v>166</v>
      </c>
      <c r="O167" s="143"/>
      <c r="W167" s="86">
        <f t="shared" si="4"/>
        <v>0</v>
      </c>
      <c r="X167" s="87">
        <f t="shared" si="5"/>
        <v>0</v>
      </c>
    </row>
    <row r="168" spans="1:24" x14ac:dyDescent="0.35">
      <c r="A168" s="128">
        <v>119</v>
      </c>
      <c r="B168" s="129">
        <v>8</v>
      </c>
      <c r="C168" s="134" t="s">
        <v>45</v>
      </c>
      <c r="D168" s="134" t="s">
        <v>257</v>
      </c>
      <c r="E168" s="134" t="s">
        <v>82</v>
      </c>
      <c r="F168" s="134" t="s">
        <v>283</v>
      </c>
      <c r="G168" s="129">
        <v>9</v>
      </c>
      <c r="H168" s="129">
        <v>68</v>
      </c>
      <c r="I168" s="129">
        <v>297</v>
      </c>
      <c r="J168" s="129">
        <v>123.2</v>
      </c>
      <c r="K168" s="129">
        <v>27.2</v>
      </c>
      <c r="L168" s="129">
        <v>146</v>
      </c>
      <c r="M168" s="130">
        <v>27</v>
      </c>
      <c r="N168" s="131">
        <v>167</v>
      </c>
      <c r="O168" s="143"/>
      <c r="W168" s="86">
        <f t="shared" si="4"/>
        <v>0</v>
      </c>
      <c r="X168" s="87">
        <f t="shared" si="5"/>
        <v>0</v>
      </c>
    </row>
    <row r="169" spans="1:24" x14ac:dyDescent="0.35">
      <c r="A169" s="128">
        <v>123</v>
      </c>
      <c r="B169" s="129">
        <v>8</v>
      </c>
      <c r="C169" s="134" t="s">
        <v>45</v>
      </c>
      <c r="D169" s="134" t="s">
        <v>202</v>
      </c>
      <c r="E169" s="134" t="s">
        <v>85</v>
      </c>
      <c r="F169" s="134" t="s">
        <v>305</v>
      </c>
      <c r="G169" s="129">
        <v>9</v>
      </c>
      <c r="H169" s="129">
        <v>87</v>
      </c>
      <c r="I169" s="129">
        <v>167</v>
      </c>
      <c r="J169" s="129">
        <v>124.7</v>
      </c>
      <c r="K169" s="129">
        <v>18.600000000000001</v>
      </c>
      <c r="L169" s="129">
        <v>121</v>
      </c>
      <c r="M169" s="130">
        <v>-2</v>
      </c>
      <c r="N169" s="131">
        <v>168</v>
      </c>
      <c r="O169" s="143"/>
      <c r="W169" s="86">
        <f t="shared" si="4"/>
        <v>0</v>
      </c>
      <c r="X169" s="87">
        <f t="shared" si="5"/>
        <v>0</v>
      </c>
    </row>
    <row r="170" spans="1:24" x14ac:dyDescent="0.35">
      <c r="A170" s="125">
        <v>144</v>
      </c>
      <c r="B170" s="126">
        <v>9</v>
      </c>
      <c r="C170" s="133" t="s">
        <v>45</v>
      </c>
      <c r="D170" s="133" t="s">
        <v>308</v>
      </c>
      <c r="E170" s="133" t="s">
        <v>97</v>
      </c>
      <c r="F170" s="133" t="s">
        <v>321</v>
      </c>
      <c r="G170" s="126">
        <v>11</v>
      </c>
      <c r="H170" s="126">
        <v>84</v>
      </c>
      <c r="I170" s="126">
        <v>239</v>
      </c>
      <c r="J170" s="126">
        <v>150.4</v>
      </c>
      <c r="K170" s="126">
        <v>22.4</v>
      </c>
      <c r="L170" s="126">
        <v>136</v>
      </c>
      <c r="M170" s="127">
        <v>-8</v>
      </c>
      <c r="N170" s="132">
        <v>169</v>
      </c>
      <c r="O170" s="144"/>
      <c r="W170" s="86">
        <f t="shared" si="4"/>
        <v>0</v>
      </c>
      <c r="X170" s="87">
        <f t="shared" si="5"/>
        <v>0</v>
      </c>
    </row>
    <row r="171" spans="1:24" x14ac:dyDescent="0.35">
      <c r="A171" s="128">
        <v>153</v>
      </c>
      <c r="B171" s="129">
        <v>9</v>
      </c>
      <c r="C171" s="134" t="s">
        <v>45</v>
      </c>
      <c r="D171" s="134" t="s">
        <v>1187</v>
      </c>
      <c r="E171" s="134" t="s">
        <v>45</v>
      </c>
      <c r="F171" s="134" t="s">
        <v>404</v>
      </c>
      <c r="G171" s="129">
        <v>8</v>
      </c>
      <c r="H171" s="129">
        <v>65</v>
      </c>
      <c r="I171" s="129">
        <v>220</v>
      </c>
      <c r="J171" s="129">
        <v>142.30000000000001</v>
      </c>
      <c r="K171" s="129">
        <v>21.8</v>
      </c>
      <c r="L171" s="129">
        <v>104</v>
      </c>
      <c r="M171" s="130">
        <v>-49</v>
      </c>
      <c r="N171" s="131">
        <v>170</v>
      </c>
      <c r="O171" s="143"/>
      <c r="W171" s="86">
        <f t="shared" si="4"/>
        <v>0</v>
      </c>
      <c r="X171" s="87">
        <f t="shared" si="5"/>
        <v>0</v>
      </c>
    </row>
    <row r="172" spans="1:24" x14ac:dyDescent="0.35">
      <c r="A172" s="128">
        <v>163</v>
      </c>
      <c r="B172" s="129">
        <v>9</v>
      </c>
      <c r="C172" s="134" t="s">
        <v>45</v>
      </c>
      <c r="D172" s="134" t="s">
        <v>1116</v>
      </c>
      <c r="E172" s="134" t="s">
        <v>45</v>
      </c>
      <c r="F172" s="134" t="s">
        <v>412</v>
      </c>
      <c r="G172" s="129">
        <v>11</v>
      </c>
      <c r="H172" s="129">
        <v>76</v>
      </c>
      <c r="I172" s="129">
        <v>223</v>
      </c>
      <c r="J172" s="129">
        <v>154.5</v>
      </c>
      <c r="K172" s="129">
        <v>20.2</v>
      </c>
      <c r="L172" s="129">
        <v>116</v>
      </c>
      <c r="M172" s="130">
        <v>-47</v>
      </c>
      <c r="N172" s="131">
        <v>171</v>
      </c>
      <c r="O172" s="143"/>
      <c r="W172" s="86">
        <f t="shared" si="4"/>
        <v>0</v>
      </c>
      <c r="X172" s="87">
        <f t="shared" si="5"/>
        <v>0</v>
      </c>
    </row>
    <row r="173" spans="1:24" x14ac:dyDescent="0.35">
      <c r="A173" s="125">
        <v>148</v>
      </c>
      <c r="B173" s="126">
        <v>9</v>
      </c>
      <c r="C173" s="133" t="s">
        <v>45</v>
      </c>
      <c r="D173" s="133" t="s">
        <v>1197</v>
      </c>
      <c r="E173" s="133" t="s">
        <v>45</v>
      </c>
      <c r="F173" s="133" t="s">
        <v>385</v>
      </c>
      <c r="G173" s="126">
        <v>11</v>
      </c>
      <c r="H173" s="126">
        <v>63</v>
      </c>
      <c r="I173" s="126">
        <v>266</v>
      </c>
      <c r="J173" s="126">
        <v>139.9</v>
      </c>
      <c r="K173" s="126">
        <v>27.5</v>
      </c>
      <c r="L173" s="126">
        <v>95</v>
      </c>
      <c r="M173" s="127">
        <v>-53</v>
      </c>
      <c r="N173" s="132">
        <v>172</v>
      </c>
      <c r="O173" s="144"/>
      <c r="W173" s="86">
        <f t="shared" si="4"/>
        <v>0</v>
      </c>
      <c r="X173" s="87">
        <f t="shared" si="5"/>
        <v>0</v>
      </c>
    </row>
    <row r="174" spans="1:24" x14ac:dyDescent="0.35">
      <c r="A174" s="125">
        <v>160</v>
      </c>
      <c r="B174" s="126">
        <v>9</v>
      </c>
      <c r="C174" s="133" t="s">
        <v>45</v>
      </c>
      <c r="D174" s="133" t="s">
        <v>1185</v>
      </c>
      <c r="E174" s="133" t="s">
        <v>45</v>
      </c>
      <c r="F174" s="133" t="s">
        <v>411</v>
      </c>
      <c r="G174" s="126">
        <v>8</v>
      </c>
      <c r="H174" s="126">
        <v>73</v>
      </c>
      <c r="I174" s="126">
        <v>221</v>
      </c>
      <c r="J174" s="126">
        <v>145.19999999999999</v>
      </c>
      <c r="K174" s="126">
        <v>20.100000000000001</v>
      </c>
      <c r="L174" s="126">
        <v>107</v>
      </c>
      <c r="M174" s="127">
        <v>-53</v>
      </c>
      <c r="N174" s="132">
        <v>173</v>
      </c>
      <c r="O174" s="144"/>
      <c r="W174" s="86">
        <f t="shared" si="4"/>
        <v>0</v>
      </c>
      <c r="X174" s="87">
        <f t="shared" si="5"/>
        <v>0</v>
      </c>
    </row>
    <row r="175" spans="1:24" x14ac:dyDescent="0.35">
      <c r="A175" s="128">
        <v>167</v>
      </c>
      <c r="B175" s="129">
        <v>9</v>
      </c>
      <c r="C175" s="134" t="s">
        <v>45</v>
      </c>
      <c r="D175" s="134" t="s">
        <v>1126</v>
      </c>
      <c r="E175" s="134" t="s">
        <v>45</v>
      </c>
      <c r="F175" s="134" t="s">
        <v>413</v>
      </c>
      <c r="G175" s="129">
        <v>6</v>
      </c>
      <c r="H175" s="129">
        <v>69</v>
      </c>
      <c r="I175" s="129">
        <v>228</v>
      </c>
      <c r="J175" s="129">
        <v>156.6</v>
      </c>
      <c r="K175" s="129">
        <v>24.2</v>
      </c>
      <c r="L175" s="129">
        <v>133</v>
      </c>
      <c r="M175" s="130">
        <v>-34</v>
      </c>
      <c r="N175" s="131">
        <v>174</v>
      </c>
      <c r="O175" s="143"/>
      <c r="W175" s="86">
        <f t="shared" si="4"/>
        <v>0</v>
      </c>
      <c r="X175" s="87">
        <f t="shared" si="5"/>
        <v>0</v>
      </c>
    </row>
    <row r="176" spans="1:24" x14ac:dyDescent="0.35">
      <c r="A176" s="128">
        <v>243</v>
      </c>
      <c r="B176" s="129">
        <v>11</v>
      </c>
      <c r="C176" s="134" t="s">
        <v>45</v>
      </c>
      <c r="D176" s="134" t="s">
        <v>1128</v>
      </c>
      <c r="E176" s="134" t="s">
        <v>45</v>
      </c>
      <c r="F176" s="134" t="s">
        <v>508</v>
      </c>
      <c r="G176" s="129">
        <v>7</v>
      </c>
      <c r="H176" s="129">
        <v>91</v>
      </c>
      <c r="I176" s="129">
        <v>279</v>
      </c>
      <c r="J176" s="129">
        <v>219.4</v>
      </c>
      <c r="K176" s="129">
        <v>32.6</v>
      </c>
      <c r="L176" s="129">
        <v>275</v>
      </c>
      <c r="M176" s="130">
        <v>32</v>
      </c>
      <c r="N176" s="131">
        <v>175</v>
      </c>
      <c r="O176" s="143"/>
      <c r="W176" s="86">
        <f t="shared" si="4"/>
        <v>0</v>
      </c>
      <c r="X176" s="87">
        <f t="shared" si="5"/>
        <v>0</v>
      </c>
    </row>
    <row r="177" spans="1:24" x14ac:dyDescent="0.35">
      <c r="A177" s="125">
        <v>172</v>
      </c>
      <c r="B177" s="126">
        <v>9</v>
      </c>
      <c r="C177" s="133" t="s">
        <v>45</v>
      </c>
      <c r="D177" s="133" t="s">
        <v>1112</v>
      </c>
      <c r="E177" s="133" t="s">
        <v>45</v>
      </c>
      <c r="F177" s="133" t="s">
        <v>427</v>
      </c>
      <c r="G177" s="126">
        <v>11</v>
      </c>
      <c r="H177" s="126">
        <v>78</v>
      </c>
      <c r="I177" s="126">
        <v>229</v>
      </c>
      <c r="J177" s="126">
        <v>162.9</v>
      </c>
      <c r="K177" s="126">
        <v>24</v>
      </c>
      <c r="L177" s="126">
        <v>129</v>
      </c>
      <c r="M177" s="127">
        <v>-43</v>
      </c>
      <c r="N177" s="132">
        <v>176</v>
      </c>
      <c r="O177" s="144"/>
      <c r="W177" s="86">
        <f t="shared" si="4"/>
        <v>0</v>
      </c>
      <c r="X177" s="87">
        <f t="shared" si="5"/>
        <v>0</v>
      </c>
    </row>
    <row r="178" spans="1:24" x14ac:dyDescent="0.35">
      <c r="A178" s="128">
        <v>189</v>
      </c>
      <c r="B178" s="129">
        <v>10</v>
      </c>
      <c r="C178" s="134" t="s">
        <v>45</v>
      </c>
      <c r="D178" s="134" t="s">
        <v>1120</v>
      </c>
      <c r="E178" s="134" t="s">
        <v>45</v>
      </c>
      <c r="F178" s="134" t="s">
        <v>457</v>
      </c>
      <c r="G178" s="129">
        <v>7</v>
      </c>
      <c r="H178" s="129">
        <v>82</v>
      </c>
      <c r="I178" s="129">
        <v>241</v>
      </c>
      <c r="J178" s="129">
        <v>180.6</v>
      </c>
      <c r="K178" s="129">
        <v>27.7</v>
      </c>
      <c r="L178" s="129">
        <v>160</v>
      </c>
      <c r="M178" s="130">
        <v>-29</v>
      </c>
      <c r="N178" s="131">
        <v>177</v>
      </c>
      <c r="O178" s="143"/>
      <c r="W178" s="86">
        <f t="shared" si="4"/>
        <v>0</v>
      </c>
      <c r="X178" s="87">
        <f t="shared" si="5"/>
        <v>0</v>
      </c>
    </row>
    <row r="179" spans="1:24" x14ac:dyDescent="0.35">
      <c r="A179" s="128">
        <v>197</v>
      </c>
      <c r="B179" s="129">
        <v>10</v>
      </c>
      <c r="C179" s="134" t="s">
        <v>45</v>
      </c>
      <c r="D179" s="134" t="s">
        <v>1156</v>
      </c>
      <c r="E179" s="134" t="s">
        <v>45</v>
      </c>
      <c r="F179" s="134" t="s">
        <v>467</v>
      </c>
      <c r="G179" s="129">
        <v>8</v>
      </c>
      <c r="H179" s="129">
        <v>93</v>
      </c>
      <c r="I179" s="129">
        <v>234</v>
      </c>
      <c r="J179" s="129">
        <v>193.1</v>
      </c>
      <c r="K179" s="129">
        <v>24.5</v>
      </c>
      <c r="L179" s="129">
        <v>232</v>
      </c>
      <c r="M179" s="130">
        <v>35</v>
      </c>
      <c r="N179" s="131">
        <v>178</v>
      </c>
      <c r="O179" s="143"/>
      <c r="W179" s="86">
        <f t="shared" si="4"/>
        <v>0</v>
      </c>
      <c r="X179" s="87">
        <f t="shared" si="5"/>
        <v>0</v>
      </c>
    </row>
    <row r="180" spans="1:24" x14ac:dyDescent="0.35">
      <c r="A180" s="125">
        <v>180</v>
      </c>
      <c r="B180" s="126">
        <v>10</v>
      </c>
      <c r="C180" s="133" t="s">
        <v>45</v>
      </c>
      <c r="D180" s="133" t="s">
        <v>1122</v>
      </c>
      <c r="E180" s="133" t="s">
        <v>45</v>
      </c>
      <c r="F180" s="133" t="s">
        <v>436</v>
      </c>
      <c r="G180" s="126">
        <v>6</v>
      </c>
      <c r="H180" s="126">
        <v>92</v>
      </c>
      <c r="I180" s="126">
        <v>235</v>
      </c>
      <c r="J180" s="126">
        <v>173.3</v>
      </c>
      <c r="K180" s="126">
        <v>24</v>
      </c>
      <c r="L180" s="126">
        <v>147</v>
      </c>
      <c r="M180" s="127">
        <v>-33</v>
      </c>
      <c r="N180" s="132">
        <v>179</v>
      </c>
      <c r="O180" s="144"/>
      <c r="W180" s="86">
        <f t="shared" si="4"/>
        <v>0</v>
      </c>
      <c r="X180" s="87">
        <f t="shared" si="5"/>
        <v>0</v>
      </c>
    </row>
    <row r="181" spans="1:24" x14ac:dyDescent="0.35">
      <c r="A181" s="128">
        <v>247</v>
      </c>
      <c r="B181" s="129">
        <v>11</v>
      </c>
      <c r="C181" s="134" t="s">
        <v>45</v>
      </c>
      <c r="D181" s="134" t="s">
        <v>1199</v>
      </c>
      <c r="E181" s="134" t="s">
        <v>45</v>
      </c>
      <c r="F181" s="134" t="s">
        <v>529</v>
      </c>
      <c r="G181" s="129">
        <v>13</v>
      </c>
      <c r="H181" s="129">
        <v>90</v>
      </c>
      <c r="I181" s="129">
        <v>323</v>
      </c>
      <c r="J181" s="129">
        <v>229.8</v>
      </c>
      <c r="K181" s="129">
        <v>39.1</v>
      </c>
      <c r="L181" s="129">
        <v>278</v>
      </c>
      <c r="M181" s="130">
        <v>31</v>
      </c>
      <c r="N181" s="131">
        <v>180</v>
      </c>
      <c r="O181" s="143"/>
      <c r="W181" s="86">
        <f t="shared" si="4"/>
        <v>0</v>
      </c>
      <c r="X181" s="87">
        <f t="shared" si="5"/>
        <v>0</v>
      </c>
    </row>
    <row r="182" spans="1:24" x14ac:dyDescent="0.35">
      <c r="A182" s="128">
        <v>213</v>
      </c>
      <c r="B182" s="129">
        <v>10</v>
      </c>
      <c r="C182" s="134" t="s">
        <v>45</v>
      </c>
      <c r="D182" s="134" t="s">
        <v>1124</v>
      </c>
      <c r="E182" s="134" t="s">
        <v>45</v>
      </c>
      <c r="F182" s="134" t="s">
        <v>479</v>
      </c>
      <c r="G182" s="129">
        <v>10</v>
      </c>
      <c r="H182" s="129">
        <v>100</v>
      </c>
      <c r="I182" s="129">
        <v>246</v>
      </c>
      <c r="J182" s="129">
        <v>192.9</v>
      </c>
      <c r="K182" s="129">
        <v>29.1</v>
      </c>
      <c r="L182" s="129">
        <v>229</v>
      </c>
      <c r="M182" s="130">
        <v>16</v>
      </c>
      <c r="N182" s="131">
        <v>181</v>
      </c>
      <c r="O182" s="143"/>
      <c r="W182" s="86">
        <f t="shared" si="4"/>
        <v>0</v>
      </c>
      <c r="X182" s="87">
        <f t="shared" si="5"/>
        <v>0</v>
      </c>
    </row>
    <row r="183" spans="1:24" x14ac:dyDescent="0.35">
      <c r="A183" s="128">
        <v>177</v>
      </c>
      <c r="B183" s="129">
        <v>9</v>
      </c>
      <c r="C183" s="134" t="s">
        <v>45</v>
      </c>
      <c r="D183" s="134" t="s">
        <v>449</v>
      </c>
      <c r="E183" s="134" t="s">
        <v>157</v>
      </c>
      <c r="F183" s="134" t="s">
        <v>450</v>
      </c>
      <c r="G183" s="129">
        <v>8</v>
      </c>
      <c r="H183" s="129">
        <v>84</v>
      </c>
      <c r="I183" s="129">
        <v>253</v>
      </c>
      <c r="J183" s="129">
        <v>166.1</v>
      </c>
      <c r="K183" s="129">
        <v>21.3</v>
      </c>
      <c r="L183" s="129">
        <v>112</v>
      </c>
      <c r="M183" s="130">
        <v>-65</v>
      </c>
      <c r="N183" s="131">
        <v>182</v>
      </c>
      <c r="O183" s="143"/>
      <c r="W183" s="86">
        <f t="shared" si="4"/>
        <v>166.1</v>
      </c>
      <c r="X183" s="87">
        <f t="shared" si="5"/>
        <v>21.3</v>
      </c>
    </row>
    <row r="184" spans="1:24" x14ac:dyDescent="0.35">
      <c r="A184" s="125">
        <v>170</v>
      </c>
      <c r="B184" s="126">
        <v>9</v>
      </c>
      <c r="C184" s="133" t="s">
        <v>45</v>
      </c>
      <c r="D184" s="133" t="s">
        <v>455</v>
      </c>
      <c r="E184" s="133" t="s">
        <v>88</v>
      </c>
      <c r="F184" s="133" t="s">
        <v>440</v>
      </c>
      <c r="G184" s="126">
        <v>10</v>
      </c>
      <c r="H184" s="126">
        <v>80</v>
      </c>
      <c r="I184" s="126">
        <v>252</v>
      </c>
      <c r="J184" s="126">
        <v>166.4</v>
      </c>
      <c r="K184" s="126">
        <v>26.1</v>
      </c>
      <c r="L184" s="126">
        <v>114</v>
      </c>
      <c r="M184" s="127">
        <v>-56</v>
      </c>
      <c r="N184" s="132">
        <v>183</v>
      </c>
      <c r="O184" s="144"/>
      <c r="W184" s="86">
        <f t="shared" si="4"/>
        <v>166.4</v>
      </c>
      <c r="X184" s="87">
        <f t="shared" si="5"/>
        <v>26.1</v>
      </c>
    </row>
    <row r="185" spans="1:24" x14ac:dyDescent="0.35">
      <c r="A185" s="128">
        <v>183</v>
      </c>
      <c r="B185" s="129">
        <v>10</v>
      </c>
      <c r="C185" s="134" t="s">
        <v>45</v>
      </c>
      <c r="D185" s="134" t="s">
        <v>473</v>
      </c>
      <c r="E185" s="134" t="s">
        <v>56</v>
      </c>
      <c r="F185" s="134" t="s">
        <v>452</v>
      </c>
      <c r="G185" s="129">
        <v>6</v>
      </c>
      <c r="H185" s="129">
        <v>85</v>
      </c>
      <c r="I185" s="129">
        <v>255</v>
      </c>
      <c r="J185" s="129">
        <v>173.9</v>
      </c>
      <c r="K185" s="129">
        <v>20</v>
      </c>
      <c r="L185" s="129">
        <v>127</v>
      </c>
      <c r="M185" s="130">
        <v>-56</v>
      </c>
      <c r="N185" s="131">
        <v>184</v>
      </c>
      <c r="O185" s="143"/>
      <c r="W185" s="86">
        <f t="shared" si="4"/>
        <v>173.9</v>
      </c>
      <c r="X185" s="87">
        <f t="shared" si="5"/>
        <v>20</v>
      </c>
    </row>
    <row r="186" spans="1:24" x14ac:dyDescent="0.35">
      <c r="A186" s="125">
        <v>208</v>
      </c>
      <c r="B186" s="126">
        <v>10</v>
      </c>
      <c r="C186" s="133" t="s">
        <v>45</v>
      </c>
      <c r="D186" s="133" t="s">
        <v>513</v>
      </c>
      <c r="E186" s="133" t="s">
        <v>144</v>
      </c>
      <c r="F186" s="133" t="s">
        <v>497</v>
      </c>
      <c r="G186" s="126">
        <v>5</v>
      </c>
      <c r="H186" s="126">
        <v>99</v>
      </c>
      <c r="I186" s="126">
        <v>258</v>
      </c>
      <c r="J186" s="126">
        <v>205</v>
      </c>
      <c r="K186" s="126">
        <v>21.6</v>
      </c>
      <c r="L186" s="126">
        <v>167</v>
      </c>
      <c r="M186" s="127">
        <v>-41</v>
      </c>
      <c r="N186" s="132">
        <v>185</v>
      </c>
      <c r="O186" s="144"/>
      <c r="W186" s="86">
        <f t="shared" si="4"/>
        <v>205</v>
      </c>
      <c r="X186" s="87">
        <f t="shared" si="5"/>
        <v>21.6</v>
      </c>
    </row>
    <row r="187" spans="1:24" x14ac:dyDescent="0.35">
      <c r="A187" s="128">
        <v>255</v>
      </c>
      <c r="B187" s="129">
        <v>11</v>
      </c>
      <c r="C187" s="134" t="s">
        <v>45</v>
      </c>
      <c r="D187" s="134" t="s">
        <v>564</v>
      </c>
      <c r="E187" s="134" t="s">
        <v>74</v>
      </c>
      <c r="F187" s="134" t="s">
        <v>565</v>
      </c>
      <c r="G187" s="129">
        <v>8</v>
      </c>
      <c r="H187" s="129">
        <v>140</v>
      </c>
      <c r="I187" s="129">
        <v>283</v>
      </c>
      <c r="J187" s="129">
        <v>249.5</v>
      </c>
      <c r="K187" s="129">
        <v>28.6</v>
      </c>
      <c r="L187" s="129">
        <v>286</v>
      </c>
      <c r="M187" s="130">
        <v>31</v>
      </c>
      <c r="N187" s="131">
        <v>186</v>
      </c>
      <c r="O187" s="143"/>
      <c r="W187" s="86">
        <f t="shared" si="4"/>
        <v>249.5</v>
      </c>
      <c r="X187" s="87">
        <f t="shared" si="5"/>
        <v>28.6</v>
      </c>
    </row>
    <row r="188" spans="1:24" x14ac:dyDescent="0.35">
      <c r="A188" s="125">
        <v>186</v>
      </c>
      <c r="B188" s="126">
        <v>10</v>
      </c>
      <c r="C188" s="133" t="s">
        <v>45</v>
      </c>
      <c r="D188" s="133" t="s">
        <v>439</v>
      </c>
      <c r="E188" s="133" t="s">
        <v>50</v>
      </c>
      <c r="F188" s="133" t="s">
        <v>456</v>
      </c>
      <c r="G188" s="126">
        <v>10</v>
      </c>
      <c r="H188" s="126">
        <v>86</v>
      </c>
      <c r="I188" s="126">
        <v>254</v>
      </c>
      <c r="J188" s="126">
        <v>179.4</v>
      </c>
      <c r="K188" s="126">
        <v>21.6</v>
      </c>
      <c r="L188" s="126">
        <v>135</v>
      </c>
      <c r="M188" s="127">
        <v>-51</v>
      </c>
      <c r="N188" s="132">
        <v>187</v>
      </c>
      <c r="O188" s="144"/>
      <c r="W188" s="86">
        <f t="shared" si="4"/>
        <v>179.4</v>
      </c>
      <c r="X188" s="87">
        <f t="shared" si="5"/>
        <v>21.6</v>
      </c>
    </row>
    <row r="189" spans="1:24" x14ac:dyDescent="0.35">
      <c r="A189" s="125">
        <v>200</v>
      </c>
      <c r="B189" s="126">
        <v>10</v>
      </c>
      <c r="C189" s="133" t="s">
        <v>45</v>
      </c>
      <c r="D189" s="133" t="s">
        <v>520</v>
      </c>
      <c r="E189" s="133" t="s">
        <v>97</v>
      </c>
      <c r="F189" s="133" t="s">
        <v>474</v>
      </c>
      <c r="G189" s="126">
        <v>11</v>
      </c>
      <c r="H189" s="126">
        <v>97</v>
      </c>
      <c r="I189" s="126">
        <v>257</v>
      </c>
      <c r="J189" s="126">
        <v>195.5</v>
      </c>
      <c r="K189" s="126">
        <v>20.6</v>
      </c>
      <c r="L189" s="126">
        <v>158</v>
      </c>
      <c r="M189" s="127">
        <v>-42</v>
      </c>
      <c r="N189" s="132">
        <v>188</v>
      </c>
      <c r="O189" s="144"/>
      <c r="W189" s="86">
        <f t="shared" si="4"/>
        <v>195.5</v>
      </c>
      <c r="X189" s="87">
        <f t="shared" si="5"/>
        <v>20.6</v>
      </c>
    </row>
    <row r="190" spans="1:24" x14ac:dyDescent="0.35">
      <c r="A190" s="125">
        <v>222</v>
      </c>
      <c r="B190" s="126">
        <v>11</v>
      </c>
      <c r="C190" s="133" t="s">
        <v>45</v>
      </c>
      <c r="D190" s="133" t="s">
        <v>783</v>
      </c>
      <c r="E190" s="133" t="s">
        <v>68</v>
      </c>
      <c r="F190" s="133" t="s">
        <v>519</v>
      </c>
      <c r="G190" s="126">
        <v>8</v>
      </c>
      <c r="H190" s="126">
        <v>108</v>
      </c>
      <c r="I190" s="126">
        <v>290</v>
      </c>
      <c r="J190" s="126">
        <v>213.6</v>
      </c>
      <c r="K190" s="126">
        <v>28.8</v>
      </c>
      <c r="L190" s="126">
        <v>192</v>
      </c>
      <c r="M190" s="127">
        <v>-30</v>
      </c>
      <c r="N190" s="132">
        <v>189</v>
      </c>
      <c r="O190" s="144"/>
      <c r="W190" s="86">
        <f t="shared" si="4"/>
        <v>213.6</v>
      </c>
      <c r="X190" s="87">
        <f t="shared" si="5"/>
        <v>28.8</v>
      </c>
    </row>
    <row r="191" spans="1:24" x14ac:dyDescent="0.35">
      <c r="A191" s="125">
        <v>216</v>
      </c>
      <c r="B191" s="126">
        <v>10</v>
      </c>
      <c r="C191" s="133" t="s">
        <v>45</v>
      </c>
      <c r="D191" s="133" t="s">
        <v>516</v>
      </c>
      <c r="E191" s="133" t="s">
        <v>134</v>
      </c>
      <c r="F191" s="133" t="s">
        <v>514</v>
      </c>
      <c r="G191" s="126">
        <v>9</v>
      </c>
      <c r="H191" s="126">
        <v>123</v>
      </c>
      <c r="I191" s="126">
        <v>263</v>
      </c>
      <c r="J191" s="126">
        <v>215.2</v>
      </c>
      <c r="K191" s="126">
        <v>22.7</v>
      </c>
      <c r="L191" s="126">
        <v>252</v>
      </c>
      <c r="M191" s="127">
        <v>36</v>
      </c>
      <c r="N191" s="132">
        <v>190</v>
      </c>
      <c r="O191" s="144"/>
      <c r="W191" s="86">
        <f t="shared" si="4"/>
        <v>215.2</v>
      </c>
      <c r="X191" s="87">
        <f t="shared" si="5"/>
        <v>22.7</v>
      </c>
    </row>
    <row r="192" spans="1:24" x14ac:dyDescent="0.35">
      <c r="A192" s="125">
        <v>268</v>
      </c>
      <c r="B192" s="126">
        <v>11</v>
      </c>
      <c r="C192" s="133" t="s">
        <v>45</v>
      </c>
      <c r="D192" s="133" t="s">
        <v>958</v>
      </c>
      <c r="E192" s="133" t="s">
        <v>85</v>
      </c>
      <c r="F192" s="133" t="s">
        <v>587</v>
      </c>
      <c r="G192" s="126">
        <v>9</v>
      </c>
      <c r="H192" s="126">
        <v>151</v>
      </c>
      <c r="I192" s="126">
        <v>303</v>
      </c>
      <c r="J192" s="126">
        <v>265.39999999999998</v>
      </c>
      <c r="K192" s="126">
        <v>31.1</v>
      </c>
      <c r="L192" s="126">
        <v>254</v>
      </c>
      <c r="M192" s="127">
        <v>-14</v>
      </c>
      <c r="N192" s="132">
        <v>191</v>
      </c>
      <c r="O192" s="144"/>
      <c r="W192" s="86">
        <f t="shared" si="4"/>
        <v>265.39999999999998</v>
      </c>
      <c r="X192" s="87">
        <f t="shared" si="5"/>
        <v>31.1</v>
      </c>
    </row>
    <row r="193" spans="1:24" x14ac:dyDescent="0.35">
      <c r="A193" s="125">
        <v>218</v>
      </c>
      <c r="B193" s="126">
        <v>10</v>
      </c>
      <c r="C193" s="133" t="s">
        <v>45</v>
      </c>
      <c r="D193" s="133" t="s">
        <v>518</v>
      </c>
      <c r="E193" s="133" t="s">
        <v>62</v>
      </c>
      <c r="F193" s="133" t="s">
        <v>517</v>
      </c>
      <c r="G193" s="126">
        <v>8</v>
      </c>
      <c r="H193" s="126">
        <v>111</v>
      </c>
      <c r="I193" s="126">
        <v>261</v>
      </c>
      <c r="J193" s="126">
        <v>214.2</v>
      </c>
      <c r="K193" s="126">
        <v>24.1</v>
      </c>
      <c r="L193" s="126">
        <v>195</v>
      </c>
      <c r="M193" s="127">
        <v>-23</v>
      </c>
      <c r="N193" s="132">
        <v>193</v>
      </c>
      <c r="O193" s="144"/>
      <c r="W193" s="86">
        <f t="shared" si="4"/>
        <v>214.2</v>
      </c>
      <c r="X193" s="87">
        <f t="shared" si="5"/>
        <v>24.1</v>
      </c>
    </row>
    <row r="194" spans="1:24" x14ac:dyDescent="0.35">
      <c r="A194" s="128">
        <v>179</v>
      </c>
      <c r="B194" s="129">
        <v>10</v>
      </c>
      <c r="C194" s="134" t="s">
        <v>45</v>
      </c>
      <c r="D194" s="134" t="s">
        <v>609</v>
      </c>
      <c r="E194" s="134" t="s">
        <v>102</v>
      </c>
      <c r="F194" s="134" t="s">
        <v>434</v>
      </c>
      <c r="G194" s="129">
        <v>7</v>
      </c>
      <c r="H194" s="129">
        <v>124</v>
      </c>
      <c r="I194" s="129">
        <v>262</v>
      </c>
      <c r="J194" s="129">
        <v>180.6</v>
      </c>
      <c r="K194" s="129">
        <v>30.9</v>
      </c>
      <c r="L194" s="129">
        <v>211</v>
      </c>
      <c r="M194" s="130">
        <v>32</v>
      </c>
      <c r="N194" s="131">
        <v>194</v>
      </c>
      <c r="O194" s="143"/>
      <c r="W194" s="86">
        <f t="shared" si="4"/>
        <v>0</v>
      </c>
      <c r="X194" s="87">
        <f t="shared" si="5"/>
        <v>0</v>
      </c>
    </row>
    <row r="195" spans="1:24" x14ac:dyDescent="0.35">
      <c r="A195" s="125">
        <v>234</v>
      </c>
      <c r="B195" s="126">
        <v>11</v>
      </c>
      <c r="C195" s="133" t="s">
        <v>45</v>
      </c>
      <c r="D195" s="133" t="s">
        <v>1409</v>
      </c>
      <c r="E195" s="133" t="s">
        <v>184</v>
      </c>
      <c r="F195" s="133" t="s">
        <v>444</v>
      </c>
      <c r="G195" s="126">
        <v>8</v>
      </c>
      <c r="H195" s="126">
        <v>117</v>
      </c>
      <c r="I195" s="126">
        <v>341</v>
      </c>
      <c r="J195" s="126">
        <v>210.6</v>
      </c>
      <c r="K195" s="126">
        <v>47.3</v>
      </c>
      <c r="L195" s="126">
        <v>308</v>
      </c>
      <c r="M195" s="127">
        <v>74</v>
      </c>
      <c r="N195" s="132">
        <v>195</v>
      </c>
      <c r="O195" s="144"/>
      <c r="W195" s="86">
        <f t="shared" ref="W195:W258" si="6">IF(LEFT(F195,1)="K",J195,0)</f>
        <v>0</v>
      </c>
      <c r="X195" s="87">
        <f t="shared" ref="X195:X258" si="7">IF(LEFT(F195,1)="K",K195,0)</f>
        <v>0</v>
      </c>
    </row>
    <row r="196" spans="1:24" x14ac:dyDescent="0.35">
      <c r="A196" s="128">
        <v>293</v>
      </c>
      <c r="B196" s="129">
        <v>12</v>
      </c>
      <c r="C196" s="134" t="s">
        <v>45</v>
      </c>
      <c r="D196" s="134" t="s">
        <v>1273</v>
      </c>
      <c r="E196" s="134" t="s">
        <v>74</v>
      </c>
      <c r="F196" s="134" t="s">
        <v>515</v>
      </c>
      <c r="G196" s="129">
        <v>8</v>
      </c>
      <c r="H196" s="129">
        <v>175</v>
      </c>
      <c r="I196" s="129">
        <v>376</v>
      </c>
      <c r="J196" s="129">
        <v>250.8</v>
      </c>
      <c r="K196" s="129">
        <v>41.7</v>
      </c>
      <c r="L196" s="129">
        <v>253</v>
      </c>
      <c r="M196" s="130">
        <v>-40</v>
      </c>
      <c r="N196" s="131">
        <v>196</v>
      </c>
      <c r="O196" s="143"/>
      <c r="W196" s="86">
        <f t="shared" si="6"/>
        <v>0</v>
      </c>
      <c r="X196" s="87">
        <f t="shared" si="7"/>
        <v>0</v>
      </c>
    </row>
    <row r="197" spans="1:24" x14ac:dyDescent="0.35">
      <c r="A197" s="125">
        <v>330</v>
      </c>
      <c r="B197" s="126">
        <v>13</v>
      </c>
      <c r="C197" s="133" t="s">
        <v>45</v>
      </c>
      <c r="D197" s="133" t="s">
        <v>1325</v>
      </c>
      <c r="E197" s="133" t="s">
        <v>82</v>
      </c>
      <c r="F197" s="133" t="s">
        <v>605</v>
      </c>
      <c r="G197" s="126">
        <v>9</v>
      </c>
      <c r="H197" s="126">
        <v>132</v>
      </c>
      <c r="I197" s="126">
        <v>400</v>
      </c>
      <c r="J197" s="126">
        <v>290.39999999999998</v>
      </c>
      <c r="K197" s="126">
        <v>43.2</v>
      </c>
      <c r="L197" s="126">
        <v>334</v>
      </c>
      <c r="M197" s="127">
        <v>4</v>
      </c>
      <c r="N197" s="132">
        <v>197</v>
      </c>
      <c r="O197" s="144"/>
      <c r="W197" s="86">
        <f t="shared" si="6"/>
        <v>0</v>
      </c>
      <c r="X197" s="87">
        <f t="shared" si="7"/>
        <v>0</v>
      </c>
    </row>
    <row r="198" spans="1:24" x14ac:dyDescent="0.35">
      <c r="A198" s="128">
        <v>219</v>
      </c>
      <c r="B198" s="129">
        <v>10</v>
      </c>
      <c r="C198" s="134" t="s">
        <v>45</v>
      </c>
      <c r="D198" s="134" t="s">
        <v>1249</v>
      </c>
      <c r="E198" s="134" t="s">
        <v>125</v>
      </c>
      <c r="F198" s="134" t="s">
        <v>420</v>
      </c>
      <c r="G198" s="129">
        <v>7</v>
      </c>
      <c r="H198" s="129">
        <v>93</v>
      </c>
      <c r="I198" s="129">
        <v>302</v>
      </c>
      <c r="J198" s="129">
        <v>211.9</v>
      </c>
      <c r="K198" s="129">
        <v>39</v>
      </c>
      <c r="L198" s="129">
        <v>237</v>
      </c>
      <c r="M198" s="130">
        <v>18</v>
      </c>
      <c r="N198" s="131">
        <v>198</v>
      </c>
      <c r="O198" s="143"/>
      <c r="W198" s="86">
        <f t="shared" si="6"/>
        <v>0</v>
      </c>
      <c r="X198" s="87">
        <f t="shared" si="7"/>
        <v>0</v>
      </c>
    </row>
    <row r="199" spans="1:24" x14ac:dyDescent="0.35">
      <c r="A199" s="125">
        <v>188</v>
      </c>
      <c r="B199" s="126">
        <v>10</v>
      </c>
      <c r="C199" s="133" t="s">
        <v>45</v>
      </c>
      <c r="D199" s="133" t="s">
        <v>312</v>
      </c>
      <c r="E199" s="133" t="s">
        <v>74</v>
      </c>
      <c r="F199" s="133" t="s">
        <v>387</v>
      </c>
      <c r="G199" s="126">
        <v>8</v>
      </c>
      <c r="H199" s="126">
        <v>132</v>
      </c>
      <c r="I199" s="126">
        <v>265</v>
      </c>
      <c r="J199" s="126">
        <v>193</v>
      </c>
      <c r="K199" s="126">
        <v>27.7</v>
      </c>
      <c r="L199" s="126">
        <v>214</v>
      </c>
      <c r="M199" s="127">
        <v>26</v>
      </c>
      <c r="N199" s="132">
        <v>199</v>
      </c>
      <c r="O199" s="144"/>
      <c r="W199" s="86">
        <f t="shared" si="6"/>
        <v>0</v>
      </c>
      <c r="X199" s="87">
        <f t="shared" si="7"/>
        <v>0</v>
      </c>
    </row>
    <row r="200" spans="1:24" x14ac:dyDescent="0.35">
      <c r="A200" s="128">
        <v>171</v>
      </c>
      <c r="B200" s="129">
        <v>9</v>
      </c>
      <c r="C200" s="134" t="s">
        <v>45</v>
      </c>
      <c r="D200" s="134" t="s">
        <v>324</v>
      </c>
      <c r="E200" s="134" t="s">
        <v>149</v>
      </c>
      <c r="F200" s="134" t="s">
        <v>393</v>
      </c>
      <c r="G200" s="129">
        <v>6</v>
      </c>
      <c r="H200" s="129">
        <v>71</v>
      </c>
      <c r="I200" s="129">
        <v>272</v>
      </c>
      <c r="J200" s="129">
        <v>170.3</v>
      </c>
      <c r="K200" s="129">
        <v>44.1</v>
      </c>
      <c r="L200" s="129">
        <v>205</v>
      </c>
      <c r="M200" s="130">
        <v>34</v>
      </c>
      <c r="N200" s="131">
        <v>200</v>
      </c>
      <c r="O200" s="143"/>
      <c r="W200" s="86">
        <f t="shared" si="6"/>
        <v>0</v>
      </c>
      <c r="X200" s="87">
        <f t="shared" si="7"/>
        <v>0</v>
      </c>
    </row>
    <row r="201" spans="1:24" x14ac:dyDescent="0.35">
      <c r="A201" s="125">
        <v>292</v>
      </c>
      <c r="B201" s="126">
        <v>12</v>
      </c>
      <c r="C201" s="133" t="s">
        <v>45</v>
      </c>
      <c r="D201" s="133" t="s">
        <v>798</v>
      </c>
      <c r="E201" s="133" t="s">
        <v>88</v>
      </c>
      <c r="F201" s="133" t="s">
        <v>639</v>
      </c>
      <c r="G201" s="126">
        <v>10</v>
      </c>
      <c r="H201" s="126">
        <v>133</v>
      </c>
      <c r="I201" s="126">
        <v>334</v>
      </c>
      <c r="J201" s="126">
        <v>276.7</v>
      </c>
      <c r="K201" s="126">
        <v>33.4</v>
      </c>
      <c r="L201" s="126">
        <v>344</v>
      </c>
      <c r="M201" s="127">
        <v>52</v>
      </c>
      <c r="N201" s="132">
        <v>201</v>
      </c>
      <c r="O201" s="144"/>
      <c r="W201" s="86">
        <f t="shared" si="6"/>
        <v>0</v>
      </c>
      <c r="X201" s="87">
        <f t="shared" si="7"/>
        <v>0</v>
      </c>
    </row>
    <row r="202" spans="1:24" x14ac:dyDescent="0.35">
      <c r="A202" s="125">
        <v>244</v>
      </c>
      <c r="B202" s="126">
        <v>11</v>
      </c>
      <c r="C202" s="133" t="s">
        <v>45</v>
      </c>
      <c r="D202" s="133" t="s">
        <v>678</v>
      </c>
      <c r="E202" s="133" t="s">
        <v>184</v>
      </c>
      <c r="F202" s="133" t="s">
        <v>539</v>
      </c>
      <c r="G202" s="126">
        <v>8</v>
      </c>
      <c r="H202" s="126">
        <v>71</v>
      </c>
      <c r="I202" s="126">
        <v>329</v>
      </c>
      <c r="J202" s="126">
        <v>233.3</v>
      </c>
      <c r="K202" s="126">
        <v>59.1</v>
      </c>
      <c r="L202" s="126">
        <v>319</v>
      </c>
      <c r="M202" s="127">
        <v>75</v>
      </c>
      <c r="N202" s="132">
        <v>202</v>
      </c>
      <c r="O202" s="144"/>
      <c r="W202" s="86">
        <f t="shared" si="6"/>
        <v>0</v>
      </c>
      <c r="X202" s="87">
        <f t="shared" si="7"/>
        <v>0</v>
      </c>
    </row>
    <row r="203" spans="1:24" x14ac:dyDescent="0.35">
      <c r="A203" s="128">
        <v>209</v>
      </c>
      <c r="B203" s="129">
        <v>10</v>
      </c>
      <c r="C203" s="134" t="s">
        <v>45</v>
      </c>
      <c r="D203" s="134" t="s">
        <v>489</v>
      </c>
      <c r="E203" s="134" t="s">
        <v>82</v>
      </c>
      <c r="F203" s="134" t="s">
        <v>462</v>
      </c>
      <c r="G203" s="129">
        <v>9</v>
      </c>
      <c r="H203" s="129">
        <v>120</v>
      </c>
      <c r="I203" s="129">
        <v>272</v>
      </c>
      <c r="J203" s="129">
        <v>203.4</v>
      </c>
      <c r="K203" s="129">
        <v>32.1</v>
      </c>
      <c r="L203" s="129">
        <v>230</v>
      </c>
      <c r="M203" s="130">
        <v>21</v>
      </c>
      <c r="N203" s="131">
        <v>203</v>
      </c>
      <c r="O203" s="143"/>
      <c r="W203" s="86">
        <f t="shared" si="6"/>
        <v>0</v>
      </c>
      <c r="X203" s="87">
        <f t="shared" si="7"/>
        <v>0</v>
      </c>
    </row>
    <row r="204" spans="1:24" x14ac:dyDescent="0.35">
      <c r="A204" s="128">
        <v>169</v>
      </c>
      <c r="B204" s="129">
        <v>9</v>
      </c>
      <c r="C204" s="134" t="s">
        <v>45</v>
      </c>
      <c r="D204" s="134" t="s">
        <v>353</v>
      </c>
      <c r="E204" s="134" t="s">
        <v>65</v>
      </c>
      <c r="F204" s="134" t="s">
        <v>389</v>
      </c>
      <c r="G204" s="129">
        <v>5</v>
      </c>
      <c r="H204" s="129">
        <v>85</v>
      </c>
      <c r="I204" s="129">
        <v>269</v>
      </c>
      <c r="J204" s="129">
        <v>169.3</v>
      </c>
      <c r="K204" s="129">
        <v>38.200000000000003</v>
      </c>
      <c r="L204" s="129">
        <v>198</v>
      </c>
      <c r="M204" s="130">
        <v>29</v>
      </c>
      <c r="N204" s="131">
        <v>204</v>
      </c>
      <c r="O204" s="143"/>
      <c r="W204" s="86">
        <f t="shared" si="6"/>
        <v>0</v>
      </c>
      <c r="X204" s="87">
        <f t="shared" si="7"/>
        <v>0</v>
      </c>
    </row>
    <row r="205" spans="1:24" x14ac:dyDescent="0.35">
      <c r="A205" s="128">
        <v>299</v>
      </c>
      <c r="B205" s="129">
        <v>12</v>
      </c>
      <c r="C205" s="134" t="s">
        <v>45</v>
      </c>
      <c r="D205" s="134" t="s">
        <v>1326</v>
      </c>
      <c r="E205" s="134" t="s">
        <v>1222</v>
      </c>
      <c r="F205" s="134" t="s">
        <v>645</v>
      </c>
      <c r="G205" s="129">
        <v>6</v>
      </c>
      <c r="H205" s="129">
        <v>118</v>
      </c>
      <c r="I205" s="129">
        <v>326</v>
      </c>
      <c r="J205" s="129">
        <v>246.8</v>
      </c>
      <c r="K205" s="129">
        <v>47.9</v>
      </c>
      <c r="L205" s="129">
        <v>236</v>
      </c>
      <c r="M205" s="130">
        <v>-63</v>
      </c>
      <c r="N205" s="131">
        <v>205</v>
      </c>
      <c r="O205" s="143"/>
      <c r="W205" s="86">
        <f t="shared" si="6"/>
        <v>0</v>
      </c>
      <c r="X205" s="87">
        <f t="shared" si="7"/>
        <v>0</v>
      </c>
    </row>
    <row r="206" spans="1:24" x14ac:dyDescent="0.35">
      <c r="A206" s="125">
        <v>280</v>
      </c>
      <c r="B206" s="126">
        <v>12</v>
      </c>
      <c r="C206" s="133" t="s">
        <v>45</v>
      </c>
      <c r="D206" s="133" t="s">
        <v>785</v>
      </c>
      <c r="E206" s="133" t="s">
        <v>77</v>
      </c>
      <c r="F206" s="133" t="s">
        <v>620</v>
      </c>
      <c r="G206" s="126">
        <v>10</v>
      </c>
      <c r="H206" s="126">
        <v>156</v>
      </c>
      <c r="I206" s="126">
        <v>327</v>
      </c>
      <c r="J206" s="126">
        <v>266.8</v>
      </c>
      <c r="K206" s="126">
        <v>34</v>
      </c>
      <c r="L206" s="126">
        <v>248</v>
      </c>
      <c r="M206" s="127">
        <v>-32</v>
      </c>
      <c r="N206" s="132">
        <v>206</v>
      </c>
      <c r="O206" s="144"/>
      <c r="W206" s="86">
        <f t="shared" si="6"/>
        <v>0</v>
      </c>
      <c r="X206" s="87">
        <f t="shared" si="7"/>
        <v>0</v>
      </c>
    </row>
    <row r="207" spans="1:24" x14ac:dyDescent="0.35">
      <c r="A207" s="128">
        <v>281</v>
      </c>
      <c r="B207" s="129">
        <v>12</v>
      </c>
      <c r="C207" s="134" t="s">
        <v>45</v>
      </c>
      <c r="D207" s="134" t="s">
        <v>240</v>
      </c>
      <c r="E207" s="134" t="s">
        <v>105</v>
      </c>
      <c r="F207" s="134" t="s">
        <v>623</v>
      </c>
      <c r="G207" s="129">
        <v>13</v>
      </c>
      <c r="H207" s="129">
        <v>126</v>
      </c>
      <c r="I207" s="129">
        <v>329</v>
      </c>
      <c r="J207" s="129">
        <v>235</v>
      </c>
      <c r="K207" s="129">
        <v>56.9</v>
      </c>
      <c r="L207" s="129">
        <v>182</v>
      </c>
      <c r="M207" s="130">
        <v>-99</v>
      </c>
      <c r="N207" s="131">
        <v>207</v>
      </c>
      <c r="O207" s="143"/>
      <c r="W207" s="86">
        <f t="shared" si="6"/>
        <v>0</v>
      </c>
      <c r="X207" s="87">
        <f t="shared" si="7"/>
        <v>0</v>
      </c>
    </row>
    <row r="208" spans="1:24" x14ac:dyDescent="0.35">
      <c r="A208" s="128">
        <v>191</v>
      </c>
      <c r="B208" s="129">
        <v>10</v>
      </c>
      <c r="C208" s="134" t="s">
        <v>45</v>
      </c>
      <c r="D208" s="134" t="s">
        <v>429</v>
      </c>
      <c r="E208" s="134" t="s">
        <v>80</v>
      </c>
      <c r="F208" s="134" t="s">
        <v>416</v>
      </c>
      <c r="G208" s="129">
        <v>9</v>
      </c>
      <c r="H208" s="129">
        <v>129</v>
      </c>
      <c r="I208" s="129">
        <v>265</v>
      </c>
      <c r="J208" s="129">
        <v>192.4</v>
      </c>
      <c r="K208" s="129">
        <v>29</v>
      </c>
      <c r="L208" s="129">
        <v>239</v>
      </c>
      <c r="M208" s="130">
        <v>48</v>
      </c>
      <c r="N208" s="131">
        <v>208</v>
      </c>
      <c r="O208" s="143"/>
      <c r="W208" s="86">
        <f t="shared" si="6"/>
        <v>0</v>
      </c>
      <c r="X208" s="87">
        <f t="shared" si="7"/>
        <v>0</v>
      </c>
    </row>
    <row r="209" spans="1:24" x14ac:dyDescent="0.35">
      <c r="A209" s="128">
        <v>253</v>
      </c>
      <c r="B209" s="129">
        <v>11</v>
      </c>
      <c r="C209" s="134" t="s">
        <v>45</v>
      </c>
      <c r="D209" s="134" t="s">
        <v>423</v>
      </c>
      <c r="E209" s="134" t="s">
        <v>157</v>
      </c>
      <c r="F209" s="134" t="s">
        <v>542</v>
      </c>
      <c r="G209" s="129">
        <v>8</v>
      </c>
      <c r="H209" s="129">
        <v>139</v>
      </c>
      <c r="I209" s="129">
        <v>328</v>
      </c>
      <c r="J209" s="129">
        <v>232.2</v>
      </c>
      <c r="K209" s="129">
        <v>40.9</v>
      </c>
      <c r="L209" s="129">
        <v>262</v>
      </c>
      <c r="M209" s="130">
        <v>9</v>
      </c>
      <c r="N209" s="131">
        <v>209</v>
      </c>
      <c r="O209" s="143"/>
      <c r="W209" s="86">
        <f t="shared" si="6"/>
        <v>0</v>
      </c>
      <c r="X209" s="87">
        <f t="shared" si="7"/>
        <v>0</v>
      </c>
    </row>
    <row r="210" spans="1:24" x14ac:dyDescent="0.35">
      <c r="A210" s="125">
        <v>214</v>
      </c>
      <c r="B210" s="126">
        <v>10</v>
      </c>
      <c r="C210" s="133" t="s">
        <v>45</v>
      </c>
      <c r="D210" s="133" t="s">
        <v>1266</v>
      </c>
      <c r="E210" s="133" t="s">
        <v>74</v>
      </c>
      <c r="F210" s="133" t="s">
        <v>481</v>
      </c>
      <c r="G210" s="126">
        <v>8</v>
      </c>
      <c r="H210" s="126">
        <v>112</v>
      </c>
      <c r="I210" s="126">
        <v>349</v>
      </c>
      <c r="J210" s="126">
        <v>193.1</v>
      </c>
      <c r="K210" s="126">
        <v>39</v>
      </c>
      <c r="L210" s="126">
        <v>234</v>
      </c>
      <c r="M210" s="127">
        <v>20</v>
      </c>
      <c r="N210" s="132">
        <v>210</v>
      </c>
      <c r="O210" s="144"/>
      <c r="W210" s="86">
        <f t="shared" si="6"/>
        <v>0</v>
      </c>
      <c r="X210" s="87">
        <f t="shared" si="7"/>
        <v>0</v>
      </c>
    </row>
    <row r="211" spans="1:24" x14ac:dyDescent="0.35">
      <c r="A211" s="125">
        <v>254</v>
      </c>
      <c r="B211" s="126">
        <v>11</v>
      </c>
      <c r="C211" s="133" t="s">
        <v>45</v>
      </c>
      <c r="D211" s="133" t="s">
        <v>402</v>
      </c>
      <c r="E211" s="133" t="s">
        <v>119</v>
      </c>
      <c r="F211" s="133" t="s">
        <v>550</v>
      </c>
      <c r="G211" s="126">
        <v>6</v>
      </c>
      <c r="H211" s="126">
        <v>112</v>
      </c>
      <c r="I211" s="126">
        <v>307</v>
      </c>
      <c r="J211" s="126">
        <v>232.6</v>
      </c>
      <c r="K211" s="126">
        <v>34</v>
      </c>
      <c r="L211" s="126">
        <v>288</v>
      </c>
      <c r="M211" s="127">
        <v>34</v>
      </c>
      <c r="N211" s="132">
        <v>211</v>
      </c>
      <c r="O211" s="144"/>
      <c r="W211" s="86">
        <f t="shared" si="6"/>
        <v>0</v>
      </c>
      <c r="X211" s="87">
        <f t="shared" si="7"/>
        <v>0</v>
      </c>
    </row>
    <row r="212" spans="1:24" x14ac:dyDescent="0.35">
      <c r="A212" s="125">
        <v>126</v>
      </c>
      <c r="B212" s="126">
        <v>8</v>
      </c>
      <c r="C212" s="133" t="s">
        <v>45</v>
      </c>
      <c r="D212" s="133" t="s">
        <v>437</v>
      </c>
      <c r="E212" s="133" t="s">
        <v>134</v>
      </c>
      <c r="F212" s="133" t="s">
        <v>344</v>
      </c>
      <c r="G212" s="126">
        <v>9</v>
      </c>
      <c r="H212" s="126">
        <v>68</v>
      </c>
      <c r="I212" s="126">
        <v>223</v>
      </c>
      <c r="J212" s="126">
        <v>132.4</v>
      </c>
      <c r="K212" s="126">
        <v>26.9</v>
      </c>
      <c r="L212" s="126">
        <v>145</v>
      </c>
      <c r="M212" s="127">
        <v>19</v>
      </c>
      <c r="N212" s="132">
        <v>212</v>
      </c>
      <c r="O212" s="144"/>
      <c r="W212" s="86">
        <f t="shared" si="6"/>
        <v>0</v>
      </c>
      <c r="X212" s="87">
        <f t="shared" si="7"/>
        <v>0</v>
      </c>
    </row>
    <row r="213" spans="1:24" x14ac:dyDescent="0.35">
      <c r="A213" s="125">
        <v>134</v>
      </c>
      <c r="B213" s="126">
        <v>8</v>
      </c>
      <c r="C213" s="133" t="s">
        <v>45</v>
      </c>
      <c r="D213" s="133" t="s">
        <v>690</v>
      </c>
      <c r="E213" s="133" t="s">
        <v>50</v>
      </c>
      <c r="F213" s="133" t="s">
        <v>359</v>
      </c>
      <c r="G213" s="126">
        <v>10</v>
      </c>
      <c r="H213" s="126">
        <v>77</v>
      </c>
      <c r="I213" s="126">
        <v>279</v>
      </c>
      <c r="J213" s="126">
        <v>146.9</v>
      </c>
      <c r="K213" s="126">
        <v>35.1</v>
      </c>
      <c r="L213" s="126">
        <v>191</v>
      </c>
      <c r="M213" s="127">
        <v>57</v>
      </c>
      <c r="N213" s="132">
        <v>213</v>
      </c>
      <c r="O213" s="144"/>
      <c r="W213" s="86">
        <f t="shared" si="6"/>
        <v>0</v>
      </c>
      <c r="X213" s="87">
        <f t="shared" si="7"/>
        <v>0</v>
      </c>
    </row>
    <row r="214" spans="1:24" x14ac:dyDescent="0.35">
      <c r="A214" s="128">
        <v>141</v>
      </c>
      <c r="B214" s="129">
        <v>9</v>
      </c>
      <c r="C214" s="134" t="s">
        <v>45</v>
      </c>
      <c r="D214" s="134" t="s">
        <v>320</v>
      </c>
      <c r="E214" s="134" t="s">
        <v>102</v>
      </c>
      <c r="F214" s="134" t="s">
        <v>311</v>
      </c>
      <c r="G214" s="129">
        <v>7</v>
      </c>
      <c r="H214" s="129">
        <v>85</v>
      </c>
      <c r="I214" s="129">
        <v>250</v>
      </c>
      <c r="J214" s="129">
        <v>143.80000000000001</v>
      </c>
      <c r="K214" s="129">
        <v>23.2</v>
      </c>
      <c r="L214" s="129">
        <v>157</v>
      </c>
      <c r="M214" s="130">
        <v>16</v>
      </c>
      <c r="N214" s="131">
        <v>214</v>
      </c>
      <c r="O214" s="143"/>
      <c r="W214" s="86">
        <f t="shared" si="6"/>
        <v>0</v>
      </c>
      <c r="X214" s="87">
        <f t="shared" si="7"/>
        <v>0</v>
      </c>
    </row>
    <row r="215" spans="1:24" x14ac:dyDescent="0.35">
      <c r="A215" s="128">
        <v>307</v>
      </c>
      <c r="B215" s="129">
        <v>12</v>
      </c>
      <c r="C215" s="134" t="s">
        <v>45</v>
      </c>
      <c r="D215" s="134" t="s">
        <v>1267</v>
      </c>
      <c r="E215" s="134" t="s">
        <v>1222</v>
      </c>
      <c r="F215" s="134" t="s">
        <v>558</v>
      </c>
      <c r="G215" s="129">
        <v>6</v>
      </c>
      <c r="H215" s="129">
        <v>128</v>
      </c>
      <c r="I215" s="129">
        <v>390</v>
      </c>
      <c r="J215" s="129">
        <v>237.4</v>
      </c>
      <c r="K215" s="129">
        <v>51.9</v>
      </c>
      <c r="L215" s="129">
        <v>209</v>
      </c>
      <c r="M215" s="130">
        <v>-98</v>
      </c>
      <c r="N215" s="131">
        <v>215</v>
      </c>
      <c r="O215" s="143"/>
      <c r="W215" s="86">
        <f t="shared" si="6"/>
        <v>0</v>
      </c>
      <c r="X215" s="87">
        <f t="shared" si="7"/>
        <v>0</v>
      </c>
    </row>
    <row r="216" spans="1:24" x14ac:dyDescent="0.35">
      <c r="A216" s="125">
        <v>350</v>
      </c>
      <c r="B216" s="126">
        <v>13</v>
      </c>
      <c r="C216" s="133" t="s">
        <v>45</v>
      </c>
      <c r="D216" s="133" t="s">
        <v>99</v>
      </c>
      <c r="E216" s="133" t="s">
        <v>487</v>
      </c>
      <c r="F216" s="133" t="s">
        <v>616</v>
      </c>
      <c r="G216" s="126"/>
      <c r="H216" s="126">
        <v>63</v>
      </c>
      <c r="I216" s="126">
        <v>426</v>
      </c>
      <c r="J216" s="126">
        <v>276.2</v>
      </c>
      <c r="K216" s="126">
        <v>79.5</v>
      </c>
      <c r="L216" s="126">
        <v>200</v>
      </c>
      <c r="M216" s="127">
        <v>-150</v>
      </c>
      <c r="N216" s="132">
        <v>216</v>
      </c>
      <c r="O216" s="144"/>
      <c r="W216" s="86">
        <f t="shared" si="6"/>
        <v>0</v>
      </c>
      <c r="X216" s="87">
        <f t="shared" si="7"/>
        <v>0</v>
      </c>
    </row>
    <row r="217" spans="1:24" x14ac:dyDescent="0.35">
      <c r="A217" s="125">
        <v>272</v>
      </c>
      <c r="B217" s="126">
        <v>12</v>
      </c>
      <c r="C217" s="133" t="s">
        <v>45</v>
      </c>
      <c r="D217" s="133" t="s">
        <v>960</v>
      </c>
      <c r="E217" s="133" t="s">
        <v>77</v>
      </c>
      <c r="F217" s="133" t="s">
        <v>478</v>
      </c>
      <c r="G217" s="126">
        <v>10</v>
      </c>
      <c r="H217" s="126">
        <v>168</v>
      </c>
      <c r="I217" s="126">
        <v>346</v>
      </c>
      <c r="J217" s="126">
        <v>244.3</v>
      </c>
      <c r="K217" s="126">
        <v>40.9</v>
      </c>
      <c r="L217" s="126">
        <v>315</v>
      </c>
      <c r="M217" s="127">
        <v>43</v>
      </c>
      <c r="N217" s="132">
        <v>217</v>
      </c>
      <c r="O217" s="144"/>
      <c r="W217" s="86">
        <f t="shared" si="6"/>
        <v>0</v>
      </c>
      <c r="X217" s="87">
        <f t="shared" si="7"/>
        <v>0</v>
      </c>
    </row>
    <row r="218" spans="1:24" x14ac:dyDescent="0.35">
      <c r="A218" s="128">
        <v>215</v>
      </c>
      <c r="B218" s="129">
        <v>10</v>
      </c>
      <c r="C218" s="134" t="s">
        <v>45</v>
      </c>
      <c r="D218" s="134" t="s">
        <v>568</v>
      </c>
      <c r="E218" s="134" t="s">
        <v>241</v>
      </c>
      <c r="F218" s="134" t="s">
        <v>418</v>
      </c>
      <c r="G218" s="129">
        <v>11</v>
      </c>
      <c r="H218" s="129">
        <v>134</v>
      </c>
      <c r="I218" s="129">
        <v>292</v>
      </c>
      <c r="J218" s="129">
        <v>208.3</v>
      </c>
      <c r="K218" s="129">
        <v>28</v>
      </c>
      <c r="L218" s="129">
        <v>231</v>
      </c>
      <c r="M218" s="130">
        <v>16</v>
      </c>
      <c r="N218" s="131">
        <v>218</v>
      </c>
      <c r="O218" s="143"/>
      <c r="W218" s="86">
        <f t="shared" si="6"/>
        <v>0</v>
      </c>
      <c r="X218" s="87">
        <f t="shared" si="7"/>
        <v>0</v>
      </c>
    </row>
    <row r="219" spans="1:24" x14ac:dyDescent="0.35">
      <c r="A219" s="125">
        <v>190</v>
      </c>
      <c r="B219" s="126">
        <v>10</v>
      </c>
      <c r="C219" s="133" t="s">
        <v>45</v>
      </c>
      <c r="D219" s="133" t="s">
        <v>736</v>
      </c>
      <c r="E219" s="133" t="s">
        <v>1222</v>
      </c>
      <c r="F219" s="133" t="s">
        <v>394</v>
      </c>
      <c r="G219" s="126">
        <v>6</v>
      </c>
      <c r="H219" s="126">
        <v>87</v>
      </c>
      <c r="I219" s="126">
        <v>281</v>
      </c>
      <c r="J219" s="126">
        <v>194.3</v>
      </c>
      <c r="K219" s="126">
        <v>34.4</v>
      </c>
      <c r="L219" s="126">
        <v>175</v>
      </c>
      <c r="M219" s="127">
        <v>-15</v>
      </c>
      <c r="N219" s="132">
        <v>219</v>
      </c>
      <c r="O219" s="144"/>
      <c r="W219" s="86">
        <f t="shared" si="6"/>
        <v>0</v>
      </c>
      <c r="X219" s="87">
        <f t="shared" si="7"/>
        <v>0</v>
      </c>
    </row>
    <row r="220" spans="1:24" x14ac:dyDescent="0.35">
      <c r="A220" s="125">
        <v>198</v>
      </c>
      <c r="B220" s="126">
        <v>10</v>
      </c>
      <c r="C220" s="133" t="s">
        <v>45</v>
      </c>
      <c r="D220" s="133" t="s">
        <v>198</v>
      </c>
      <c r="E220" s="133" t="s">
        <v>122</v>
      </c>
      <c r="F220" s="133" t="s">
        <v>401</v>
      </c>
      <c r="G220" s="126">
        <v>7</v>
      </c>
      <c r="H220" s="126">
        <v>102</v>
      </c>
      <c r="I220" s="126">
        <v>280</v>
      </c>
      <c r="J220" s="126">
        <v>193.6</v>
      </c>
      <c r="K220" s="126">
        <v>26.9</v>
      </c>
      <c r="L220" s="126">
        <v>206</v>
      </c>
      <c r="M220" s="127">
        <v>8</v>
      </c>
      <c r="N220" s="132">
        <v>220</v>
      </c>
      <c r="O220" s="144"/>
      <c r="W220" s="86">
        <f t="shared" si="6"/>
        <v>0</v>
      </c>
      <c r="X220" s="87">
        <f t="shared" si="7"/>
        <v>0</v>
      </c>
    </row>
    <row r="221" spans="1:24" x14ac:dyDescent="0.35">
      <c r="A221" s="125">
        <v>150</v>
      </c>
      <c r="B221" s="126">
        <v>9</v>
      </c>
      <c r="C221" s="133" t="s">
        <v>45</v>
      </c>
      <c r="D221" s="133" t="s">
        <v>1225</v>
      </c>
      <c r="E221" s="133" t="s">
        <v>125</v>
      </c>
      <c r="F221" s="133" t="s">
        <v>373</v>
      </c>
      <c r="G221" s="126">
        <v>7</v>
      </c>
      <c r="H221" s="126">
        <v>98</v>
      </c>
      <c r="I221" s="126">
        <v>324</v>
      </c>
      <c r="J221" s="126">
        <v>157.1</v>
      </c>
      <c r="K221" s="126">
        <v>36.6</v>
      </c>
      <c r="L221" s="126">
        <v>172</v>
      </c>
      <c r="M221" s="127">
        <v>22</v>
      </c>
      <c r="N221" s="132">
        <v>221</v>
      </c>
      <c r="O221" s="144"/>
      <c r="W221" s="86">
        <f t="shared" si="6"/>
        <v>0</v>
      </c>
      <c r="X221" s="87">
        <f t="shared" si="7"/>
        <v>0</v>
      </c>
    </row>
    <row r="222" spans="1:24" x14ac:dyDescent="0.35">
      <c r="A222" s="128">
        <v>137</v>
      </c>
      <c r="B222" s="129">
        <v>8</v>
      </c>
      <c r="C222" s="134" t="s">
        <v>45</v>
      </c>
      <c r="D222" s="134" t="s">
        <v>1239</v>
      </c>
      <c r="E222" s="134" t="s">
        <v>80</v>
      </c>
      <c r="F222" s="134" t="s">
        <v>309</v>
      </c>
      <c r="G222" s="129">
        <v>9</v>
      </c>
      <c r="H222" s="129">
        <v>90</v>
      </c>
      <c r="I222" s="129">
        <v>197</v>
      </c>
      <c r="J222" s="129">
        <v>134.69999999999999</v>
      </c>
      <c r="K222" s="129">
        <v>21.1</v>
      </c>
      <c r="L222" s="129">
        <v>126</v>
      </c>
      <c r="M222" s="130">
        <v>-11</v>
      </c>
      <c r="N222" s="131">
        <v>222</v>
      </c>
      <c r="O222" s="143"/>
      <c r="W222" s="86">
        <f t="shared" si="6"/>
        <v>0</v>
      </c>
      <c r="X222" s="87">
        <f t="shared" si="7"/>
        <v>0</v>
      </c>
    </row>
    <row r="223" spans="1:24" x14ac:dyDescent="0.35">
      <c r="A223" s="128">
        <v>251</v>
      </c>
      <c r="B223" s="129">
        <v>11</v>
      </c>
      <c r="C223" s="134" t="s">
        <v>45</v>
      </c>
      <c r="D223" s="134" t="s">
        <v>1186</v>
      </c>
      <c r="E223" s="134" t="s">
        <v>45</v>
      </c>
      <c r="F223" s="134" t="s">
        <v>534</v>
      </c>
      <c r="G223" s="129">
        <v>10</v>
      </c>
      <c r="H223" s="129">
        <v>119</v>
      </c>
      <c r="I223" s="129">
        <v>283</v>
      </c>
      <c r="J223" s="129">
        <v>235</v>
      </c>
      <c r="K223" s="129">
        <v>32.5</v>
      </c>
      <c r="L223" s="129">
        <v>268</v>
      </c>
      <c r="M223" s="130">
        <v>17</v>
      </c>
      <c r="N223" s="131">
        <v>223</v>
      </c>
      <c r="O223" s="143"/>
      <c r="W223" s="86">
        <f t="shared" si="6"/>
        <v>0</v>
      </c>
      <c r="X223" s="87">
        <f t="shared" si="7"/>
        <v>0</v>
      </c>
    </row>
    <row r="224" spans="1:24" x14ac:dyDescent="0.35">
      <c r="A224" s="128">
        <v>231</v>
      </c>
      <c r="B224" s="129">
        <v>11</v>
      </c>
      <c r="C224" s="134" t="s">
        <v>45</v>
      </c>
      <c r="D224" s="134" t="s">
        <v>1188</v>
      </c>
      <c r="E224" s="134" t="s">
        <v>45</v>
      </c>
      <c r="F224" s="134" t="s">
        <v>493</v>
      </c>
      <c r="G224" s="129">
        <v>6</v>
      </c>
      <c r="H224" s="129">
        <v>95</v>
      </c>
      <c r="I224" s="129">
        <v>282</v>
      </c>
      <c r="J224" s="129">
        <v>214.3</v>
      </c>
      <c r="K224" s="129">
        <v>31.7</v>
      </c>
      <c r="L224" s="129">
        <v>251</v>
      </c>
      <c r="M224" s="130">
        <v>20</v>
      </c>
      <c r="N224" s="131">
        <v>224</v>
      </c>
      <c r="O224" s="143"/>
      <c r="W224" s="86">
        <f t="shared" si="6"/>
        <v>0</v>
      </c>
      <c r="X224" s="87">
        <f t="shared" si="7"/>
        <v>0</v>
      </c>
    </row>
    <row r="225" spans="1:24" x14ac:dyDescent="0.35">
      <c r="A225" s="125">
        <v>250</v>
      </c>
      <c r="B225" s="126">
        <v>11</v>
      </c>
      <c r="C225" s="133" t="s">
        <v>45</v>
      </c>
      <c r="D225" s="133" t="s">
        <v>596</v>
      </c>
      <c r="E225" s="133" t="s">
        <v>161</v>
      </c>
      <c r="F225" s="133" t="s">
        <v>563</v>
      </c>
      <c r="G225" s="126">
        <v>8</v>
      </c>
      <c r="H225" s="126">
        <v>120</v>
      </c>
      <c r="I225" s="126">
        <v>278</v>
      </c>
      <c r="J225" s="126">
        <v>235.9</v>
      </c>
      <c r="K225" s="126">
        <v>26.9</v>
      </c>
      <c r="L225" s="126">
        <v>267</v>
      </c>
      <c r="M225" s="127">
        <v>17</v>
      </c>
      <c r="N225" s="132">
        <v>225</v>
      </c>
      <c r="O225" s="144"/>
      <c r="W225" s="86">
        <f t="shared" si="6"/>
        <v>235.9</v>
      </c>
      <c r="X225" s="87">
        <f t="shared" si="7"/>
        <v>26.9</v>
      </c>
    </row>
    <row r="226" spans="1:24" x14ac:dyDescent="0.35">
      <c r="A226" s="125">
        <v>314</v>
      </c>
      <c r="B226" s="126">
        <v>12</v>
      </c>
      <c r="C226" s="133" t="s">
        <v>45</v>
      </c>
      <c r="D226" s="133" t="s">
        <v>1251</v>
      </c>
      <c r="E226" s="133" t="s">
        <v>108</v>
      </c>
      <c r="F226" s="133" t="s">
        <v>633</v>
      </c>
      <c r="G226" s="126">
        <v>7</v>
      </c>
      <c r="H226" s="126">
        <v>205</v>
      </c>
      <c r="I226" s="126">
        <v>337</v>
      </c>
      <c r="J226" s="126">
        <v>283.89999999999998</v>
      </c>
      <c r="K226" s="126">
        <v>30.5</v>
      </c>
      <c r="L226" s="126">
        <v>290</v>
      </c>
      <c r="M226" s="127">
        <v>-24</v>
      </c>
      <c r="N226" s="132">
        <v>226</v>
      </c>
      <c r="O226" s="144"/>
      <c r="W226" s="86">
        <f t="shared" si="6"/>
        <v>283.89999999999998</v>
      </c>
      <c r="X226" s="87">
        <f t="shared" si="7"/>
        <v>30.5</v>
      </c>
    </row>
    <row r="227" spans="1:24" x14ac:dyDescent="0.35">
      <c r="A227" s="128">
        <v>239</v>
      </c>
      <c r="B227" s="129">
        <v>11</v>
      </c>
      <c r="C227" s="134" t="s">
        <v>45</v>
      </c>
      <c r="D227" s="134" t="s">
        <v>1230</v>
      </c>
      <c r="E227" s="134" t="s">
        <v>77</v>
      </c>
      <c r="F227" s="134" t="s">
        <v>533</v>
      </c>
      <c r="G227" s="129">
        <v>10</v>
      </c>
      <c r="H227" s="129">
        <v>149</v>
      </c>
      <c r="I227" s="129">
        <v>306</v>
      </c>
      <c r="J227" s="129">
        <v>232.1</v>
      </c>
      <c r="K227" s="129">
        <v>33.5</v>
      </c>
      <c r="L227" s="129">
        <v>281</v>
      </c>
      <c r="M227" s="130">
        <v>42</v>
      </c>
      <c r="N227" s="131">
        <v>227</v>
      </c>
      <c r="O227" s="143"/>
      <c r="W227" s="86">
        <f t="shared" si="6"/>
        <v>232.1</v>
      </c>
      <c r="X227" s="87">
        <f t="shared" si="7"/>
        <v>33.5</v>
      </c>
    </row>
    <row r="228" spans="1:24" x14ac:dyDescent="0.35">
      <c r="A228" s="125">
        <v>258</v>
      </c>
      <c r="B228" s="126">
        <v>11</v>
      </c>
      <c r="C228" s="133" t="s">
        <v>45</v>
      </c>
      <c r="D228" s="133" t="s">
        <v>555</v>
      </c>
      <c r="E228" s="133" t="s">
        <v>144</v>
      </c>
      <c r="F228" s="133" t="s">
        <v>464</v>
      </c>
      <c r="G228" s="126">
        <v>5</v>
      </c>
      <c r="H228" s="126">
        <v>157</v>
      </c>
      <c r="I228" s="126">
        <v>318</v>
      </c>
      <c r="J228" s="126">
        <v>231.2</v>
      </c>
      <c r="K228" s="126">
        <v>32.6</v>
      </c>
      <c r="L228" s="126">
        <v>271</v>
      </c>
      <c r="M228" s="127">
        <v>13</v>
      </c>
      <c r="N228" s="132">
        <v>228</v>
      </c>
      <c r="O228" s="144"/>
      <c r="W228" s="86">
        <f t="shared" si="6"/>
        <v>0</v>
      </c>
      <c r="X228" s="87">
        <f t="shared" si="7"/>
        <v>0</v>
      </c>
    </row>
    <row r="229" spans="1:24" x14ac:dyDescent="0.35">
      <c r="A229" s="128">
        <v>193</v>
      </c>
      <c r="B229" s="129">
        <v>10</v>
      </c>
      <c r="C229" s="134" t="s">
        <v>45</v>
      </c>
      <c r="D229" s="134" t="s">
        <v>261</v>
      </c>
      <c r="E229" s="134" t="s">
        <v>125</v>
      </c>
      <c r="F229" s="134" t="s">
        <v>400</v>
      </c>
      <c r="G229" s="129">
        <v>7</v>
      </c>
      <c r="H229" s="129">
        <v>87</v>
      </c>
      <c r="I229" s="129">
        <v>277</v>
      </c>
      <c r="J229" s="129">
        <v>197.3</v>
      </c>
      <c r="K229" s="129">
        <v>32.5</v>
      </c>
      <c r="L229" s="129">
        <v>196</v>
      </c>
      <c r="M229" s="130">
        <v>3</v>
      </c>
      <c r="N229" s="131">
        <v>230</v>
      </c>
      <c r="O229" s="143"/>
      <c r="W229" s="86">
        <f t="shared" si="6"/>
        <v>0</v>
      </c>
      <c r="X229" s="87">
        <f t="shared" si="7"/>
        <v>0</v>
      </c>
    </row>
    <row r="230" spans="1:24" x14ac:dyDescent="0.35">
      <c r="A230" s="125">
        <v>416</v>
      </c>
      <c r="B230" s="126">
        <v>14</v>
      </c>
      <c r="C230" s="133" t="s">
        <v>45</v>
      </c>
      <c r="D230" s="133" t="s">
        <v>658</v>
      </c>
      <c r="E230" s="133" t="s">
        <v>97</v>
      </c>
      <c r="F230" s="133" t="s">
        <v>705</v>
      </c>
      <c r="G230" s="126">
        <v>11</v>
      </c>
      <c r="H230" s="126">
        <v>241</v>
      </c>
      <c r="I230" s="126">
        <v>436</v>
      </c>
      <c r="J230" s="126">
        <v>358</v>
      </c>
      <c r="K230" s="126">
        <v>62.7</v>
      </c>
      <c r="L230" s="126"/>
      <c r="M230" s="127"/>
      <c r="N230" s="132">
        <v>231</v>
      </c>
      <c r="O230" s="144"/>
      <c r="W230" s="86">
        <f t="shared" si="6"/>
        <v>0</v>
      </c>
      <c r="X230" s="87">
        <f t="shared" si="7"/>
        <v>0</v>
      </c>
    </row>
    <row r="231" spans="1:24" x14ac:dyDescent="0.35">
      <c r="A231" s="128">
        <v>329</v>
      </c>
      <c r="B231" s="129">
        <v>13</v>
      </c>
      <c r="C231" s="134" t="s">
        <v>45</v>
      </c>
      <c r="D231" s="134" t="s">
        <v>1324</v>
      </c>
      <c r="E231" s="134" t="s">
        <v>157</v>
      </c>
      <c r="F231" s="134" t="s">
        <v>603</v>
      </c>
      <c r="G231" s="129">
        <v>8</v>
      </c>
      <c r="H231" s="129">
        <v>116</v>
      </c>
      <c r="I231" s="129">
        <v>496</v>
      </c>
      <c r="J231" s="129">
        <v>277.3</v>
      </c>
      <c r="K231" s="129">
        <v>62.9</v>
      </c>
      <c r="L231" s="129">
        <v>228</v>
      </c>
      <c r="M231" s="130">
        <v>-101</v>
      </c>
      <c r="N231" s="131">
        <v>232</v>
      </c>
      <c r="O231" s="143"/>
      <c r="W231" s="86">
        <f t="shared" si="6"/>
        <v>0</v>
      </c>
      <c r="X231" s="87">
        <f t="shared" si="7"/>
        <v>0</v>
      </c>
    </row>
    <row r="232" spans="1:24" x14ac:dyDescent="0.35">
      <c r="A232" s="125">
        <v>400</v>
      </c>
      <c r="B232" s="126">
        <v>14</v>
      </c>
      <c r="C232" s="133" t="s">
        <v>45</v>
      </c>
      <c r="D232" s="133" t="s">
        <v>800</v>
      </c>
      <c r="E232" s="133" t="s">
        <v>179</v>
      </c>
      <c r="F232" s="133" t="s">
        <v>686</v>
      </c>
      <c r="G232" s="126">
        <v>11</v>
      </c>
      <c r="H232" s="126">
        <v>237</v>
      </c>
      <c r="I232" s="126">
        <v>370</v>
      </c>
      <c r="J232" s="126">
        <v>313.5</v>
      </c>
      <c r="K232" s="126">
        <v>26.2</v>
      </c>
      <c r="L232" s="126"/>
      <c r="M232" s="127"/>
      <c r="N232" s="132">
        <v>233</v>
      </c>
      <c r="O232" s="144"/>
      <c r="W232" s="86">
        <f t="shared" si="6"/>
        <v>0</v>
      </c>
      <c r="X232" s="87">
        <f t="shared" si="7"/>
        <v>0</v>
      </c>
    </row>
    <row r="233" spans="1:24" x14ac:dyDescent="0.35">
      <c r="A233" s="128">
        <v>289</v>
      </c>
      <c r="B233" s="129">
        <v>12</v>
      </c>
      <c r="C233" s="134" t="s">
        <v>45</v>
      </c>
      <c r="D233" s="134" t="s">
        <v>345</v>
      </c>
      <c r="E233" s="134" t="s">
        <v>65</v>
      </c>
      <c r="F233" s="134" t="s">
        <v>507</v>
      </c>
      <c r="G233" s="129">
        <v>5</v>
      </c>
      <c r="H233" s="129">
        <v>129</v>
      </c>
      <c r="I233" s="129">
        <v>372</v>
      </c>
      <c r="J233" s="129">
        <v>257</v>
      </c>
      <c r="K233" s="129">
        <v>33.200000000000003</v>
      </c>
      <c r="L233" s="129">
        <v>314</v>
      </c>
      <c r="M233" s="130">
        <v>25</v>
      </c>
      <c r="N233" s="131">
        <v>234</v>
      </c>
      <c r="O233" s="143"/>
      <c r="W233" s="86">
        <f t="shared" si="6"/>
        <v>0</v>
      </c>
      <c r="X233" s="87">
        <f t="shared" si="7"/>
        <v>0</v>
      </c>
    </row>
    <row r="234" spans="1:24" x14ac:dyDescent="0.35">
      <c r="A234" s="128">
        <v>477</v>
      </c>
      <c r="B234" s="129">
        <v>15</v>
      </c>
      <c r="C234" s="134" t="s">
        <v>45</v>
      </c>
      <c r="D234" s="134" t="s">
        <v>1379</v>
      </c>
      <c r="E234" s="134" t="s">
        <v>119</v>
      </c>
      <c r="F234" s="134" t="s">
        <v>787</v>
      </c>
      <c r="G234" s="129">
        <v>6</v>
      </c>
      <c r="H234" s="129">
        <v>336</v>
      </c>
      <c r="I234" s="129">
        <v>471</v>
      </c>
      <c r="J234" s="129">
        <v>403.5</v>
      </c>
      <c r="K234" s="129">
        <v>67.5</v>
      </c>
      <c r="L234" s="129"/>
      <c r="M234" s="130"/>
      <c r="N234" s="153">
        <v>235</v>
      </c>
      <c r="W234" s="86">
        <f t="shared" si="6"/>
        <v>0</v>
      </c>
      <c r="X234" s="87">
        <f t="shared" si="7"/>
        <v>0</v>
      </c>
    </row>
    <row r="235" spans="1:24" x14ac:dyDescent="0.35">
      <c r="A235" s="128">
        <v>309</v>
      </c>
      <c r="B235" s="129">
        <v>12</v>
      </c>
      <c r="C235" s="134" t="s">
        <v>45</v>
      </c>
      <c r="D235" s="134" t="s">
        <v>1272</v>
      </c>
      <c r="E235" s="134" t="s">
        <v>184</v>
      </c>
      <c r="F235" s="134" t="s">
        <v>559</v>
      </c>
      <c r="G235" s="129">
        <v>8</v>
      </c>
      <c r="H235" s="129">
        <v>137</v>
      </c>
      <c r="I235" s="129">
        <v>384</v>
      </c>
      <c r="J235" s="129">
        <v>263.60000000000002</v>
      </c>
      <c r="K235" s="129">
        <v>40.700000000000003</v>
      </c>
      <c r="L235" s="129">
        <v>345</v>
      </c>
      <c r="M235" s="130">
        <v>36</v>
      </c>
      <c r="N235" s="131">
        <v>236</v>
      </c>
      <c r="O235" s="143"/>
      <c r="W235" s="86">
        <f t="shared" si="6"/>
        <v>0</v>
      </c>
      <c r="X235" s="87">
        <f t="shared" si="7"/>
        <v>0</v>
      </c>
    </row>
    <row r="236" spans="1:24" x14ac:dyDescent="0.35">
      <c r="A236" s="128">
        <v>263</v>
      </c>
      <c r="B236" s="129">
        <v>11</v>
      </c>
      <c r="C236" s="134" t="s">
        <v>45</v>
      </c>
      <c r="D236" s="134" t="s">
        <v>494</v>
      </c>
      <c r="E236" s="134" t="s">
        <v>82</v>
      </c>
      <c r="F236" s="134" t="s">
        <v>475</v>
      </c>
      <c r="G236" s="129">
        <v>9</v>
      </c>
      <c r="H236" s="129">
        <v>174</v>
      </c>
      <c r="I236" s="129">
        <v>328</v>
      </c>
      <c r="J236" s="129">
        <v>239.9</v>
      </c>
      <c r="K236" s="129">
        <v>36.9</v>
      </c>
      <c r="L236" s="129">
        <v>260</v>
      </c>
      <c r="M236" s="130">
        <v>-3</v>
      </c>
      <c r="N236" s="131">
        <v>237</v>
      </c>
      <c r="O236" s="143"/>
      <c r="W236" s="86">
        <f t="shared" si="6"/>
        <v>0</v>
      </c>
      <c r="X236" s="87">
        <f t="shared" si="7"/>
        <v>0</v>
      </c>
    </row>
    <row r="237" spans="1:24" x14ac:dyDescent="0.35">
      <c r="A237" s="125">
        <v>132</v>
      </c>
      <c r="B237" s="126">
        <v>8</v>
      </c>
      <c r="C237" s="133" t="s">
        <v>45</v>
      </c>
      <c r="D237" s="133" t="s">
        <v>1256</v>
      </c>
      <c r="E237" s="133" t="s">
        <v>105</v>
      </c>
      <c r="F237" s="133" t="s">
        <v>342</v>
      </c>
      <c r="G237" s="126">
        <v>13</v>
      </c>
      <c r="H237" s="126">
        <v>60</v>
      </c>
      <c r="I237" s="126">
        <v>315</v>
      </c>
      <c r="J237" s="126">
        <v>122.9</v>
      </c>
      <c r="K237" s="126">
        <v>41</v>
      </c>
      <c r="L237" s="126">
        <v>102</v>
      </c>
      <c r="M237" s="127">
        <v>-30</v>
      </c>
      <c r="N237" s="132">
        <v>238</v>
      </c>
      <c r="O237" s="144"/>
      <c r="W237" s="86">
        <f t="shared" si="6"/>
        <v>0</v>
      </c>
      <c r="X237" s="87">
        <f t="shared" si="7"/>
        <v>0</v>
      </c>
    </row>
    <row r="238" spans="1:24" x14ac:dyDescent="0.35">
      <c r="A238" s="125">
        <v>306</v>
      </c>
      <c r="B238" s="126">
        <v>12</v>
      </c>
      <c r="C238" s="133" t="s">
        <v>45</v>
      </c>
      <c r="D238" s="133" t="s">
        <v>1401</v>
      </c>
      <c r="E238" s="133" t="s">
        <v>71</v>
      </c>
      <c r="F238" s="133" t="s">
        <v>647</v>
      </c>
      <c r="G238" s="126">
        <v>11</v>
      </c>
      <c r="H238" s="126">
        <v>158</v>
      </c>
      <c r="I238" s="126">
        <v>352</v>
      </c>
      <c r="J238" s="126">
        <v>276.2</v>
      </c>
      <c r="K238" s="126">
        <v>38.799999999999997</v>
      </c>
      <c r="L238" s="126">
        <v>300</v>
      </c>
      <c r="M238" s="127">
        <v>-6</v>
      </c>
      <c r="N238" s="132">
        <v>239</v>
      </c>
      <c r="O238" s="144"/>
      <c r="W238" s="86">
        <f t="shared" si="6"/>
        <v>0</v>
      </c>
      <c r="X238" s="87">
        <f t="shared" si="7"/>
        <v>0</v>
      </c>
    </row>
    <row r="239" spans="1:24" x14ac:dyDescent="0.35">
      <c r="A239" s="128">
        <v>467</v>
      </c>
      <c r="B239" s="129">
        <v>15</v>
      </c>
      <c r="C239" s="134" t="s">
        <v>45</v>
      </c>
      <c r="D239" s="134" t="s">
        <v>1377</v>
      </c>
      <c r="E239" s="134" t="s">
        <v>125</v>
      </c>
      <c r="F239" s="134" t="s">
        <v>970</v>
      </c>
      <c r="G239" s="129">
        <v>7</v>
      </c>
      <c r="H239" s="129">
        <v>325</v>
      </c>
      <c r="I239" s="129">
        <v>436</v>
      </c>
      <c r="J239" s="129">
        <v>394.5</v>
      </c>
      <c r="K239" s="129">
        <v>42.2</v>
      </c>
      <c r="L239" s="129"/>
      <c r="M239" s="130"/>
      <c r="N239" s="131">
        <v>240</v>
      </c>
      <c r="O239" s="143"/>
      <c r="W239" s="86">
        <f t="shared" si="6"/>
        <v>0</v>
      </c>
      <c r="X239" s="87">
        <f t="shared" si="7"/>
        <v>0</v>
      </c>
    </row>
    <row r="240" spans="1:24" x14ac:dyDescent="0.35">
      <c r="A240" s="128">
        <v>237</v>
      </c>
      <c r="B240" s="129">
        <v>11</v>
      </c>
      <c r="C240" s="134" t="s">
        <v>45</v>
      </c>
      <c r="D240" s="134" t="s">
        <v>461</v>
      </c>
      <c r="E240" s="134" t="s">
        <v>1222</v>
      </c>
      <c r="F240" s="134" t="s">
        <v>501</v>
      </c>
      <c r="G240" s="129">
        <v>6</v>
      </c>
      <c r="H240" s="129">
        <v>135</v>
      </c>
      <c r="I240" s="129">
        <v>311</v>
      </c>
      <c r="J240" s="129">
        <v>223.6</v>
      </c>
      <c r="K240" s="129">
        <v>35.299999999999997</v>
      </c>
      <c r="L240" s="129">
        <v>258</v>
      </c>
      <c r="M240" s="130">
        <v>21</v>
      </c>
      <c r="N240" s="131">
        <v>241</v>
      </c>
      <c r="O240" s="143"/>
      <c r="W240" s="86">
        <f t="shared" si="6"/>
        <v>0</v>
      </c>
      <c r="X240" s="87">
        <f t="shared" si="7"/>
        <v>0</v>
      </c>
    </row>
    <row r="241" spans="1:24" x14ac:dyDescent="0.35">
      <c r="A241" s="128">
        <v>235</v>
      </c>
      <c r="B241" s="129">
        <v>11</v>
      </c>
      <c r="C241" s="134" t="s">
        <v>45</v>
      </c>
      <c r="D241" s="134" t="s">
        <v>288</v>
      </c>
      <c r="E241" s="134" t="s">
        <v>77</v>
      </c>
      <c r="F241" s="134" t="s">
        <v>492</v>
      </c>
      <c r="G241" s="129">
        <v>10</v>
      </c>
      <c r="H241" s="129">
        <v>134</v>
      </c>
      <c r="I241" s="129">
        <v>295</v>
      </c>
      <c r="J241" s="129">
        <v>225.6</v>
      </c>
      <c r="K241" s="129">
        <v>32.6</v>
      </c>
      <c r="L241" s="129">
        <v>276</v>
      </c>
      <c r="M241" s="130">
        <v>41</v>
      </c>
      <c r="N241" s="131">
        <v>242</v>
      </c>
      <c r="O241" s="143"/>
      <c r="W241" s="86">
        <f t="shared" si="6"/>
        <v>0</v>
      </c>
      <c r="X241" s="87">
        <f t="shared" si="7"/>
        <v>0</v>
      </c>
    </row>
    <row r="242" spans="1:24" x14ac:dyDescent="0.35">
      <c r="A242" s="125">
        <v>284</v>
      </c>
      <c r="B242" s="126">
        <v>12</v>
      </c>
      <c r="C242" s="133" t="s">
        <v>45</v>
      </c>
      <c r="D242" s="133" t="s">
        <v>447</v>
      </c>
      <c r="E242" s="133" t="s">
        <v>71</v>
      </c>
      <c r="F242" s="133" t="s">
        <v>629</v>
      </c>
      <c r="G242" s="126">
        <v>11</v>
      </c>
      <c r="H242" s="126">
        <v>160</v>
      </c>
      <c r="I242" s="126">
        <v>356</v>
      </c>
      <c r="J242" s="126">
        <v>268.10000000000002</v>
      </c>
      <c r="K242" s="126">
        <v>46.3</v>
      </c>
      <c r="L242" s="126">
        <v>292</v>
      </c>
      <c r="M242" s="127">
        <v>8</v>
      </c>
      <c r="N242" s="132">
        <v>243</v>
      </c>
      <c r="O242" s="144"/>
      <c r="W242" s="86">
        <f t="shared" si="6"/>
        <v>0</v>
      </c>
      <c r="X242" s="87">
        <f t="shared" si="7"/>
        <v>0</v>
      </c>
    </row>
    <row r="243" spans="1:24" x14ac:dyDescent="0.35">
      <c r="A243" s="128">
        <v>355</v>
      </c>
      <c r="B243" s="129">
        <v>13</v>
      </c>
      <c r="C243" s="134" t="s">
        <v>45</v>
      </c>
      <c r="D243" s="134" t="s">
        <v>370</v>
      </c>
      <c r="E243" s="134" t="s">
        <v>53</v>
      </c>
      <c r="F243" s="134" t="s">
        <v>717</v>
      </c>
      <c r="G243" s="129">
        <v>13</v>
      </c>
      <c r="H243" s="129">
        <v>181</v>
      </c>
      <c r="I243" s="129">
        <v>420</v>
      </c>
      <c r="J243" s="129">
        <v>311.89999999999998</v>
      </c>
      <c r="K243" s="129">
        <v>52</v>
      </c>
      <c r="L243" s="129"/>
      <c r="M243" s="130"/>
      <c r="N243" s="131">
        <v>244</v>
      </c>
      <c r="O243" s="143"/>
      <c r="W243" s="86">
        <f t="shared" si="6"/>
        <v>0</v>
      </c>
      <c r="X243" s="87">
        <f t="shared" si="7"/>
        <v>0</v>
      </c>
    </row>
    <row r="244" spans="1:24" x14ac:dyDescent="0.35">
      <c r="A244" s="128">
        <v>217</v>
      </c>
      <c r="B244" s="129">
        <v>10</v>
      </c>
      <c r="C244" s="134" t="s">
        <v>45</v>
      </c>
      <c r="D244" s="134" t="s">
        <v>232</v>
      </c>
      <c r="E244" s="134" t="s">
        <v>149</v>
      </c>
      <c r="F244" s="134" t="s">
        <v>488</v>
      </c>
      <c r="G244" s="129">
        <v>6</v>
      </c>
      <c r="H244" s="129">
        <v>105</v>
      </c>
      <c r="I244" s="129">
        <v>314</v>
      </c>
      <c r="J244" s="129">
        <v>206.4</v>
      </c>
      <c r="K244" s="129">
        <v>40.200000000000003</v>
      </c>
      <c r="L244" s="129">
        <v>201</v>
      </c>
      <c r="M244" s="130">
        <v>-16</v>
      </c>
      <c r="N244" s="131">
        <v>245</v>
      </c>
      <c r="O244" s="143"/>
      <c r="W244" s="86">
        <f t="shared" si="6"/>
        <v>0</v>
      </c>
      <c r="X244" s="87">
        <f t="shared" si="7"/>
        <v>0</v>
      </c>
    </row>
    <row r="245" spans="1:24" x14ac:dyDescent="0.35">
      <c r="A245" s="128">
        <v>149</v>
      </c>
      <c r="B245" s="129">
        <v>9</v>
      </c>
      <c r="C245" s="134" t="s">
        <v>45</v>
      </c>
      <c r="D245" s="134" t="s">
        <v>738</v>
      </c>
      <c r="E245" s="134" t="s">
        <v>161</v>
      </c>
      <c r="F245" s="134" t="s">
        <v>363</v>
      </c>
      <c r="G245" s="129">
        <v>8</v>
      </c>
      <c r="H245" s="129">
        <v>70</v>
      </c>
      <c r="I245" s="129">
        <v>270</v>
      </c>
      <c r="J245" s="129">
        <v>160.69999999999999</v>
      </c>
      <c r="K245" s="129">
        <v>26.5</v>
      </c>
      <c r="L245" s="129">
        <v>162</v>
      </c>
      <c r="M245" s="130">
        <v>13</v>
      </c>
      <c r="N245" s="131">
        <v>246</v>
      </c>
      <c r="O245" s="143"/>
      <c r="W245" s="86">
        <f t="shared" si="6"/>
        <v>0</v>
      </c>
      <c r="X245" s="87">
        <f t="shared" si="7"/>
        <v>0</v>
      </c>
    </row>
    <row r="246" spans="1:24" x14ac:dyDescent="0.35">
      <c r="A246" s="125">
        <v>178</v>
      </c>
      <c r="B246" s="126">
        <v>9</v>
      </c>
      <c r="C246" s="133" t="s">
        <v>45</v>
      </c>
      <c r="D246" s="133" t="s">
        <v>360</v>
      </c>
      <c r="E246" s="133" t="s">
        <v>1222</v>
      </c>
      <c r="F246" s="133" t="s">
        <v>415</v>
      </c>
      <c r="G246" s="126">
        <v>6</v>
      </c>
      <c r="H246" s="126">
        <v>93</v>
      </c>
      <c r="I246" s="126">
        <v>276</v>
      </c>
      <c r="J246" s="126">
        <v>181.7</v>
      </c>
      <c r="K246" s="126">
        <v>34.700000000000003</v>
      </c>
      <c r="L246" s="126">
        <v>164</v>
      </c>
      <c r="M246" s="127">
        <v>-14</v>
      </c>
      <c r="N246" s="132">
        <v>247</v>
      </c>
      <c r="O246" s="144"/>
      <c r="W246" s="86">
        <f t="shared" si="6"/>
        <v>0</v>
      </c>
      <c r="X246" s="87">
        <f t="shared" si="7"/>
        <v>0</v>
      </c>
    </row>
    <row r="247" spans="1:24" x14ac:dyDescent="0.35">
      <c r="A247" s="128">
        <v>147</v>
      </c>
      <c r="B247" s="129">
        <v>9</v>
      </c>
      <c r="C247" s="134" t="s">
        <v>45</v>
      </c>
      <c r="D247" s="134" t="s">
        <v>271</v>
      </c>
      <c r="E247" s="134" t="s">
        <v>108</v>
      </c>
      <c r="F247" s="134" t="s">
        <v>361</v>
      </c>
      <c r="G247" s="129">
        <v>7</v>
      </c>
      <c r="H247" s="129">
        <v>114</v>
      </c>
      <c r="I247" s="129">
        <v>205</v>
      </c>
      <c r="J247" s="129">
        <v>157.1</v>
      </c>
      <c r="K247" s="129">
        <v>19.3</v>
      </c>
      <c r="L247" s="129">
        <v>151</v>
      </c>
      <c r="M247" s="130">
        <v>4</v>
      </c>
      <c r="N247" s="131">
        <v>248</v>
      </c>
      <c r="O247" s="143"/>
      <c r="W247" s="86">
        <f t="shared" si="6"/>
        <v>0</v>
      </c>
      <c r="X247" s="87">
        <f t="shared" si="7"/>
        <v>0</v>
      </c>
    </row>
    <row r="248" spans="1:24" x14ac:dyDescent="0.35">
      <c r="A248" s="128">
        <v>279</v>
      </c>
      <c r="B248" s="129">
        <v>12</v>
      </c>
      <c r="C248" s="134" t="s">
        <v>45</v>
      </c>
      <c r="D248" s="134" t="s">
        <v>498</v>
      </c>
      <c r="E248" s="134" t="s">
        <v>125</v>
      </c>
      <c r="F248" s="134" t="s">
        <v>591</v>
      </c>
      <c r="G248" s="129">
        <v>7</v>
      </c>
      <c r="H248" s="129">
        <v>103</v>
      </c>
      <c r="I248" s="129">
        <v>336</v>
      </c>
      <c r="J248" s="129">
        <v>245.1</v>
      </c>
      <c r="K248" s="129">
        <v>42.3</v>
      </c>
      <c r="L248" s="129">
        <v>324</v>
      </c>
      <c r="M248" s="130">
        <v>45</v>
      </c>
      <c r="N248" s="131">
        <v>249</v>
      </c>
      <c r="O248" s="143"/>
      <c r="W248" s="86">
        <f t="shared" si="6"/>
        <v>0</v>
      </c>
      <c r="X248" s="87">
        <f t="shared" si="7"/>
        <v>0</v>
      </c>
    </row>
    <row r="249" spans="1:24" x14ac:dyDescent="0.35">
      <c r="A249" s="128">
        <v>259</v>
      </c>
      <c r="B249" s="129">
        <v>11</v>
      </c>
      <c r="C249" s="134" t="s">
        <v>45</v>
      </c>
      <c r="D249" s="134" t="s">
        <v>364</v>
      </c>
      <c r="E249" s="134" t="s">
        <v>174</v>
      </c>
      <c r="F249" s="134" t="s">
        <v>552</v>
      </c>
      <c r="G249" s="129">
        <v>11</v>
      </c>
      <c r="H249" s="129">
        <v>142</v>
      </c>
      <c r="I249" s="129">
        <v>314</v>
      </c>
      <c r="J249" s="129">
        <v>243.3</v>
      </c>
      <c r="K249" s="129">
        <v>29</v>
      </c>
      <c r="L249" s="129">
        <v>265</v>
      </c>
      <c r="M249" s="130">
        <v>6</v>
      </c>
      <c r="N249" s="131">
        <v>250</v>
      </c>
      <c r="O249" s="143"/>
      <c r="W249" s="86">
        <f t="shared" si="6"/>
        <v>0</v>
      </c>
      <c r="X249" s="87">
        <f t="shared" si="7"/>
        <v>0</v>
      </c>
    </row>
    <row r="250" spans="1:24" x14ac:dyDescent="0.35">
      <c r="A250" s="128">
        <v>165</v>
      </c>
      <c r="B250" s="129">
        <v>9</v>
      </c>
      <c r="C250" s="134" t="s">
        <v>45</v>
      </c>
      <c r="D250" s="134" t="s">
        <v>551</v>
      </c>
      <c r="E250" s="134" t="s">
        <v>53</v>
      </c>
      <c r="F250" s="134" t="s">
        <v>422</v>
      </c>
      <c r="G250" s="129">
        <v>13</v>
      </c>
      <c r="H250" s="129">
        <v>111</v>
      </c>
      <c r="I250" s="129">
        <v>291</v>
      </c>
      <c r="J250" s="129">
        <v>168.3</v>
      </c>
      <c r="K250" s="129">
        <v>29.8</v>
      </c>
      <c r="L250" s="129">
        <v>193</v>
      </c>
      <c r="M250" s="130">
        <v>28</v>
      </c>
      <c r="N250" s="131">
        <v>251</v>
      </c>
      <c r="O250" s="143"/>
      <c r="W250" s="86">
        <f t="shared" si="6"/>
        <v>0</v>
      </c>
      <c r="X250" s="87">
        <f t="shared" si="7"/>
        <v>0</v>
      </c>
    </row>
    <row r="251" spans="1:24" x14ac:dyDescent="0.35">
      <c r="A251" s="128">
        <v>211</v>
      </c>
      <c r="B251" s="129">
        <v>10</v>
      </c>
      <c r="C251" s="134" t="s">
        <v>45</v>
      </c>
      <c r="D251" s="134" t="s">
        <v>768</v>
      </c>
      <c r="E251" s="134" t="s">
        <v>241</v>
      </c>
      <c r="F251" s="134" t="s">
        <v>466</v>
      </c>
      <c r="G251" s="129">
        <v>11</v>
      </c>
      <c r="H251" s="129">
        <v>136</v>
      </c>
      <c r="I251" s="129">
        <v>297</v>
      </c>
      <c r="J251" s="129">
        <v>213.7</v>
      </c>
      <c r="K251" s="129">
        <v>34</v>
      </c>
      <c r="L251" s="129">
        <v>238</v>
      </c>
      <c r="M251" s="130">
        <v>27</v>
      </c>
      <c r="N251" s="131">
        <v>252</v>
      </c>
      <c r="O251" s="143"/>
      <c r="W251" s="86">
        <f t="shared" si="6"/>
        <v>0</v>
      </c>
      <c r="X251" s="87">
        <f t="shared" si="7"/>
        <v>0</v>
      </c>
    </row>
    <row r="252" spans="1:24" x14ac:dyDescent="0.35">
      <c r="A252" s="128">
        <v>323</v>
      </c>
      <c r="B252" s="129">
        <v>12</v>
      </c>
      <c r="C252" s="134" t="s">
        <v>45</v>
      </c>
      <c r="D252" s="134" t="s">
        <v>638</v>
      </c>
      <c r="E252" s="134" t="s">
        <v>47</v>
      </c>
      <c r="F252" s="134" t="s">
        <v>677</v>
      </c>
      <c r="G252" s="129">
        <v>11</v>
      </c>
      <c r="H252" s="129">
        <v>226</v>
      </c>
      <c r="I252" s="129">
        <v>367</v>
      </c>
      <c r="J252" s="129">
        <v>302</v>
      </c>
      <c r="K252" s="129">
        <v>29.7</v>
      </c>
      <c r="L252" s="129"/>
      <c r="M252" s="130"/>
      <c r="N252" s="131">
        <v>253</v>
      </c>
      <c r="O252" s="143"/>
      <c r="W252" s="86">
        <f t="shared" si="6"/>
        <v>0</v>
      </c>
      <c r="X252" s="87">
        <f t="shared" si="7"/>
        <v>0</v>
      </c>
    </row>
    <row r="253" spans="1:24" x14ac:dyDescent="0.35">
      <c r="A253" s="125">
        <v>286</v>
      </c>
      <c r="B253" s="126">
        <v>12</v>
      </c>
      <c r="C253" s="133" t="s">
        <v>45</v>
      </c>
      <c r="D253" s="133" t="s">
        <v>349</v>
      </c>
      <c r="E253" s="133" t="s">
        <v>122</v>
      </c>
      <c r="F253" s="133" t="s">
        <v>505</v>
      </c>
      <c r="G253" s="126">
        <v>7</v>
      </c>
      <c r="H253" s="126">
        <v>175</v>
      </c>
      <c r="I253" s="126">
        <v>372</v>
      </c>
      <c r="J253" s="126">
        <v>257.8</v>
      </c>
      <c r="K253" s="126">
        <v>41.1</v>
      </c>
      <c r="L253" s="126">
        <v>309</v>
      </c>
      <c r="M253" s="127">
        <v>23</v>
      </c>
      <c r="N253" s="132">
        <v>254</v>
      </c>
      <c r="O253" s="144"/>
      <c r="W253" s="86">
        <f t="shared" si="6"/>
        <v>0</v>
      </c>
      <c r="X253" s="87">
        <f t="shared" si="7"/>
        <v>0</v>
      </c>
    </row>
    <row r="254" spans="1:24" x14ac:dyDescent="0.35">
      <c r="A254" s="125">
        <v>260</v>
      </c>
      <c r="B254" s="126">
        <v>11</v>
      </c>
      <c r="C254" s="133" t="s">
        <v>45</v>
      </c>
      <c r="D254" s="133" t="s">
        <v>573</v>
      </c>
      <c r="E254" s="133" t="s">
        <v>125</v>
      </c>
      <c r="F254" s="133" t="s">
        <v>470</v>
      </c>
      <c r="G254" s="126">
        <v>7</v>
      </c>
      <c r="H254" s="126">
        <v>185</v>
      </c>
      <c r="I254" s="126">
        <v>309</v>
      </c>
      <c r="J254" s="126">
        <v>238.5</v>
      </c>
      <c r="K254" s="126">
        <v>29.1</v>
      </c>
      <c r="L254" s="126">
        <v>280</v>
      </c>
      <c r="M254" s="127">
        <v>20</v>
      </c>
      <c r="N254" s="132">
        <v>255</v>
      </c>
      <c r="O254" s="144"/>
      <c r="W254" s="86">
        <f t="shared" si="6"/>
        <v>0</v>
      </c>
      <c r="X254" s="87">
        <f t="shared" si="7"/>
        <v>0</v>
      </c>
    </row>
    <row r="255" spans="1:24" x14ac:dyDescent="0.35">
      <c r="A255" s="128">
        <v>221</v>
      </c>
      <c r="B255" s="129">
        <v>11</v>
      </c>
      <c r="C255" s="134" t="s">
        <v>45</v>
      </c>
      <c r="D255" s="134" t="s">
        <v>1130</v>
      </c>
      <c r="E255" s="134" t="s">
        <v>45</v>
      </c>
      <c r="F255" s="134" t="s">
        <v>486</v>
      </c>
      <c r="G255" s="129">
        <v>7</v>
      </c>
      <c r="H255" s="129">
        <v>110</v>
      </c>
      <c r="I255" s="129">
        <v>294</v>
      </c>
      <c r="J255" s="129">
        <v>213.6</v>
      </c>
      <c r="K255" s="129">
        <v>27.1</v>
      </c>
      <c r="L255" s="129">
        <v>247</v>
      </c>
      <c r="M255" s="130">
        <v>26</v>
      </c>
      <c r="N255" s="131">
        <v>256</v>
      </c>
      <c r="O255" s="143"/>
      <c r="W255" s="86">
        <f t="shared" si="6"/>
        <v>0</v>
      </c>
      <c r="X255" s="87">
        <f t="shared" si="7"/>
        <v>0</v>
      </c>
    </row>
    <row r="256" spans="1:24" x14ac:dyDescent="0.35">
      <c r="A256" s="128">
        <v>185</v>
      </c>
      <c r="B256" s="129">
        <v>10</v>
      </c>
      <c r="C256" s="134" t="s">
        <v>45</v>
      </c>
      <c r="D256" s="134" t="s">
        <v>1118</v>
      </c>
      <c r="E256" s="134" t="s">
        <v>45</v>
      </c>
      <c r="F256" s="134" t="s">
        <v>442</v>
      </c>
      <c r="G256" s="129">
        <v>9</v>
      </c>
      <c r="H256" s="129">
        <v>77</v>
      </c>
      <c r="I256" s="129">
        <v>288</v>
      </c>
      <c r="J256" s="129">
        <v>178.3</v>
      </c>
      <c r="K256" s="129">
        <v>30</v>
      </c>
      <c r="L256" s="129">
        <v>213</v>
      </c>
      <c r="M256" s="130">
        <v>28</v>
      </c>
      <c r="N256" s="131">
        <v>257</v>
      </c>
      <c r="O256" s="143"/>
      <c r="W256" s="86">
        <f t="shared" si="6"/>
        <v>0</v>
      </c>
      <c r="X256" s="87">
        <f t="shared" si="7"/>
        <v>0</v>
      </c>
    </row>
    <row r="257" spans="1:24" x14ac:dyDescent="0.35">
      <c r="A257" s="128">
        <v>403</v>
      </c>
      <c r="B257" s="129">
        <v>14</v>
      </c>
      <c r="C257" s="134" t="s">
        <v>45</v>
      </c>
      <c r="D257" s="134" t="s">
        <v>1372</v>
      </c>
      <c r="E257" s="134" t="s">
        <v>82</v>
      </c>
      <c r="F257" s="134" t="s">
        <v>792</v>
      </c>
      <c r="G257" s="129">
        <v>9</v>
      </c>
      <c r="H257" s="129">
        <v>256</v>
      </c>
      <c r="I257" s="129">
        <v>369</v>
      </c>
      <c r="J257" s="129">
        <v>296.2</v>
      </c>
      <c r="K257" s="129">
        <v>40.6</v>
      </c>
      <c r="L257" s="129">
        <v>316</v>
      </c>
      <c r="M257" s="130">
        <v>-87</v>
      </c>
      <c r="N257" s="131">
        <v>258</v>
      </c>
      <c r="O257" s="143"/>
      <c r="W257" s="86">
        <f t="shared" si="6"/>
        <v>296.2</v>
      </c>
      <c r="X257" s="87">
        <f t="shared" si="7"/>
        <v>40.6</v>
      </c>
    </row>
    <row r="258" spans="1:24" x14ac:dyDescent="0.35">
      <c r="A258" s="125">
        <v>242</v>
      </c>
      <c r="B258" s="126">
        <v>11</v>
      </c>
      <c r="C258" s="133" t="s">
        <v>45</v>
      </c>
      <c r="D258" s="133" t="s">
        <v>571</v>
      </c>
      <c r="E258" s="133" t="s">
        <v>102</v>
      </c>
      <c r="F258" s="133" t="s">
        <v>536</v>
      </c>
      <c r="G258" s="126">
        <v>7</v>
      </c>
      <c r="H258" s="126">
        <v>124</v>
      </c>
      <c r="I258" s="126">
        <v>288</v>
      </c>
      <c r="J258" s="126">
        <v>232.7</v>
      </c>
      <c r="K258" s="126">
        <v>24.1</v>
      </c>
      <c r="L258" s="126">
        <v>272</v>
      </c>
      <c r="M258" s="127">
        <v>30</v>
      </c>
      <c r="N258" s="132">
        <v>259</v>
      </c>
      <c r="O258" s="144"/>
      <c r="W258" s="86">
        <f t="shared" si="6"/>
        <v>232.7</v>
      </c>
      <c r="X258" s="87">
        <f t="shared" si="7"/>
        <v>24.1</v>
      </c>
    </row>
    <row r="259" spans="1:24" x14ac:dyDescent="0.35">
      <c r="A259" s="125">
        <v>226</v>
      </c>
      <c r="B259" s="126">
        <v>11</v>
      </c>
      <c r="C259" s="133" t="s">
        <v>45</v>
      </c>
      <c r="D259" s="133" t="s">
        <v>652</v>
      </c>
      <c r="E259" s="133" t="s">
        <v>149</v>
      </c>
      <c r="F259" s="133" t="s">
        <v>538</v>
      </c>
      <c r="G259" s="126">
        <v>6</v>
      </c>
      <c r="H259" s="126">
        <v>75</v>
      </c>
      <c r="I259" s="126">
        <v>288</v>
      </c>
      <c r="J259" s="126">
        <v>217.6</v>
      </c>
      <c r="K259" s="126">
        <v>39.799999999999997</v>
      </c>
      <c r="L259" s="126">
        <v>189</v>
      </c>
      <c r="M259" s="127">
        <v>-37</v>
      </c>
      <c r="N259" s="132">
        <v>260</v>
      </c>
      <c r="O259" s="144"/>
      <c r="W259" s="86">
        <f t="shared" ref="W259:W322" si="8">IF(LEFT(F259,1)="K",J259,0)</f>
        <v>0</v>
      </c>
      <c r="X259" s="87">
        <f t="shared" ref="X259:X322" si="9">IF(LEFT(F259,1)="K",K259,0)</f>
        <v>0</v>
      </c>
    </row>
    <row r="260" spans="1:24" x14ac:dyDescent="0.35">
      <c r="A260" s="125">
        <v>224</v>
      </c>
      <c r="B260" s="126">
        <v>11</v>
      </c>
      <c r="C260" s="133" t="s">
        <v>45</v>
      </c>
      <c r="D260" s="133" t="s">
        <v>358</v>
      </c>
      <c r="E260" s="133" t="s">
        <v>102</v>
      </c>
      <c r="F260" s="133" t="s">
        <v>510</v>
      </c>
      <c r="G260" s="126">
        <v>7</v>
      </c>
      <c r="H260" s="126">
        <v>124</v>
      </c>
      <c r="I260" s="126">
        <v>274</v>
      </c>
      <c r="J260" s="126">
        <v>214.7</v>
      </c>
      <c r="K260" s="126">
        <v>34.9</v>
      </c>
      <c r="L260" s="126">
        <v>168</v>
      </c>
      <c r="M260" s="127">
        <v>-56</v>
      </c>
      <c r="N260" s="132">
        <v>261</v>
      </c>
      <c r="O260" s="144"/>
      <c r="W260" s="86">
        <f t="shared" si="8"/>
        <v>0</v>
      </c>
      <c r="X260" s="87">
        <f t="shared" si="9"/>
        <v>0</v>
      </c>
    </row>
    <row r="261" spans="1:24" x14ac:dyDescent="0.35">
      <c r="A261" s="125">
        <v>194</v>
      </c>
      <c r="B261" s="126">
        <v>10</v>
      </c>
      <c r="C261" s="133" t="s">
        <v>45</v>
      </c>
      <c r="D261" s="133" t="s">
        <v>343</v>
      </c>
      <c r="E261" s="133" t="s">
        <v>149</v>
      </c>
      <c r="F261" s="133" t="s">
        <v>438</v>
      </c>
      <c r="G261" s="126">
        <v>6</v>
      </c>
      <c r="H261" s="126">
        <v>118</v>
      </c>
      <c r="I261" s="126">
        <v>309</v>
      </c>
      <c r="J261" s="126">
        <v>193.8</v>
      </c>
      <c r="K261" s="126">
        <v>32.1</v>
      </c>
      <c r="L261" s="126">
        <v>184</v>
      </c>
      <c r="M261" s="127">
        <v>-10</v>
      </c>
      <c r="N261" s="132">
        <v>262</v>
      </c>
      <c r="O261" s="144"/>
      <c r="W261" s="86">
        <f t="shared" si="8"/>
        <v>0</v>
      </c>
      <c r="X261" s="87">
        <f t="shared" si="9"/>
        <v>0</v>
      </c>
    </row>
    <row r="262" spans="1:24" x14ac:dyDescent="0.35">
      <c r="A262" s="128">
        <v>225</v>
      </c>
      <c r="B262" s="129">
        <v>11</v>
      </c>
      <c r="C262" s="134" t="s">
        <v>45</v>
      </c>
      <c r="D262" s="134" t="s">
        <v>314</v>
      </c>
      <c r="E262" s="134" t="s">
        <v>62</v>
      </c>
      <c r="F262" s="134" t="s">
        <v>435</v>
      </c>
      <c r="G262" s="129">
        <v>8</v>
      </c>
      <c r="H262" s="129">
        <v>134</v>
      </c>
      <c r="I262" s="129">
        <v>295</v>
      </c>
      <c r="J262" s="129">
        <v>216.8</v>
      </c>
      <c r="K262" s="129">
        <v>28.2</v>
      </c>
      <c r="L262" s="129">
        <v>221</v>
      </c>
      <c r="M262" s="130">
        <v>-4</v>
      </c>
      <c r="N262" s="131">
        <v>264</v>
      </c>
      <c r="O262" s="143"/>
      <c r="W262" s="86">
        <f t="shared" si="8"/>
        <v>0</v>
      </c>
      <c r="X262" s="87">
        <f t="shared" si="9"/>
        <v>0</v>
      </c>
    </row>
    <row r="263" spans="1:24" x14ac:dyDescent="0.35">
      <c r="A263" s="128">
        <v>223</v>
      </c>
      <c r="B263" s="129">
        <v>11</v>
      </c>
      <c r="C263" s="134" t="s">
        <v>45</v>
      </c>
      <c r="D263" s="134" t="s">
        <v>1215</v>
      </c>
      <c r="E263" s="134" t="s">
        <v>1470</v>
      </c>
      <c r="F263" s="134" t="s">
        <v>428</v>
      </c>
      <c r="G263" s="129">
        <v>9</v>
      </c>
      <c r="H263" s="129">
        <v>129</v>
      </c>
      <c r="I263" s="129">
        <v>290</v>
      </c>
      <c r="J263" s="129">
        <v>206.7</v>
      </c>
      <c r="K263" s="129">
        <v>31.4</v>
      </c>
      <c r="L263" s="129">
        <v>203</v>
      </c>
      <c r="M263" s="130">
        <v>-20</v>
      </c>
      <c r="N263" s="131">
        <v>265</v>
      </c>
      <c r="O263" s="143"/>
      <c r="W263" s="86">
        <f t="shared" si="8"/>
        <v>0</v>
      </c>
      <c r="X263" s="87">
        <f t="shared" si="9"/>
        <v>0</v>
      </c>
    </row>
    <row r="264" spans="1:24" x14ac:dyDescent="0.35">
      <c r="A264" s="128">
        <v>261</v>
      </c>
      <c r="B264" s="129">
        <v>11</v>
      </c>
      <c r="C264" s="134" t="s">
        <v>45</v>
      </c>
      <c r="D264" s="134" t="s">
        <v>280</v>
      </c>
      <c r="E264" s="134" t="s">
        <v>47</v>
      </c>
      <c r="F264" s="134" t="s">
        <v>561</v>
      </c>
      <c r="G264" s="129">
        <v>11</v>
      </c>
      <c r="H264" s="129">
        <v>125</v>
      </c>
      <c r="I264" s="129">
        <v>331</v>
      </c>
      <c r="J264" s="129">
        <v>243.2</v>
      </c>
      <c r="K264" s="129">
        <v>29.2</v>
      </c>
      <c r="L264" s="129">
        <v>264</v>
      </c>
      <c r="M264" s="130">
        <v>3</v>
      </c>
      <c r="N264" s="131">
        <v>267</v>
      </c>
      <c r="O264" s="143"/>
      <c r="W264" s="86">
        <f t="shared" si="8"/>
        <v>0</v>
      </c>
      <c r="X264" s="87">
        <f t="shared" si="9"/>
        <v>0</v>
      </c>
    </row>
    <row r="265" spans="1:24" x14ac:dyDescent="0.35">
      <c r="A265" s="125">
        <v>376</v>
      </c>
      <c r="B265" s="126">
        <v>14</v>
      </c>
      <c r="C265" s="133" t="s">
        <v>45</v>
      </c>
      <c r="D265" s="133" t="s">
        <v>912</v>
      </c>
      <c r="E265" s="133" t="s">
        <v>184</v>
      </c>
      <c r="F265" s="133" t="s">
        <v>755</v>
      </c>
      <c r="G265" s="126">
        <v>8</v>
      </c>
      <c r="H265" s="126">
        <v>179</v>
      </c>
      <c r="I265" s="126">
        <v>358</v>
      </c>
      <c r="J265" s="126">
        <v>297</v>
      </c>
      <c r="K265" s="126">
        <v>46.1</v>
      </c>
      <c r="L265" s="126"/>
      <c r="M265" s="127"/>
      <c r="N265" s="132">
        <v>268</v>
      </c>
      <c r="O265" s="144"/>
      <c r="W265" s="86">
        <f t="shared" si="8"/>
        <v>0</v>
      </c>
      <c r="X265" s="87">
        <f t="shared" si="9"/>
        <v>0</v>
      </c>
    </row>
    <row r="266" spans="1:24" x14ac:dyDescent="0.35">
      <c r="A266" s="125">
        <v>164</v>
      </c>
      <c r="B266" s="126">
        <v>9</v>
      </c>
      <c r="C266" s="133" t="s">
        <v>45</v>
      </c>
      <c r="D266" s="133" t="s">
        <v>362</v>
      </c>
      <c r="E266" s="133" t="s">
        <v>71</v>
      </c>
      <c r="F266" s="133" t="s">
        <v>391</v>
      </c>
      <c r="G266" s="126">
        <v>11</v>
      </c>
      <c r="H266" s="126">
        <v>90</v>
      </c>
      <c r="I266" s="126">
        <v>252</v>
      </c>
      <c r="J266" s="126">
        <v>174.5</v>
      </c>
      <c r="K266" s="126">
        <v>27.4</v>
      </c>
      <c r="L266" s="126">
        <v>152</v>
      </c>
      <c r="M266" s="127">
        <v>-12</v>
      </c>
      <c r="N266" s="132">
        <v>269</v>
      </c>
      <c r="O266" s="144"/>
      <c r="W266" s="86">
        <f t="shared" si="8"/>
        <v>0</v>
      </c>
      <c r="X266" s="87">
        <f t="shared" si="9"/>
        <v>0</v>
      </c>
    </row>
    <row r="267" spans="1:24" x14ac:dyDescent="0.35">
      <c r="A267" s="125">
        <v>162</v>
      </c>
      <c r="B267" s="126">
        <v>9</v>
      </c>
      <c r="C267" s="133" t="s">
        <v>45</v>
      </c>
      <c r="D267" s="133" t="s">
        <v>709</v>
      </c>
      <c r="E267" s="133" t="s">
        <v>53</v>
      </c>
      <c r="F267" s="133" t="s">
        <v>378</v>
      </c>
      <c r="G267" s="126">
        <v>13</v>
      </c>
      <c r="H267" s="126">
        <v>102</v>
      </c>
      <c r="I267" s="126">
        <v>234</v>
      </c>
      <c r="J267" s="126">
        <v>165.5</v>
      </c>
      <c r="K267" s="126">
        <v>25.2</v>
      </c>
      <c r="L267" s="126">
        <v>163</v>
      </c>
      <c r="M267" s="127">
        <v>1</v>
      </c>
      <c r="N267" s="132">
        <v>270</v>
      </c>
      <c r="O267" s="144"/>
      <c r="W267" s="86">
        <f t="shared" si="8"/>
        <v>0</v>
      </c>
      <c r="X267" s="87">
        <f t="shared" si="9"/>
        <v>0</v>
      </c>
    </row>
    <row r="268" spans="1:24" x14ac:dyDescent="0.35">
      <c r="A268" s="125">
        <v>220</v>
      </c>
      <c r="B268" s="126">
        <v>10</v>
      </c>
      <c r="C268" s="133" t="s">
        <v>45</v>
      </c>
      <c r="D268" s="133" t="s">
        <v>1416</v>
      </c>
      <c r="E268" s="133" t="s">
        <v>184</v>
      </c>
      <c r="F268" s="133" t="s">
        <v>472</v>
      </c>
      <c r="G268" s="126">
        <v>8</v>
      </c>
      <c r="H268" s="126">
        <v>111</v>
      </c>
      <c r="I268" s="126">
        <v>285</v>
      </c>
      <c r="J268" s="126">
        <v>222.3</v>
      </c>
      <c r="K268" s="126">
        <v>39.1</v>
      </c>
      <c r="L268" s="126">
        <v>274</v>
      </c>
      <c r="M268" s="127">
        <v>54</v>
      </c>
      <c r="N268" s="132">
        <v>271</v>
      </c>
      <c r="O268" s="144"/>
      <c r="W268" s="86">
        <f t="shared" si="8"/>
        <v>0</v>
      </c>
      <c r="X268" s="87">
        <f t="shared" si="9"/>
        <v>0</v>
      </c>
    </row>
    <row r="269" spans="1:24" x14ac:dyDescent="0.35">
      <c r="A269" s="125">
        <v>230</v>
      </c>
      <c r="B269" s="126">
        <v>11</v>
      </c>
      <c r="C269" s="133" t="s">
        <v>45</v>
      </c>
      <c r="D269" s="133" t="s">
        <v>714</v>
      </c>
      <c r="E269" s="133" t="s">
        <v>59</v>
      </c>
      <c r="F269" s="133" t="s">
        <v>502</v>
      </c>
      <c r="G269" s="126">
        <v>10</v>
      </c>
      <c r="H269" s="126">
        <v>105</v>
      </c>
      <c r="I269" s="126">
        <v>308</v>
      </c>
      <c r="J269" s="126">
        <v>230.6</v>
      </c>
      <c r="K269" s="126">
        <v>39.4</v>
      </c>
      <c r="L269" s="126">
        <v>249</v>
      </c>
      <c r="M269" s="127">
        <v>19</v>
      </c>
      <c r="N269" s="132">
        <v>272</v>
      </c>
      <c r="O269" s="144"/>
      <c r="W269" s="86">
        <f t="shared" si="8"/>
        <v>0</v>
      </c>
      <c r="X269" s="87">
        <f t="shared" si="9"/>
        <v>0</v>
      </c>
    </row>
    <row r="270" spans="1:24" x14ac:dyDescent="0.35">
      <c r="A270" s="128">
        <v>271</v>
      </c>
      <c r="B270" s="129">
        <v>12</v>
      </c>
      <c r="C270" s="134" t="s">
        <v>45</v>
      </c>
      <c r="D270" s="134" t="s">
        <v>1253</v>
      </c>
      <c r="E270" s="134" t="s">
        <v>179</v>
      </c>
      <c r="F270" s="134" t="s">
        <v>577</v>
      </c>
      <c r="G270" s="129">
        <v>11</v>
      </c>
      <c r="H270" s="129">
        <v>100</v>
      </c>
      <c r="I270" s="129">
        <v>343</v>
      </c>
      <c r="J270" s="129">
        <v>264.89999999999998</v>
      </c>
      <c r="K270" s="129">
        <v>52</v>
      </c>
      <c r="L270" s="129">
        <v>186</v>
      </c>
      <c r="M270" s="130">
        <v>-85</v>
      </c>
      <c r="N270" s="131">
        <v>273</v>
      </c>
      <c r="O270" s="143"/>
      <c r="W270" s="86">
        <f t="shared" si="8"/>
        <v>0</v>
      </c>
      <c r="X270" s="87">
        <f t="shared" si="9"/>
        <v>0</v>
      </c>
    </row>
    <row r="271" spans="1:24" x14ac:dyDescent="0.35">
      <c r="A271" s="125">
        <v>274</v>
      </c>
      <c r="B271" s="126">
        <v>12</v>
      </c>
      <c r="C271" s="133" t="s">
        <v>45</v>
      </c>
      <c r="D271" s="133" t="s">
        <v>453</v>
      </c>
      <c r="E271" s="133" t="s">
        <v>68</v>
      </c>
      <c r="F271" s="133" t="s">
        <v>485</v>
      </c>
      <c r="G271" s="126">
        <v>8</v>
      </c>
      <c r="H271" s="126">
        <v>118</v>
      </c>
      <c r="I271" s="126">
        <v>509</v>
      </c>
      <c r="J271" s="126">
        <v>245.6</v>
      </c>
      <c r="K271" s="126">
        <v>51.2</v>
      </c>
      <c r="L271" s="126">
        <v>255</v>
      </c>
      <c r="M271" s="127">
        <v>-19</v>
      </c>
      <c r="N271" s="132">
        <v>274</v>
      </c>
      <c r="O271" s="144"/>
      <c r="W271" s="86">
        <f t="shared" si="8"/>
        <v>0</v>
      </c>
      <c r="X271" s="87">
        <f t="shared" si="9"/>
        <v>0</v>
      </c>
    </row>
    <row r="272" spans="1:24" x14ac:dyDescent="0.35">
      <c r="A272" s="125">
        <v>298</v>
      </c>
      <c r="B272" s="126">
        <v>12</v>
      </c>
      <c r="C272" s="133" t="s">
        <v>45</v>
      </c>
      <c r="D272" s="133" t="s">
        <v>1263</v>
      </c>
      <c r="E272" s="133" t="s">
        <v>161</v>
      </c>
      <c r="F272" s="133" t="s">
        <v>528</v>
      </c>
      <c r="G272" s="126">
        <v>8</v>
      </c>
      <c r="H272" s="126">
        <v>200</v>
      </c>
      <c r="I272" s="126">
        <v>374</v>
      </c>
      <c r="J272" s="126">
        <v>255.9</v>
      </c>
      <c r="K272" s="126">
        <v>38.299999999999997</v>
      </c>
      <c r="L272" s="126">
        <v>282</v>
      </c>
      <c r="M272" s="127">
        <v>-16</v>
      </c>
      <c r="N272" s="132">
        <v>275</v>
      </c>
      <c r="O272" s="144"/>
      <c r="W272" s="86">
        <f t="shared" si="8"/>
        <v>0</v>
      </c>
      <c r="X272" s="87">
        <f t="shared" si="9"/>
        <v>0</v>
      </c>
    </row>
    <row r="273" spans="1:24" x14ac:dyDescent="0.35">
      <c r="A273" s="128">
        <v>267</v>
      </c>
      <c r="B273" s="129">
        <v>11</v>
      </c>
      <c r="C273" s="134" t="s">
        <v>45</v>
      </c>
      <c r="D273" s="134" t="s">
        <v>670</v>
      </c>
      <c r="E273" s="134" t="s">
        <v>157</v>
      </c>
      <c r="F273" s="134" t="s">
        <v>476</v>
      </c>
      <c r="G273" s="129">
        <v>8</v>
      </c>
      <c r="H273" s="129">
        <v>155</v>
      </c>
      <c r="I273" s="129">
        <v>362</v>
      </c>
      <c r="J273" s="129">
        <v>240.1</v>
      </c>
      <c r="K273" s="129">
        <v>36.799999999999997</v>
      </c>
      <c r="L273" s="129">
        <v>287</v>
      </c>
      <c r="M273" s="130">
        <v>20</v>
      </c>
      <c r="N273" s="131">
        <v>277</v>
      </c>
      <c r="O273" s="143"/>
      <c r="W273" s="86">
        <f t="shared" si="8"/>
        <v>0</v>
      </c>
      <c r="X273" s="87">
        <f t="shared" si="9"/>
        <v>0</v>
      </c>
    </row>
    <row r="274" spans="1:24" x14ac:dyDescent="0.35">
      <c r="A274" s="125">
        <v>324</v>
      </c>
      <c r="B274" s="126">
        <v>12</v>
      </c>
      <c r="C274" s="133" t="s">
        <v>45</v>
      </c>
      <c r="D274" s="133" t="s">
        <v>1000</v>
      </c>
      <c r="E274" s="133" t="s">
        <v>119</v>
      </c>
      <c r="F274" s="133" t="s">
        <v>600</v>
      </c>
      <c r="G274" s="126">
        <v>6</v>
      </c>
      <c r="H274" s="126">
        <v>210</v>
      </c>
      <c r="I274" s="126">
        <v>401</v>
      </c>
      <c r="J274" s="126">
        <v>291.10000000000002</v>
      </c>
      <c r="K274" s="126">
        <v>36.4</v>
      </c>
      <c r="L274" s="126">
        <v>340</v>
      </c>
      <c r="M274" s="127">
        <v>16</v>
      </c>
      <c r="N274" s="132">
        <v>279</v>
      </c>
      <c r="O274" s="144"/>
      <c r="W274" s="86">
        <f t="shared" si="8"/>
        <v>0</v>
      </c>
      <c r="X274" s="87">
        <f t="shared" si="9"/>
        <v>0</v>
      </c>
    </row>
    <row r="275" spans="1:24" x14ac:dyDescent="0.35">
      <c r="A275" s="125">
        <v>266</v>
      </c>
      <c r="B275" s="126">
        <v>11</v>
      </c>
      <c r="C275" s="133" t="s">
        <v>45</v>
      </c>
      <c r="D275" s="133" t="s">
        <v>331</v>
      </c>
      <c r="E275" s="133" t="s">
        <v>184</v>
      </c>
      <c r="F275" s="133" t="s">
        <v>581</v>
      </c>
      <c r="G275" s="126">
        <v>8</v>
      </c>
      <c r="H275" s="126">
        <v>121</v>
      </c>
      <c r="I275" s="126">
        <v>311</v>
      </c>
      <c r="J275" s="126">
        <v>243.7</v>
      </c>
      <c r="K275" s="126">
        <v>46.5</v>
      </c>
      <c r="L275" s="126">
        <v>298</v>
      </c>
      <c r="M275" s="127">
        <v>32</v>
      </c>
      <c r="N275" s="132">
        <v>280</v>
      </c>
      <c r="O275" s="144"/>
      <c r="W275" s="86">
        <f t="shared" si="8"/>
        <v>0</v>
      </c>
      <c r="X275" s="87">
        <f t="shared" si="9"/>
        <v>0</v>
      </c>
    </row>
    <row r="276" spans="1:24" x14ac:dyDescent="0.35">
      <c r="A276" s="125">
        <v>256</v>
      </c>
      <c r="B276" s="126">
        <v>11</v>
      </c>
      <c r="C276" s="133" t="s">
        <v>45</v>
      </c>
      <c r="D276" s="133" t="s">
        <v>425</v>
      </c>
      <c r="E276" s="133" t="s">
        <v>74</v>
      </c>
      <c r="F276" s="133" t="s">
        <v>554</v>
      </c>
      <c r="G276" s="126">
        <v>8</v>
      </c>
      <c r="H276" s="126">
        <v>132</v>
      </c>
      <c r="I276" s="126">
        <v>330</v>
      </c>
      <c r="J276" s="126">
        <v>230.1</v>
      </c>
      <c r="K276" s="126">
        <v>41.7</v>
      </c>
      <c r="L276" s="126">
        <v>263</v>
      </c>
      <c r="M276" s="127">
        <v>7</v>
      </c>
      <c r="N276" s="132">
        <v>281</v>
      </c>
      <c r="O276" s="144"/>
      <c r="W276" s="86">
        <f t="shared" si="8"/>
        <v>0</v>
      </c>
      <c r="X276" s="87">
        <f t="shared" si="9"/>
        <v>0</v>
      </c>
    </row>
    <row r="277" spans="1:24" x14ac:dyDescent="0.35">
      <c r="A277" s="128">
        <v>379</v>
      </c>
      <c r="B277" s="129">
        <v>14</v>
      </c>
      <c r="C277" s="134" t="s">
        <v>45</v>
      </c>
      <c r="D277" s="134" t="s">
        <v>622</v>
      </c>
      <c r="E277" s="134" t="s">
        <v>1222</v>
      </c>
      <c r="F277" s="134" t="s">
        <v>762</v>
      </c>
      <c r="G277" s="129">
        <v>6</v>
      </c>
      <c r="H277" s="129">
        <v>206</v>
      </c>
      <c r="I277" s="129">
        <v>369</v>
      </c>
      <c r="J277" s="129">
        <v>318.5</v>
      </c>
      <c r="K277" s="129">
        <v>31.7</v>
      </c>
      <c r="L277" s="129"/>
      <c r="M277" s="130"/>
      <c r="N277" s="131">
        <v>282</v>
      </c>
      <c r="O277" s="143"/>
      <c r="W277" s="86">
        <f t="shared" si="8"/>
        <v>0</v>
      </c>
      <c r="X277" s="87">
        <f t="shared" si="9"/>
        <v>0</v>
      </c>
    </row>
    <row r="278" spans="1:24" x14ac:dyDescent="0.35">
      <c r="A278" s="128">
        <v>229</v>
      </c>
      <c r="B278" s="129">
        <v>11</v>
      </c>
      <c r="C278" s="134" t="s">
        <v>45</v>
      </c>
      <c r="D278" s="134" t="s">
        <v>253</v>
      </c>
      <c r="E278" s="134" t="s">
        <v>161</v>
      </c>
      <c r="F278" s="134" t="s">
        <v>490</v>
      </c>
      <c r="G278" s="129">
        <v>8</v>
      </c>
      <c r="H278" s="129">
        <v>80</v>
      </c>
      <c r="I278" s="129">
        <v>325</v>
      </c>
      <c r="J278" s="129">
        <v>216</v>
      </c>
      <c r="K278" s="129">
        <v>55.2</v>
      </c>
      <c r="L278" s="129">
        <v>242</v>
      </c>
      <c r="M278" s="130">
        <v>13</v>
      </c>
      <c r="N278" s="131">
        <v>283</v>
      </c>
      <c r="O278" s="143"/>
      <c r="W278" s="86">
        <f t="shared" si="8"/>
        <v>0</v>
      </c>
      <c r="X278" s="87">
        <f t="shared" si="9"/>
        <v>0</v>
      </c>
    </row>
    <row r="279" spans="1:24" x14ac:dyDescent="0.35">
      <c r="A279" s="128">
        <v>367</v>
      </c>
      <c r="B279" s="129">
        <v>13</v>
      </c>
      <c r="C279" s="134" t="s">
        <v>45</v>
      </c>
      <c r="D279" s="134" t="s">
        <v>748</v>
      </c>
      <c r="E279" s="134" t="s">
        <v>80</v>
      </c>
      <c r="F279" s="134" t="s">
        <v>749</v>
      </c>
      <c r="G279" s="129">
        <v>9</v>
      </c>
      <c r="H279" s="129">
        <v>201</v>
      </c>
      <c r="I279" s="129">
        <v>367</v>
      </c>
      <c r="J279" s="129">
        <v>318.7</v>
      </c>
      <c r="K279" s="129">
        <v>32.799999999999997</v>
      </c>
      <c r="L279" s="129"/>
      <c r="M279" s="130"/>
      <c r="N279" s="131">
        <v>284</v>
      </c>
      <c r="O279" s="143"/>
      <c r="W279" s="86">
        <f t="shared" si="8"/>
        <v>0</v>
      </c>
      <c r="X279" s="87">
        <f t="shared" si="9"/>
        <v>0</v>
      </c>
    </row>
    <row r="280" spans="1:24" x14ac:dyDescent="0.35">
      <c r="A280" s="128">
        <v>335</v>
      </c>
      <c r="B280" s="129">
        <v>13</v>
      </c>
      <c r="C280" s="134" t="s">
        <v>45</v>
      </c>
      <c r="D280" s="134" t="s">
        <v>716</v>
      </c>
      <c r="E280" s="134" t="s">
        <v>179</v>
      </c>
      <c r="F280" s="134" t="s">
        <v>695</v>
      </c>
      <c r="G280" s="129">
        <v>11</v>
      </c>
      <c r="H280" s="129">
        <v>235</v>
      </c>
      <c r="I280" s="129">
        <v>385</v>
      </c>
      <c r="J280" s="129">
        <v>313.5</v>
      </c>
      <c r="K280" s="129">
        <v>28.7</v>
      </c>
      <c r="L280" s="129"/>
      <c r="M280" s="130"/>
      <c r="N280" s="131">
        <v>285</v>
      </c>
      <c r="O280" s="143"/>
      <c r="W280" s="86">
        <f t="shared" si="8"/>
        <v>0</v>
      </c>
      <c r="X280" s="87">
        <f t="shared" si="9"/>
        <v>0</v>
      </c>
    </row>
    <row r="281" spans="1:24" x14ac:dyDescent="0.35">
      <c r="A281" s="128">
        <v>317</v>
      </c>
      <c r="B281" s="129">
        <v>12</v>
      </c>
      <c r="C281" s="134" t="s">
        <v>45</v>
      </c>
      <c r="D281" s="134" t="s">
        <v>1274</v>
      </c>
      <c r="E281" s="134" t="s">
        <v>149</v>
      </c>
      <c r="F281" s="134" t="s">
        <v>661</v>
      </c>
      <c r="G281" s="129">
        <v>6</v>
      </c>
      <c r="H281" s="129">
        <v>134</v>
      </c>
      <c r="I281" s="129">
        <v>381</v>
      </c>
      <c r="J281" s="129">
        <v>286.89999999999998</v>
      </c>
      <c r="K281" s="129">
        <v>48</v>
      </c>
      <c r="L281" s="129"/>
      <c r="M281" s="130"/>
      <c r="N281" s="131">
        <v>286</v>
      </c>
      <c r="O281" s="143"/>
      <c r="W281" s="86">
        <f t="shared" si="8"/>
        <v>0</v>
      </c>
      <c r="X281" s="87">
        <f t="shared" si="9"/>
        <v>0</v>
      </c>
    </row>
    <row r="282" spans="1:24" x14ac:dyDescent="0.35">
      <c r="A282" s="125">
        <v>326</v>
      </c>
      <c r="B282" s="126">
        <v>12</v>
      </c>
      <c r="C282" s="133" t="s">
        <v>45</v>
      </c>
      <c r="D282" s="133" t="s">
        <v>1228</v>
      </c>
      <c r="E282" s="133" t="s">
        <v>144</v>
      </c>
      <c r="F282" s="133" t="s">
        <v>679</v>
      </c>
      <c r="G282" s="126">
        <v>5</v>
      </c>
      <c r="H282" s="126">
        <v>224</v>
      </c>
      <c r="I282" s="126">
        <v>356</v>
      </c>
      <c r="J282" s="126">
        <v>301.7</v>
      </c>
      <c r="K282" s="126">
        <v>30.8</v>
      </c>
      <c r="L282" s="126"/>
      <c r="M282" s="127"/>
      <c r="N282" s="132">
        <v>287</v>
      </c>
      <c r="O282" s="144"/>
      <c r="W282" s="86">
        <f t="shared" si="8"/>
        <v>0</v>
      </c>
      <c r="X282" s="87">
        <f t="shared" si="9"/>
        <v>0</v>
      </c>
    </row>
    <row r="283" spans="1:24" x14ac:dyDescent="0.35">
      <c r="A283" s="125">
        <v>304</v>
      </c>
      <c r="B283" s="126">
        <v>12</v>
      </c>
      <c r="C283" s="133" t="s">
        <v>45</v>
      </c>
      <c r="D283" s="133" t="s">
        <v>648</v>
      </c>
      <c r="E283" s="133" t="s">
        <v>88</v>
      </c>
      <c r="F283" s="133" t="s">
        <v>556</v>
      </c>
      <c r="G283" s="126">
        <v>10</v>
      </c>
      <c r="H283" s="126">
        <v>196</v>
      </c>
      <c r="I283" s="126">
        <v>448</v>
      </c>
      <c r="J283" s="126">
        <v>275.3</v>
      </c>
      <c r="K283" s="126">
        <v>44.4</v>
      </c>
      <c r="L283" s="126">
        <v>317</v>
      </c>
      <c r="M283" s="127">
        <v>13</v>
      </c>
      <c r="N283" s="132">
        <v>288</v>
      </c>
      <c r="O283" s="144"/>
      <c r="W283" s="86">
        <f t="shared" si="8"/>
        <v>0</v>
      </c>
      <c r="X283" s="87">
        <f t="shared" si="9"/>
        <v>0</v>
      </c>
    </row>
    <row r="284" spans="1:24" x14ac:dyDescent="0.35">
      <c r="A284" s="125">
        <v>206</v>
      </c>
      <c r="B284" s="126">
        <v>10</v>
      </c>
      <c r="C284" s="133" t="s">
        <v>45</v>
      </c>
      <c r="D284" s="133" t="s">
        <v>1170</v>
      </c>
      <c r="E284" s="133" t="s">
        <v>45</v>
      </c>
      <c r="F284" s="133" t="s">
        <v>468</v>
      </c>
      <c r="G284" s="126">
        <v>9</v>
      </c>
      <c r="H284" s="126">
        <v>106</v>
      </c>
      <c r="I284" s="126">
        <v>254</v>
      </c>
      <c r="J284" s="126">
        <v>200.5</v>
      </c>
      <c r="K284" s="126">
        <v>25.4</v>
      </c>
      <c r="L284" s="126">
        <v>241</v>
      </c>
      <c r="M284" s="127">
        <v>35</v>
      </c>
      <c r="N284" s="132">
        <v>289</v>
      </c>
      <c r="O284" s="144"/>
      <c r="W284" s="86">
        <f t="shared" si="8"/>
        <v>0</v>
      </c>
      <c r="X284" s="87">
        <f t="shared" si="9"/>
        <v>0</v>
      </c>
    </row>
    <row r="285" spans="1:24" x14ac:dyDescent="0.35">
      <c r="A285" s="128">
        <v>297</v>
      </c>
      <c r="B285" s="129">
        <v>12</v>
      </c>
      <c r="C285" s="134" t="s">
        <v>45</v>
      </c>
      <c r="D285" s="134" t="s">
        <v>1194</v>
      </c>
      <c r="E285" s="134" t="s">
        <v>45</v>
      </c>
      <c r="F285" s="134" t="s">
        <v>634</v>
      </c>
      <c r="G285" s="129">
        <v>5</v>
      </c>
      <c r="H285" s="129">
        <v>160</v>
      </c>
      <c r="I285" s="129">
        <v>323</v>
      </c>
      <c r="J285" s="129">
        <v>288.7</v>
      </c>
      <c r="K285" s="129">
        <v>34.200000000000003</v>
      </c>
      <c r="L285" s="129">
        <v>269</v>
      </c>
      <c r="M285" s="130">
        <v>-28</v>
      </c>
      <c r="N285" s="131">
        <v>290</v>
      </c>
      <c r="O285" s="143"/>
      <c r="W285" s="86">
        <f t="shared" si="8"/>
        <v>0</v>
      </c>
      <c r="X285" s="87">
        <f t="shared" si="9"/>
        <v>0</v>
      </c>
    </row>
    <row r="286" spans="1:24" x14ac:dyDescent="0.35">
      <c r="A286" s="125">
        <v>232</v>
      </c>
      <c r="B286" s="126">
        <v>11</v>
      </c>
      <c r="C286" s="133" t="s">
        <v>45</v>
      </c>
      <c r="D286" s="133" t="s">
        <v>496</v>
      </c>
      <c r="E286" s="133" t="s">
        <v>65</v>
      </c>
      <c r="F286" s="133" t="s">
        <v>521</v>
      </c>
      <c r="G286" s="126">
        <v>5</v>
      </c>
      <c r="H286" s="126">
        <v>115</v>
      </c>
      <c r="I286" s="126">
        <v>275</v>
      </c>
      <c r="J286" s="126">
        <v>223.3</v>
      </c>
      <c r="K286" s="126">
        <v>26.5</v>
      </c>
      <c r="L286" s="126">
        <v>215</v>
      </c>
      <c r="M286" s="127">
        <v>-17</v>
      </c>
      <c r="N286" s="132">
        <v>291</v>
      </c>
      <c r="O286" s="144"/>
      <c r="W286" s="86">
        <f t="shared" si="8"/>
        <v>223.3</v>
      </c>
      <c r="X286" s="87">
        <f t="shared" si="9"/>
        <v>26.5</v>
      </c>
    </row>
    <row r="287" spans="1:24" x14ac:dyDescent="0.35">
      <c r="A287" s="125">
        <v>248</v>
      </c>
      <c r="B287" s="126">
        <v>11</v>
      </c>
      <c r="C287" s="133" t="s">
        <v>45</v>
      </c>
      <c r="D287" s="133" t="s">
        <v>535</v>
      </c>
      <c r="E287" s="133" t="s">
        <v>149</v>
      </c>
      <c r="F287" s="133" t="s">
        <v>541</v>
      </c>
      <c r="G287" s="126">
        <v>6</v>
      </c>
      <c r="H287" s="126">
        <v>135</v>
      </c>
      <c r="I287" s="126">
        <v>279</v>
      </c>
      <c r="J287" s="126">
        <v>239.2</v>
      </c>
      <c r="K287" s="126">
        <v>29.4</v>
      </c>
      <c r="L287" s="126">
        <v>284</v>
      </c>
      <c r="M287" s="127">
        <v>36</v>
      </c>
      <c r="N287" s="132">
        <v>292</v>
      </c>
      <c r="O287" s="144"/>
      <c r="W287" s="86">
        <f t="shared" si="8"/>
        <v>239.2</v>
      </c>
      <c r="X287" s="87">
        <f t="shared" si="9"/>
        <v>29.4</v>
      </c>
    </row>
    <row r="288" spans="1:24" x14ac:dyDescent="0.35">
      <c r="A288" s="128">
        <v>343</v>
      </c>
      <c r="B288" s="129">
        <v>13</v>
      </c>
      <c r="C288" s="134" t="s">
        <v>45</v>
      </c>
      <c r="D288" s="134" t="s">
        <v>723</v>
      </c>
      <c r="E288" s="134" t="s">
        <v>56</v>
      </c>
      <c r="F288" s="134" t="s">
        <v>715</v>
      </c>
      <c r="G288" s="129">
        <v>6</v>
      </c>
      <c r="H288" s="129">
        <v>138</v>
      </c>
      <c r="I288" s="129">
        <v>384</v>
      </c>
      <c r="J288" s="129">
        <v>292.10000000000002</v>
      </c>
      <c r="K288" s="129">
        <v>67.400000000000006</v>
      </c>
      <c r="L288" s="129"/>
      <c r="M288" s="130"/>
      <c r="N288" s="131">
        <v>293</v>
      </c>
      <c r="O288" s="143"/>
      <c r="W288" s="86">
        <f t="shared" si="8"/>
        <v>0</v>
      </c>
      <c r="X288" s="87">
        <f t="shared" si="9"/>
        <v>0</v>
      </c>
    </row>
    <row r="289" spans="1:24" x14ac:dyDescent="0.35">
      <c r="A289" s="125">
        <v>354</v>
      </c>
      <c r="B289" s="126">
        <v>13</v>
      </c>
      <c r="C289" s="133" t="s">
        <v>45</v>
      </c>
      <c r="D289" s="133" t="s">
        <v>804</v>
      </c>
      <c r="E289" s="133" t="s">
        <v>68</v>
      </c>
      <c r="F289" s="133" t="s">
        <v>700</v>
      </c>
      <c r="G289" s="126">
        <v>8</v>
      </c>
      <c r="H289" s="126">
        <v>153</v>
      </c>
      <c r="I289" s="126">
        <v>426</v>
      </c>
      <c r="J289" s="126">
        <v>273.8</v>
      </c>
      <c r="K289" s="126">
        <v>67.099999999999994</v>
      </c>
      <c r="L289" s="126">
        <v>347</v>
      </c>
      <c r="M289" s="127">
        <v>-7</v>
      </c>
      <c r="N289" s="132">
        <v>294</v>
      </c>
      <c r="O289" s="144"/>
      <c r="W289" s="86">
        <f t="shared" si="8"/>
        <v>0</v>
      </c>
      <c r="X289" s="87">
        <f t="shared" si="9"/>
        <v>0</v>
      </c>
    </row>
    <row r="290" spans="1:24" x14ac:dyDescent="0.35">
      <c r="A290" s="125">
        <v>334</v>
      </c>
      <c r="B290" s="126">
        <v>13</v>
      </c>
      <c r="C290" s="133" t="s">
        <v>45</v>
      </c>
      <c r="D290" s="133" t="s">
        <v>929</v>
      </c>
      <c r="E290" s="133" t="s">
        <v>62</v>
      </c>
      <c r="F290" s="133" t="s">
        <v>630</v>
      </c>
      <c r="G290" s="126">
        <v>8</v>
      </c>
      <c r="H290" s="126">
        <v>206</v>
      </c>
      <c r="I290" s="126">
        <v>328</v>
      </c>
      <c r="J290" s="126">
        <v>280.89999999999998</v>
      </c>
      <c r="K290" s="126">
        <v>29.9</v>
      </c>
      <c r="L290" s="126"/>
      <c r="M290" s="127"/>
      <c r="N290" s="132">
        <v>295</v>
      </c>
      <c r="O290" s="144"/>
      <c r="W290" s="86">
        <f t="shared" si="8"/>
        <v>0</v>
      </c>
      <c r="X290" s="87">
        <f t="shared" si="9"/>
        <v>0</v>
      </c>
    </row>
    <row r="291" spans="1:24" x14ac:dyDescent="0.35">
      <c r="A291" s="128">
        <v>227</v>
      </c>
      <c r="B291" s="129">
        <v>11</v>
      </c>
      <c r="C291" s="134" t="s">
        <v>45</v>
      </c>
      <c r="D291" s="134" t="s">
        <v>465</v>
      </c>
      <c r="E291" s="134" t="s">
        <v>82</v>
      </c>
      <c r="F291" s="134" t="s">
        <v>544</v>
      </c>
      <c r="G291" s="129">
        <v>9</v>
      </c>
      <c r="H291" s="129">
        <v>94</v>
      </c>
      <c r="I291" s="129">
        <v>293</v>
      </c>
      <c r="J291" s="129">
        <v>221.1</v>
      </c>
      <c r="K291" s="129">
        <v>39.9</v>
      </c>
      <c r="L291" s="129">
        <v>279</v>
      </c>
      <c r="M291" s="130">
        <v>52</v>
      </c>
      <c r="N291" s="131">
        <v>296</v>
      </c>
      <c r="O291" s="143"/>
      <c r="W291" s="86">
        <f t="shared" si="8"/>
        <v>0</v>
      </c>
      <c r="X291" s="87">
        <f t="shared" si="9"/>
        <v>0</v>
      </c>
    </row>
    <row r="292" spans="1:24" x14ac:dyDescent="0.35">
      <c r="A292" s="125">
        <v>212</v>
      </c>
      <c r="B292" s="126">
        <v>10</v>
      </c>
      <c r="C292" s="133" t="s">
        <v>45</v>
      </c>
      <c r="D292" s="133" t="s">
        <v>172</v>
      </c>
      <c r="E292" s="133" t="s">
        <v>105</v>
      </c>
      <c r="F292" s="133" t="s">
        <v>499</v>
      </c>
      <c r="G292" s="126">
        <v>13</v>
      </c>
      <c r="H292" s="126">
        <v>61</v>
      </c>
      <c r="I292" s="126">
        <v>271</v>
      </c>
      <c r="J292" s="126">
        <v>200</v>
      </c>
      <c r="K292" s="126">
        <v>35.6</v>
      </c>
      <c r="L292" s="126">
        <v>185</v>
      </c>
      <c r="M292" s="127">
        <v>-27</v>
      </c>
      <c r="N292" s="132">
        <v>297</v>
      </c>
      <c r="O292" s="144"/>
      <c r="W292" s="86">
        <f t="shared" si="8"/>
        <v>0</v>
      </c>
      <c r="X292" s="87">
        <f t="shared" si="9"/>
        <v>0</v>
      </c>
    </row>
    <row r="293" spans="1:24" x14ac:dyDescent="0.35">
      <c r="A293" s="128">
        <v>315</v>
      </c>
      <c r="B293" s="129">
        <v>12</v>
      </c>
      <c r="C293" s="134" t="s">
        <v>45</v>
      </c>
      <c r="D293" s="134" t="s">
        <v>1176</v>
      </c>
      <c r="E293" s="134" t="s">
        <v>157</v>
      </c>
      <c r="F293" s="134" t="s">
        <v>584</v>
      </c>
      <c r="G293" s="129">
        <v>8</v>
      </c>
      <c r="H293" s="129">
        <v>194</v>
      </c>
      <c r="I293" s="129">
        <v>399</v>
      </c>
      <c r="J293" s="129">
        <v>284.10000000000002</v>
      </c>
      <c r="K293" s="129">
        <v>36.700000000000003</v>
      </c>
      <c r="L293" s="129">
        <v>233</v>
      </c>
      <c r="M293" s="130">
        <v>-82</v>
      </c>
      <c r="N293" s="131">
        <v>298</v>
      </c>
      <c r="O293" s="143"/>
      <c r="W293" s="86">
        <f t="shared" si="8"/>
        <v>0</v>
      </c>
      <c r="X293" s="87">
        <f t="shared" si="9"/>
        <v>0</v>
      </c>
    </row>
    <row r="294" spans="1:24" x14ac:dyDescent="0.35">
      <c r="A294" s="125">
        <v>302</v>
      </c>
      <c r="B294" s="126">
        <v>12</v>
      </c>
      <c r="C294" s="133" t="s">
        <v>45</v>
      </c>
      <c r="D294" s="133" t="s">
        <v>545</v>
      </c>
      <c r="E294" s="133" t="s">
        <v>134</v>
      </c>
      <c r="F294" s="133" t="s">
        <v>548</v>
      </c>
      <c r="G294" s="126">
        <v>9</v>
      </c>
      <c r="H294" s="126">
        <v>136</v>
      </c>
      <c r="I294" s="126">
        <v>457</v>
      </c>
      <c r="J294" s="126">
        <v>269.39999999999998</v>
      </c>
      <c r="K294" s="126">
        <v>46.5</v>
      </c>
      <c r="L294" s="126">
        <v>322</v>
      </c>
      <c r="M294" s="127">
        <v>20</v>
      </c>
      <c r="N294" s="132">
        <v>299</v>
      </c>
      <c r="O294" s="144"/>
      <c r="W294" s="86">
        <f t="shared" si="8"/>
        <v>0</v>
      </c>
      <c r="X294" s="87">
        <f t="shared" si="9"/>
        <v>0</v>
      </c>
    </row>
    <row r="295" spans="1:24" x14ac:dyDescent="0.35">
      <c r="A295" s="128">
        <v>273</v>
      </c>
      <c r="B295" s="129">
        <v>12</v>
      </c>
      <c r="C295" s="134" t="s">
        <v>45</v>
      </c>
      <c r="D295" s="134" t="s">
        <v>1148</v>
      </c>
      <c r="E295" s="134" t="s">
        <v>174</v>
      </c>
      <c r="F295" s="134" t="s">
        <v>583</v>
      </c>
      <c r="G295" s="129">
        <v>11</v>
      </c>
      <c r="H295" s="129">
        <v>159</v>
      </c>
      <c r="I295" s="129">
        <v>334</v>
      </c>
      <c r="J295" s="129">
        <v>273.89999999999998</v>
      </c>
      <c r="K295" s="129">
        <v>49</v>
      </c>
      <c r="L295" s="129">
        <v>312</v>
      </c>
      <c r="M295" s="130">
        <v>39</v>
      </c>
      <c r="N295" s="131">
        <v>300</v>
      </c>
      <c r="O295" s="143"/>
      <c r="W295" s="86">
        <f t="shared" si="8"/>
        <v>0</v>
      </c>
      <c r="X295" s="87">
        <f t="shared" si="9"/>
        <v>0</v>
      </c>
    </row>
    <row r="296" spans="1:24" x14ac:dyDescent="0.35">
      <c r="A296" s="125">
        <v>246</v>
      </c>
      <c r="B296" s="126">
        <v>11</v>
      </c>
      <c r="C296" s="133" t="s">
        <v>45</v>
      </c>
      <c r="D296" s="133" t="s">
        <v>1172</v>
      </c>
      <c r="E296" s="133" t="s">
        <v>45</v>
      </c>
      <c r="F296" s="133" t="s">
        <v>524</v>
      </c>
      <c r="G296" s="126">
        <v>9</v>
      </c>
      <c r="H296" s="126">
        <v>121</v>
      </c>
      <c r="I296" s="126">
        <v>279</v>
      </c>
      <c r="J296" s="126">
        <v>231.7</v>
      </c>
      <c r="K296" s="126">
        <v>34.799999999999997</v>
      </c>
      <c r="L296" s="126">
        <v>270</v>
      </c>
      <c r="M296" s="127">
        <v>24</v>
      </c>
      <c r="N296" s="132">
        <v>301</v>
      </c>
      <c r="O296" s="144"/>
      <c r="W296" s="86">
        <f t="shared" si="8"/>
        <v>0</v>
      </c>
      <c r="X296" s="87">
        <f t="shared" si="9"/>
        <v>0</v>
      </c>
    </row>
    <row r="297" spans="1:24" x14ac:dyDescent="0.35">
      <c r="A297" s="128">
        <v>181</v>
      </c>
      <c r="B297" s="129">
        <v>10</v>
      </c>
      <c r="C297" s="134" t="s">
        <v>45</v>
      </c>
      <c r="D297" s="134" t="s">
        <v>1189</v>
      </c>
      <c r="E297" s="134" t="s">
        <v>45</v>
      </c>
      <c r="F297" s="134" t="s">
        <v>441</v>
      </c>
      <c r="G297" s="129">
        <v>10</v>
      </c>
      <c r="H297" s="129">
        <v>89</v>
      </c>
      <c r="I297" s="129">
        <v>292</v>
      </c>
      <c r="J297" s="129">
        <v>179.6</v>
      </c>
      <c r="K297" s="129">
        <v>30.6</v>
      </c>
      <c r="L297" s="129">
        <v>153</v>
      </c>
      <c r="M297" s="130">
        <v>-28</v>
      </c>
      <c r="N297" s="131">
        <v>302</v>
      </c>
      <c r="O297" s="143"/>
      <c r="W297" s="86">
        <f t="shared" si="8"/>
        <v>0</v>
      </c>
      <c r="X297" s="87">
        <f t="shared" si="9"/>
        <v>0</v>
      </c>
    </row>
    <row r="298" spans="1:24" x14ac:dyDescent="0.35">
      <c r="A298" s="125">
        <v>228</v>
      </c>
      <c r="B298" s="126">
        <v>11</v>
      </c>
      <c r="C298" s="133" t="s">
        <v>45</v>
      </c>
      <c r="D298" s="133" t="s">
        <v>582</v>
      </c>
      <c r="E298" s="133" t="s">
        <v>179</v>
      </c>
      <c r="F298" s="133" t="s">
        <v>483</v>
      </c>
      <c r="G298" s="126">
        <v>11</v>
      </c>
      <c r="H298" s="126">
        <v>143</v>
      </c>
      <c r="I298" s="126">
        <v>334</v>
      </c>
      <c r="J298" s="126">
        <v>238.1</v>
      </c>
      <c r="K298" s="126">
        <v>46.9</v>
      </c>
      <c r="L298" s="126">
        <v>240</v>
      </c>
      <c r="M298" s="127">
        <v>12</v>
      </c>
      <c r="N298" s="132">
        <v>305</v>
      </c>
      <c r="O298" s="144"/>
      <c r="W298" s="86">
        <f t="shared" si="8"/>
        <v>0</v>
      </c>
      <c r="X298" s="87">
        <f t="shared" si="9"/>
        <v>0</v>
      </c>
    </row>
    <row r="299" spans="1:24" x14ac:dyDescent="0.35">
      <c r="A299" s="128">
        <v>295</v>
      </c>
      <c r="B299" s="129">
        <v>12</v>
      </c>
      <c r="C299" s="134" t="s">
        <v>45</v>
      </c>
      <c r="D299" s="134" t="s">
        <v>1269</v>
      </c>
      <c r="E299" s="134" t="s">
        <v>59</v>
      </c>
      <c r="F299" s="134" t="s">
        <v>595</v>
      </c>
      <c r="G299" s="129">
        <v>10</v>
      </c>
      <c r="H299" s="129">
        <v>142</v>
      </c>
      <c r="I299" s="129">
        <v>351</v>
      </c>
      <c r="J299" s="129">
        <v>281</v>
      </c>
      <c r="K299" s="129">
        <v>50.6</v>
      </c>
      <c r="L299" s="129">
        <v>301</v>
      </c>
      <c r="M299" s="130">
        <v>6</v>
      </c>
      <c r="N299" s="131">
        <v>306</v>
      </c>
      <c r="O299" s="143"/>
      <c r="W299" s="86">
        <f t="shared" si="8"/>
        <v>0</v>
      </c>
      <c r="X299" s="87">
        <f t="shared" si="9"/>
        <v>0</v>
      </c>
    </row>
    <row r="300" spans="1:24" x14ac:dyDescent="0.35">
      <c r="A300" s="125">
        <v>264</v>
      </c>
      <c r="B300" s="126">
        <v>11</v>
      </c>
      <c r="C300" s="133" t="s">
        <v>45</v>
      </c>
      <c r="D300" s="133" t="s">
        <v>676</v>
      </c>
      <c r="E300" s="133" t="s">
        <v>88</v>
      </c>
      <c r="F300" s="133" t="s">
        <v>567</v>
      </c>
      <c r="G300" s="126">
        <v>10</v>
      </c>
      <c r="H300" s="126">
        <v>164</v>
      </c>
      <c r="I300" s="126">
        <v>312</v>
      </c>
      <c r="J300" s="126">
        <v>252</v>
      </c>
      <c r="K300" s="126">
        <v>35.5</v>
      </c>
      <c r="L300" s="126">
        <v>295</v>
      </c>
      <c r="M300" s="127">
        <v>31</v>
      </c>
      <c r="N300" s="132">
        <v>307</v>
      </c>
      <c r="O300" s="144"/>
      <c r="W300" s="86">
        <f t="shared" si="8"/>
        <v>0</v>
      </c>
      <c r="X300" s="87">
        <f t="shared" si="9"/>
        <v>0</v>
      </c>
    </row>
    <row r="301" spans="1:24" x14ac:dyDescent="0.35">
      <c r="A301" s="125">
        <v>396</v>
      </c>
      <c r="B301" s="126">
        <v>14</v>
      </c>
      <c r="C301" s="133" t="s">
        <v>45</v>
      </c>
      <c r="D301" s="133" t="s">
        <v>1333</v>
      </c>
      <c r="E301" s="133" t="s">
        <v>174</v>
      </c>
      <c r="F301" s="133" t="s">
        <v>790</v>
      </c>
      <c r="G301" s="126">
        <v>11</v>
      </c>
      <c r="H301" s="126">
        <v>233</v>
      </c>
      <c r="I301" s="126">
        <v>371</v>
      </c>
      <c r="J301" s="126">
        <v>326.39999999999998</v>
      </c>
      <c r="K301" s="126">
        <v>41.6</v>
      </c>
      <c r="L301" s="126"/>
      <c r="M301" s="127"/>
      <c r="N301" s="132">
        <v>308</v>
      </c>
      <c r="O301" s="144"/>
      <c r="W301" s="86">
        <f t="shared" si="8"/>
        <v>0</v>
      </c>
      <c r="X301" s="87">
        <f t="shared" si="9"/>
        <v>0</v>
      </c>
    </row>
    <row r="302" spans="1:24" x14ac:dyDescent="0.35">
      <c r="A302" s="125">
        <v>356</v>
      </c>
      <c r="B302" s="126">
        <v>13</v>
      </c>
      <c r="C302" s="133" t="s">
        <v>45</v>
      </c>
      <c r="D302" s="133" t="s">
        <v>655</v>
      </c>
      <c r="E302" s="133" t="s">
        <v>56</v>
      </c>
      <c r="F302" s="133" t="s">
        <v>719</v>
      </c>
      <c r="G302" s="126">
        <v>6</v>
      </c>
      <c r="H302" s="126">
        <v>233</v>
      </c>
      <c r="I302" s="126">
        <v>353</v>
      </c>
      <c r="J302" s="126">
        <v>307.60000000000002</v>
      </c>
      <c r="K302" s="126">
        <v>32</v>
      </c>
      <c r="L302" s="126"/>
      <c r="M302" s="127"/>
      <c r="N302" s="132">
        <v>309</v>
      </c>
      <c r="O302" s="144"/>
      <c r="W302" s="86">
        <f t="shared" si="8"/>
        <v>0</v>
      </c>
      <c r="X302" s="87">
        <f t="shared" si="9"/>
        <v>0</v>
      </c>
    </row>
    <row r="303" spans="1:24" x14ac:dyDescent="0.35">
      <c r="A303" s="128">
        <v>287</v>
      </c>
      <c r="B303" s="129">
        <v>12</v>
      </c>
      <c r="C303" s="134" t="s">
        <v>45</v>
      </c>
      <c r="D303" s="134" t="s">
        <v>902</v>
      </c>
      <c r="E303" s="134" t="s">
        <v>102</v>
      </c>
      <c r="F303" s="134" t="s">
        <v>636</v>
      </c>
      <c r="G303" s="129">
        <v>7</v>
      </c>
      <c r="H303" s="129">
        <v>187</v>
      </c>
      <c r="I303" s="129">
        <v>330</v>
      </c>
      <c r="J303" s="129">
        <v>273</v>
      </c>
      <c r="K303" s="129">
        <v>30.2</v>
      </c>
      <c r="L303" s="129">
        <v>328</v>
      </c>
      <c r="M303" s="130">
        <v>41</v>
      </c>
      <c r="N303" s="131">
        <v>310</v>
      </c>
      <c r="O303" s="143"/>
      <c r="W303" s="86">
        <f t="shared" si="8"/>
        <v>0</v>
      </c>
      <c r="X303" s="87">
        <f t="shared" si="9"/>
        <v>0</v>
      </c>
    </row>
    <row r="304" spans="1:24" x14ac:dyDescent="0.35">
      <c r="A304" s="125">
        <v>362</v>
      </c>
      <c r="B304" s="126">
        <v>13</v>
      </c>
      <c r="C304" s="133" t="s">
        <v>45</v>
      </c>
      <c r="D304" s="133" t="s">
        <v>560</v>
      </c>
      <c r="E304" s="133" t="s">
        <v>134</v>
      </c>
      <c r="F304" s="133" t="s">
        <v>732</v>
      </c>
      <c r="G304" s="126">
        <v>9</v>
      </c>
      <c r="H304" s="126">
        <v>248</v>
      </c>
      <c r="I304" s="126">
        <v>396</v>
      </c>
      <c r="J304" s="126">
        <v>321.2</v>
      </c>
      <c r="K304" s="126">
        <v>41.3</v>
      </c>
      <c r="L304" s="126"/>
      <c r="M304" s="127"/>
      <c r="N304" s="132">
        <v>311</v>
      </c>
      <c r="O304" s="144"/>
      <c r="W304" s="86">
        <f t="shared" si="8"/>
        <v>0</v>
      </c>
      <c r="X304" s="87">
        <f t="shared" si="9"/>
        <v>0</v>
      </c>
    </row>
    <row r="305" spans="1:24" x14ac:dyDescent="0.35">
      <c r="A305" s="125">
        <v>336</v>
      </c>
      <c r="B305" s="126">
        <v>13</v>
      </c>
      <c r="C305" s="133" t="s">
        <v>45</v>
      </c>
      <c r="D305" s="133" t="s">
        <v>1260</v>
      </c>
      <c r="E305" s="133" t="s">
        <v>68</v>
      </c>
      <c r="F305" s="133" t="s">
        <v>697</v>
      </c>
      <c r="G305" s="126">
        <v>8</v>
      </c>
      <c r="H305" s="126">
        <v>173</v>
      </c>
      <c r="I305" s="126">
        <v>364</v>
      </c>
      <c r="J305" s="126">
        <v>286.3</v>
      </c>
      <c r="K305" s="126">
        <v>51.7</v>
      </c>
      <c r="L305" s="126">
        <v>294</v>
      </c>
      <c r="M305" s="127">
        <v>-42</v>
      </c>
      <c r="N305" s="132">
        <v>312</v>
      </c>
      <c r="O305" s="144"/>
      <c r="W305" s="86">
        <f t="shared" si="8"/>
        <v>0</v>
      </c>
      <c r="X305" s="87">
        <f t="shared" si="9"/>
        <v>0</v>
      </c>
    </row>
    <row r="306" spans="1:24" x14ac:dyDescent="0.35">
      <c r="A306" s="128">
        <v>327</v>
      </c>
      <c r="B306" s="129">
        <v>12</v>
      </c>
      <c r="C306" s="134" t="s">
        <v>45</v>
      </c>
      <c r="D306" s="134" t="s">
        <v>566</v>
      </c>
      <c r="E306" s="134" t="s">
        <v>108</v>
      </c>
      <c r="F306" s="134" t="s">
        <v>681</v>
      </c>
      <c r="G306" s="129">
        <v>7</v>
      </c>
      <c r="H306" s="129">
        <v>209</v>
      </c>
      <c r="I306" s="129">
        <v>364</v>
      </c>
      <c r="J306" s="129">
        <v>292.5</v>
      </c>
      <c r="K306" s="129">
        <v>33</v>
      </c>
      <c r="L306" s="129"/>
      <c r="M306" s="130"/>
      <c r="N306" s="131">
        <v>313</v>
      </c>
      <c r="O306" s="143"/>
      <c r="W306" s="86">
        <f t="shared" si="8"/>
        <v>0</v>
      </c>
      <c r="X306" s="87">
        <f t="shared" si="9"/>
        <v>0</v>
      </c>
    </row>
    <row r="307" spans="1:24" x14ac:dyDescent="0.35">
      <c r="A307" s="128">
        <v>249</v>
      </c>
      <c r="B307" s="129">
        <v>11</v>
      </c>
      <c r="C307" s="134" t="s">
        <v>45</v>
      </c>
      <c r="D307" s="134" t="s">
        <v>414</v>
      </c>
      <c r="E307" s="134" t="s">
        <v>174</v>
      </c>
      <c r="F307" s="134" t="s">
        <v>547</v>
      </c>
      <c r="G307" s="129">
        <v>11</v>
      </c>
      <c r="H307" s="129">
        <v>144</v>
      </c>
      <c r="I307" s="129">
        <v>351</v>
      </c>
      <c r="J307" s="129">
        <v>244.9</v>
      </c>
      <c r="K307" s="129">
        <v>41.3</v>
      </c>
      <c r="L307" s="129">
        <v>304</v>
      </c>
      <c r="M307" s="130">
        <v>55</v>
      </c>
      <c r="N307" s="131">
        <v>314</v>
      </c>
      <c r="O307" s="143"/>
      <c r="W307" s="86">
        <f t="shared" si="8"/>
        <v>0</v>
      </c>
      <c r="X307" s="87">
        <f t="shared" si="9"/>
        <v>0</v>
      </c>
    </row>
    <row r="308" spans="1:24" x14ac:dyDescent="0.35">
      <c r="A308" s="128">
        <v>341</v>
      </c>
      <c r="B308" s="129">
        <v>13</v>
      </c>
      <c r="C308" s="134" t="s">
        <v>45</v>
      </c>
      <c r="D308" s="134" t="s">
        <v>699</v>
      </c>
      <c r="E308" s="134" t="s">
        <v>80</v>
      </c>
      <c r="F308" s="134" t="s">
        <v>673</v>
      </c>
      <c r="G308" s="129">
        <v>9</v>
      </c>
      <c r="H308" s="129">
        <v>221</v>
      </c>
      <c r="I308" s="129">
        <v>340</v>
      </c>
      <c r="J308" s="129">
        <v>272.7</v>
      </c>
      <c r="K308" s="129">
        <v>37.200000000000003</v>
      </c>
      <c r="L308" s="129">
        <v>246</v>
      </c>
      <c r="M308" s="130">
        <v>-95</v>
      </c>
      <c r="N308" s="131">
        <v>315</v>
      </c>
      <c r="O308" s="143"/>
      <c r="W308" s="86">
        <f t="shared" si="8"/>
        <v>0</v>
      </c>
      <c r="X308" s="87">
        <f t="shared" si="9"/>
        <v>0</v>
      </c>
    </row>
    <row r="309" spans="1:24" x14ac:dyDescent="0.35">
      <c r="A309" s="125">
        <v>322</v>
      </c>
      <c r="B309" s="126">
        <v>12</v>
      </c>
      <c r="C309" s="133" t="s">
        <v>45</v>
      </c>
      <c r="D309" s="133" t="s">
        <v>948</v>
      </c>
      <c r="E309" s="133" t="s">
        <v>62</v>
      </c>
      <c r="F309" s="133" t="s">
        <v>626</v>
      </c>
      <c r="G309" s="126">
        <v>8</v>
      </c>
      <c r="H309" s="126">
        <v>173</v>
      </c>
      <c r="I309" s="126">
        <v>334</v>
      </c>
      <c r="J309" s="126">
        <v>259.8</v>
      </c>
      <c r="K309" s="126">
        <v>44.3</v>
      </c>
      <c r="L309" s="126">
        <v>326</v>
      </c>
      <c r="M309" s="127">
        <v>4</v>
      </c>
      <c r="N309" s="132">
        <v>316</v>
      </c>
      <c r="O309" s="144"/>
      <c r="W309" s="86">
        <f t="shared" si="8"/>
        <v>0</v>
      </c>
      <c r="X309" s="87">
        <f t="shared" si="9"/>
        <v>0</v>
      </c>
    </row>
    <row r="310" spans="1:24" x14ac:dyDescent="0.35">
      <c r="A310" s="125">
        <v>392</v>
      </c>
      <c r="B310" s="126">
        <v>14</v>
      </c>
      <c r="C310" s="133" t="s">
        <v>45</v>
      </c>
      <c r="D310" s="133" t="s">
        <v>1006</v>
      </c>
      <c r="E310" s="133" t="s">
        <v>184</v>
      </c>
      <c r="F310" s="133" t="s">
        <v>760</v>
      </c>
      <c r="G310" s="126">
        <v>8</v>
      </c>
      <c r="H310" s="126">
        <v>204</v>
      </c>
      <c r="I310" s="126">
        <v>431</v>
      </c>
      <c r="J310" s="126">
        <v>313.89999999999998</v>
      </c>
      <c r="K310" s="126">
        <v>60.4</v>
      </c>
      <c r="L310" s="126">
        <v>339</v>
      </c>
      <c r="M310" s="127">
        <v>-53</v>
      </c>
      <c r="N310" s="132">
        <v>317</v>
      </c>
      <c r="O310" s="144"/>
      <c r="W310" s="86">
        <f t="shared" si="8"/>
        <v>0</v>
      </c>
      <c r="X310" s="87">
        <f t="shared" si="9"/>
        <v>0</v>
      </c>
    </row>
    <row r="311" spans="1:24" x14ac:dyDescent="0.35">
      <c r="A311" s="128">
        <v>205</v>
      </c>
      <c r="B311" s="129">
        <v>10</v>
      </c>
      <c r="C311" s="134" t="s">
        <v>45</v>
      </c>
      <c r="D311" s="134" t="s">
        <v>640</v>
      </c>
      <c r="E311" s="134" t="s">
        <v>65</v>
      </c>
      <c r="F311" s="134" t="s">
        <v>460</v>
      </c>
      <c r="G311" s="129">
        <v>5</v>
      </c>
      <c r="H311" s="129">
        <v>118</v>
      </c>
      <c r="I311" s="129">
        <v>304</v>
      </c>
      <c r="J311" s="129">
        <v>204</v>
      </c>
      <c r="K311" s="129">
        <v>43.5</v>
      </c>
      <c r="L311" s="129">
        <v>257</v>
      </c>
      <c r="M311" s="130">
        <v>52</v>
      </c>
      <c r="N311" s="131">
        <v>318</v>
      </c>
      <c r="O311" s="143"/>
      <c r="W311" s="86">
        <f t="shared" si="8"/>
        <v>0</v>
      </c>
      <c r="X311" s="87">
        <f t="shared" si="9"/>
        <v>0</v>
      </c>
    </row>
    <row r="312" spans="1:24" x14ac:dyDescent="0.35">
      <c r="A312" s="125">
        <v>370</v>
      </c>
      <c r="B312" s="126">
        <v>13</v>
      </c>
      <c r="C312" s="133" t="s">
        <v>45</v>
      </c>
      <c r="D312" s="133" t="s">
        <v>1370</v>
      </c>
      <c r="E312" s="133" t="s">
        <v>134</v>
      </c>
      <c r="F312" s="133" t="s">
        <v>739</v>
      </c>
      <c r="G312" s="126">
        <v>9</v>
      </c>
      <c r="H312" s="126">
        <v>218</v>
      </c>
      <c r="I312" s="126">
        <v>384</v>
      </c>
      <c r="J312" s="126">
        <v>311.10000000000002</v>
      </c>
      <c r="K312" s="126">
        <v>41.9</v>
      </c>
      <c r="L312" s="126">
        <v>235</v>
      </c>
      <c r="M312" s="127">
        <v>-135</v>
      </c>
      <c r="N312" s="132">
        <v>319</v>
      </c>
      <c r="O312" s="144"/>
      <c r="W312" s="86">
        <f t="shared" si="8"/>
        <v>0</v>
      </c>
      <c r="X312" s="87">
        <f t="shared" si="9"/>
        <v>0</v>
      </c>
    </row>
    <row r="313" spans="1:24" x14ac:dyDescent="0.35">
      <c r="A313" s="128">
        <v>345</v>
      </c>
      <c r="B313" s="129">
        <v>13</v>
      </c>
      <c r="C313" s="134" t="s">
        <v>45</v>
      </c>
      <c r="D313" s="134" t="s">
        <v>390</v>
      </c>
      <c r="E313" s="134" t="s">
        <v>1222</v>
      </c>
      <c r="F313" s="134" t="s">
        <v>722</v>
      </c>
      <c r="G313" s="129">
        <v>6</v>
      </c>
      <c r="H313" s="129">
        <v>157</v>
      </c>
      <c r="I313" s="129">
        <v>386</v>
      </c>
      <c r="J313" s="129">
        <v>307.2</v>
      </c>
      <c r="K313" s="129">
        <v>54.7</v>
      </c>
      <c r="L313" s="129">
        <v>329</v>
      </c>
      <c r="M313" s="130">
        <v>-16</v>
      </c>
      <c r="N313" s="131">
        <v>320</v>
      </c>
      <c r="O313" s="143"/>
      <c r="W313" s="86">
        <f t="shared" si="8"/>
        <v>0</v>
      </c>
      <c r="X313" s="87">
        <f t="shared" si="9"/>
        <v>0</v>
      </c>
    </row>
    <row r="314" spans="1:24" x14ac:dyDescent="0.35">
      <c r="A314" s="125">
        <v>318</v>
      </c>
      <c r="B314" s="126">
        <v>12</v>
      </c>
      <c r="C314" s="133" t="s">
        <v>45</v>
      </c>
      <c r="D314" s="133" t="s">
        <v>1252</v>
      </c>
      <c r="E314" s="133" t="s">
        <v>119</v>
      </c>
      <c r="F314" s="133" t="s">
        <v>654</v>
      </c>
      <c r="G314" s="126">
        <v>6</v>
      </c>
      <c r="H314" s="126">
        <v>147</v>
      </c>
      <c r="I314" s="126">
        <v>357</v>
      </c>
      <c r="J314" s="126">
        <v>294.5</v>
      </c>
      <c r="K314" s="126">
        <v>42</v>
      </c>
      <c r="L314" s="126">
        <v>291</v>
      </c>
      <c r="M314" s="127">
        <v>-27</v>
      </c>
      <c r="N314" s="132">
        <v>321</v>
      </c>
      <c r="O314" s="144"/>
      <c r="W314" s="86">
        <f t="shared" si="8"/>
        <v>0</v>
      </c>
      <c r="X314" s="87">
        <f t="shared" si="9"/>
        <v>0</v>
      </c>
    </row>
    <row r="315" spans="1:24" x14ac:dyDescent="0.35">
      <c r="A315" s="128">
        <v>331</v>
      </c>
      <c r="B315" s="129">
        <v>13</v>
      </c>
      <c r="C315" s="134" t="s">
        <v>45</v>
      </c>
      <c r="D315" s="134" t="s">
        <v>251</v>
      </c>
      <c r="E315" s="134" t="s">
        <v>56</v>
      </c>
      <c r="F315" s="134" t="s">
        <v>710</v>
      </c>
      <c r="G315" s="129">
        <v>6</v>
      </c>
      <c r="H315" s="129">
        <v>207</v>
      </c>
      <c r="I315" s="129">
        <v>374</v>
      </c>
      <c r="J315" s="129">
        <v>299.8</v>
      </c>
      <c r="K315" s="129">
        <v>49.9</v>
      </c>
      <c r="L315" s="129">
        <v>346</v>
      </c>
      <c r="M315" s="130">
        <v>15</v>
      </c>
      <c r="N315" s="131">
        <v>322</v>
      </c>
      <c r="O315" s="143"/>
      <c r="W315" s="86">
        <f t="shared" si="8"/>
        <v>0</v>
      </c>
      <c r="X315" s="87">
        <f t="shared" si="9"/>
        <v>0</v>
      </c>
    </row>
    <row r="316" spans="1:24" x14ac:dyDescent="0.35">
      <c r="A316" s="125">
        <v>422</v>
      </c>
      <c r="B316" s="126">
        <v>14</v>
      </c>
      <c r="C316" s="133" t="s">
        <v>45</v>
      </c>
      <c r="D316" s="133" t="s">
        <v>576</v>
      </c>
      <c r="E316" s="133" t="s">
        <v>85</v>
      </c>
      <c r="F316" s="133" t="s">
        <v>807</v>
      </c>
      <c r="G316" s="126">
        <v>9</v>
      </c>
      <c r="H316" s="126">
        <v>274</v>
      </c>
      <c r="I316" s="126">
        <v>429</v>
      </c>
      <c r="J316" s="126">
        <v>338.6</v>
      </c>
      <c r="K316" s="126">
        <v>53.9</v>
      </c>
      <c r="L316" s="126"/>
      <c r="M316" s="127"/>
      <c r="N316" s="132">
        <v>323</v>
      </c>
      <c r="O316" s="144"/>
      <c r="W316" s="86">
        <f t="shared" si="8"/>
        <v>0</v>
      </c>
      <c r="X316" s="87">
        <f t="shared" si="9"/>
        <v>0</v>
      </c>
    </row>
    <row r="317" spans="1:24" x14ac:dyDescent="0.35">
      <c r="A317" s="125">
        <v>238</v>
      </c>
      <c r="B317" s="126">
        <v>11</v>
      </c>
      <c r="C317" s="133" t="s">
        <v>45</v>
      </c>
      <c r="D317" s="133" t="s">
        <v>503</v>
      </c>
      <c r="E317" s="133" t="s">
        <v>157</v>
      </c>
      <c r="F317" s="133" t="s">
        <v>504</v>
      </c>
      <c r="G317" s="126">
        <v>8</v>
      </c>
      <c r="H317" s="126">
        <v>115</v>
      </c>
      <c r="I317" s="126">
        <v>332</v>
      </c>
      <c r="J317" s="126">
        <v>220.9</v>
      </c>
      <c r="K317" s="126">
        <v>50.3</v>
      </c>
      <c r="L317" s="126">
        <v>224</v>
      </c>
      <c r="M317" s="127">
        <v>-14</v>
      </c>
      <c r="N317" s="132">
        <v>324</v>
      </c>
      <c r="O317" s="144"/>
      <c r="W317" s="86">
        <f t="shared" si="8"/>
        <v>0</v>
      </c>
      <c r="X317" s="87">
        <f t="shared" si="9"/>
        <v>0</v>
      </c>
    </row>
    <row r="318" spans="1:24" x14ac:dyDescent="0.35">
      <c r="A318" s="128">
        <v>443</v>
      </c>
      <c r="B318" s="129">
        <v>14</v>
      </c>
      <c r="C318" s="134" t="s">
        <v>45</v>
      </c>
      <c r="D318" s="134" t="s">
        <v>1004</v>
      </c>
      <c r="E318" s="134" t="s">
        <v>85</v>
      </c>
      <c r="F318" s="134" t="s">
        <v>928</v>
      </c>
      <c r="G318" s="129">
        <v>9</v>
      </c>
      <c r="H318" s="129">
        <v>238</v>
      </c>
      <c r="I318" s="129">
        <v>415</v>
      </c>
      <c r="J318" s="129">
        <v>330.3</v>
      </c>
      <c r="K318" s="129">
        <v>72.5</v>
      </c>
      <c r="L318" s="129"/>
      <c r="M318" s="130"/>
      <c r="N318" s="131">
        <v>326</v>
      </c>
      <c r="O318" s="143"/>
      <c r="W318" s="86">
        <f t="shared" si="8"/>
        <v>0</v>
      </c>
      <c r="X318" s="87">
        <f t="shared" si="9"/>
        <v>0</v>
      </c>
    </row>
    <row r="319" spans="1:24" x14ac:dyDescent="0.35">
      <c r="A319" s="125">
        <v>262</v>
      </c>
      <c r="B319" s="126">
        <v>11</v>
      </c>
      <c r="C319" s="133" t="s">
        <v>45</v>
      </c>
      <c r="D319" s="133" t="s">
        <v>247</v>
      </c>
      <c r="E319" s="133" t="s">
        <v>85</v>
      </c>
      <c r="F319" s="133" t="s">
        <v>589</v>
      </c>
      <c r="G319" s="126">
        <v>9</v>
      </c>
      <c r="H319" s="126">
        <v>116</v>
      </c>
      <c r="I319" s="126">
        <v>293</v>
      </c>
      <c r="J319" s="126">
        <v>235.5</v>
      </c>
      <c r="K319" s="126">
        <v>39.1</v>
      </c>
      <c r="L319" s="126">
        <v>259</v>
      </c>
      <c r="M319" s="127">
        <v>-3</v>
      </c>
      <c r="N319" s="132">
        <v>327</v>
      </c>
      <c r="O319" s="144"/>
      <c r="W319" s="86">
        <f t="shared" si="8"/>
        <v>0</v>
      </c>
      <c r="X319" s="87">
        <f t="shared" si="9"/>
        <v>0</v>
      </c>
    </row>
    <row r="320" spans="1:24" x14ac:dyDescent="0.35">
      <c r="A320" s="128">
        <v>347</v>
      </c>
      <c r="B320" s="129">
        <v>13</v>
      </c>
      <c r="C320" s="134" t="s">
        <v>45</v>
      </c>
      <c r="D320" s="134" t="s">
        <v>1329</v>
      </c>
      <c r="E320" s="134" t="s">
        <v>119</v>
      </c>
      <c r="F320" s="134" t="s">
        <v>675</v>
      </c>
      <c r="G320" s="129">
        <v>6</v>
      </c>
      <c r="H320" s="129">
        <v>166</v>
      </c>
      <c r="I320" s="129">
        <v>349</v>
      </c>
      <c r="J320" s="129">
        <v>270</v>
      </c>
      <c r="K320" s="129">
        <v>57.8</v>
      </c>
      <c r="L320" s="129">
        <v>266</v>
      </c>
      <c r="M320" s="130">
        <v>-81</v>
      </c>
      <c r="N320" s="131">
        <v>328</v>
      </c>
      <c r="O320" s="143"/>
      <c r="W320" s="86">
        <f t="shared" si="8"/>
        <v>0</v>
      </c>
      <c r="X320" s="87">
        <f t="shared" si="9"/>
        <v>0</v>
      </c>
    </row>
    <row r="321" spans="1:24" x14ac:dyDescent="0.35">
      <c r="A321" s="125">
        <v>440</v>
      </c>
      <c r="B321" s="126">
        <v>14</v>
      </c>
      <c r="C321" s="133" t="s">
        <v>45</v>
      </c>
      <c r="D321" s="133" t="s">
        <v>339</v>
      </c>
      <c r="E321" s="133" t="s">
        <v>97</v>
      </c>
      <c r="F321" s="133" t="s">
        <v>924</v>
      </c>
      <c r="G321" s="126">
        <v>11</v>
      </c>
      <c r="H321" s="126">
        <v>279</v>
      </c>
      <c r="I321" s="126">
        <v>425</v>
      </c>
      <c r="J321" s="126">
        <v>367.4</v>
      </c>
      <c r="K321" s="126">
        <v>43.4</v>
      </c>
      <c r="L321" s="126"/>
      <c r="M321" s="127"/>
      <c r="N321" s="132">
        <v>329</v>
      </c>
      <c r="O321" s="144"/>
      <c r="W321" s="86">
        <f t="shared" si="8"/>
        <v>0</v>
      </c>
      <c r="X321" s="87">
        <f t="shared" si="9"/>
        <v>0</v>
      </c>
    </row>
    <row r="322" spans="1:24" x14ac:dyDescent="0.35">
      <c r="A322" s="128">
        <v>361</v>
      </c>
      <c r="B322" s="129">
        <v>13</v>
      </c>
      <c r="C322" s="134" t="s">
        <v>45</v>
      </c>
      <c r="D322" s="134" t="s">
        <v>940</v>
      </c>
      <c r="E322" s="134" t="s">
        <v>157</v>
      </c>
      <c r="F322" s="134" t="s">
        <v>711</v>
      </c>
      <c r="G322" s="129">
        <v>8</v>
      </c>
      <c r="H322" s="129">
        <v>181</v>
      </c>
      <c r="I322" s="129">
        <v>403</v>
      </c>
      <c r="J322" s="129">
        <v>296.5</v>
      </c>
      <c r="K322" s="129">
        <v>47.5</v>
      </c>
      <c r="L322" s="129"/>
      <c r="M322" s="130"/>
      <c r="N322" s="131">
        <v>330</v>
      </c>
      <c r="O322" s="143"/>
      <c r="W322" s="86">
        <f t="shared" si="8"/>
        <v>0</v>
      </c>
      <c r="X322" s="87">
        <f t="shared" si="9"/>
        <v>0</v>
      </c>
    </row>
    <row r="323" spans="1:24" x14ac:dyDescent="0.35">
      <c r="A323" s="128">
        <v>285</v>
      </c>
      <c r="B323" s="129">
        <v>12</v>
      </c>
      <c r="C323" s="134" t="s">
        <v>45</v>
      </c>
      <c r="D323" s="134" t="s">
        <v>318</v>
      </c>
      <c r="E323" s="134" t="s">
        <v>74</v>
      </c>
      <c r="F323" s="134" t="s">
        <v>610</v>
      </c>
      <c r="G323" s="129">
        <v>8</v>
      </c>
      <c r="H323" s="129">
        <v>134</v>
      </c>
      <c r="I323" s="129">
        <v>340</v>
      </c>
      <c r="J323" s="129">
        <v>255.7</v>
      </c>
      <c r="K323" s="129">
        <v>36.799999999999997</v>
      </c>
      <c r="L323" s="129">
        <v>289</v>
      </c>
      <c r="M323" s="130">
        <v>4</v>
      </c>
      <c r="N323" s="131">
        <v>331</v>
      </c>
      <c r="O323" s="143"/>
      <c r="W323" s="86">
        <f t="shared" ref="W323:W386" si="10">IF(LEFT(F323,1)="K",J323,0)</f>
        <v>0</v>
      </c>
      <c r="X323" s="87">
        <f t="shared" ref="X323:X386" si="11">IF(LEFT(F323,1)="K",K323,0)</f>
        <v>0</v>
      </c>
    </row>
    <row r="324" spans="1:24" x14ac:dyDescent="0.35">
      <c r="A324" s="128">
        <v>313</v>
      </c>
      <c r="B324" s="129">
        <v>12</v>
      </c>
      <c r="C324" s="134" t="s">
        <v>45</v>
      </c>
      <c r="D324" s="134" t="s">
        <v>509</v>
      </c>
      <c r="E324" s="134" t="s">
        <v>105</v>
      </c>
      <c r="F324" s="134" t="s">
        <v>615</v>
      </c>
      <c r="G324" s="129">
        <v>13</v>
      </c>
      <c r="H324" s="129">
        <v>202</v>
      </c>
      <c r="I324" s="129">
        <v>365</v>
      </c>
      <c r="J324" s="129">
        <v>279.5</v>
      </c>
      <c r="K324" s="129">
        <v>27</v>
      </c>
      <c r="L324" s="129">
        <v>310</v>
      </c>
      <c r="M324" s="130">
        <v>-3</v>
      </c>
      <c r="N324" s="131">
        <v>332</v>
      </c>
      <c r="O324" s="143"/>
      <c r="W324" s="86">
        <f t="shared" si="10"/>
        <v>0</v>
      </c>
      <c r="X324" s="87">
        <f t="shared" si="11"/>
        <v>0</v>
      </c>
    </row>
    <row r="325" spans="1:24" x14ac:dyDescent="0.35">
      <c r="A325" s="128">
        <v>337</v>
      </c>
      <c r="B325" s="129">
        <v>13</v>
      </c>
      <c r="C325" s="134" t="s">
        <v>45</v>
      </c>
      <c r="D325" s="134" t="s">
        <v>297</v>
      </c>
      <c r="E325" s="134" t="s">
        <v>108</v>
      </c>
      <c r="F325" s="134" t="s">
        <v>641</v>
      </c>
      <c r="G325" s="129">
        <v>7</v>
      </c>
      <c r="H325" s="129">
        <v>170</v>
      </c>
      <c r="I325" s="129">
        <v>343</v>
      </c>
      <c r="J325" s="129">
        <v>275</v>
      </c>
      <c r="K325" s="129">
        <v>38.299999999999997</v>
      </c>
      <c r="L325" s="129">
        <v>325</v>
      </c>
      <c r="M325" s="130">
        <v>-12</v>
      </c>
      <c r="N325" s="131">
        <v>333</v>
      </c>
      <c r="O325" s="143"/>
      <c r="W325" s="86">
        <f t="shared" si="10"/>
        <v>0</v>
      </c>
      <c r="X325" s="87">
        <f t="shared" si="11"/>
        <v>0</v>
      </c>
    </row>
    <row r="326" spans="1:24" x14ac:dyDescent="0.35">
      <c r="A326" s="128">
        <v>409</v>
      </c>
      <c r="B326" s="129">
        <v>14</v>
      </c>
      <c r="C326" s="134" t="s">
        <v>45</v>
      </c>
      <c r="D326" s="134" t="s">
        <v>946</v>
      </c>
      <c r="E326" s="134" t="s">
        <v>122</v>
      </c>
      <c r="F326" s="134" t="s">
        <v>778</v>
      </c>
      <c r="G326" s="129">
        <v>7</v>
      </c>
      <c r="H326" s="129">
        <v>241</v>
      </c>
      <c r="I326" s="129">
        <v>432</v>
      </c>
      <c r="J326" s="129">
        <v>306</v>
      </c>
      <c r="K326" s="129">
        <v>70.5</v>
      </c>
      <c r="L326" s="129"/>
      <c r="M326" s="130"/>
      <c r="N326" s="131">
        <v>334</v>
      </c>
      <c r="O326" s="143"/>
      <c r="W326" s="86">
        <f t="shared" si="10"/>
        <v>0</v>
      </c>
      <c r="X326" s="87">
        <f t="shared" si="11"/>
        <v>0</v>
      </c>
    </row>
    <row r="327" spans="1:24" x14ac:dyDescent="0.35">
      <c r="A327" s="128">
        <v>357</v>
      </c>
      <c r="B327" s="129">
        <v>13</v>
      </c>
      <c r="C327" s="134" t="s">
        <v>45</v>
      </c>
      <c r="D327" s="134" t="s">
        <v>1262</v>
      </c>
      <c r="E327" s="134" t="s">
        <v>174</v>
      </c>
      <c r="F327" s="134" t="s">
        <v>704</v>
      </c>
      <c r="G327" s="129">
        <v>11</v>
      </c>
      <c r="H327" s="129">
        <v>178</v>
      </c>
      <c r="I327" s="129">
        <v>361</v>
      </c>
      <c r="J327" s="129">
        <v>303.2</v>
      </c>
      <c r="K327" s="129">
        <v>43.7</v>
      </c>
      <c r="L327" s="129">
        <v>331</v>
      </c>
      <c r="M327" s="130">
        <v>-26</v>
      </c>
      <c r="N327" s="131">
        <v>335</v>
      </c>
      <c r="O327" s="143"/>
      <c r="W327" s="86">
        <f t="shared" si="10"/>
        <v>0</v>
      </c>
      <c r="X327" s="87">
        <f t="shared" si="11"/>
        <v>0</v>
      </c>
    </row>
    <row r="328" spans="1:24" x14ac:dyDescent="0.35">
      <c r="A328" s="125">
        <v>450</v>
      </c>
      <c r="B328" s="126">
        <v>15</v>
      </c>
      <c r="C328" s="133" t="s">
        <v>45</v>
      </c>
      <c r="D328" s="133" t="s">
        <v>1479</v>
      </c>
      <c r="E328" s="133" t="s">
        <v>65</v>
      </c>
      <c r="F328" s="133" t="s">
        <v>930</v>
      </c>
      <c r="G328" s="126">
        <v>5</v>
      </c>
      <c r="H328" s="126">
        <v>281</v>
      </c>
      <c r="I328" s="126">
        <v>320</v>
      </c>
      <c r="J328" s="126">
        <v>300.5</v>
      </c>
      <c r="K328" s="126">
        <v>19.5</v>
      </c>
      <c r="L328" s="126"/>
      <c r="M328" s="127"/>
      <c r="N328" s="132">
        <v>336</v>
      </c>
      <c r="O328" s="144"/>
      <c r="W328" s="86">
        <f t="shared" si="10"/>
        <v>0</v>
      </c>
      <c r="X328" s="87">
        <f t="shared" si="11"/>
        <v>0</v>
      </c>
    </row>
    <row r="329" spans="1:24" x14ac:dyDescent="0.35">
      <c r="A329" s="128">
        <v>373</v>
      </c>
      <c r="B329" s="129">
        <v>14</v>
      </c>
      <c r="C329" s="134" t="s">
        <v>45</v>
      </c>
      <c r="D329" s="134" t="s">
        <v>964</v>
      </c>
      <c r="E329" s="134" t="s">
        <v>184</v>
      </c>
      <c r="F329" s="134" t="s">
        <v>735</v>
      </c>
      <c r="G329" s="129">
        <v>8</v>
      </c>
      <c r="H329" s="129">
        <v>218</v>
      </c>
      <c r="I329" s="129">
        <v>413</v>
      </c>
      <c r="J329" s="129">
        <v>324.5</v>
      </c>
      <c r="K329" s="129">
        <v>53.7</v>
      </c>
      <c r="L329" s="129"/>
      <c r="M329" s="130"/>
      <c r="N329" s="131">
        <v>338</v>
      </c>
      <c r="O329" s="143"/>
      <c r="W329" s="86">
        <f t="shared" si="10"/>
        <v>0</v>
      </c>
      <c r="X329" s="87">
        <f t="shared" si="11"/>
        <v>0</v>
      </c>
    </row>
    <row r="330" spans="1:24" x14ac:dyDescent="0.35">
      <c r="A330" s="125">
        <v>364</v>
      </c>
      <c r="B330" s="126">
        <v>13</v>
      </c>
      <c r="C330" s="133" t="s">
        <v>45</v>
      </c>
      <c r="D330" s="133" t="s">
        <v>377</v>
      </c>
      <c r="E330" s="133" t="s">
        <v>50</v>
      </c>
      <c r="F330" s="133" t="s">
        <v>724</v>
      </c>
      <c r="G330" s="126">
        <v>10</v>
      </c>
      <c r="H330" s="126">
        <v>216</v>
      </c>
      <c r="I330" s="126">
        <v>396</v>
      </c>
      <c r="J330" s="126">
        <v>324.7</v>
      </c>
      <c r="K330" s="126">
        <v>47.8</v>
      </c>
      <c r="L330" s="126"/>
      <c r="M330" s="127"/>
      <c r="N330" s="132">
        <v>340</v>
      </c>
      <c r="O330" s="144"/>
      <c r="W330" s="86">
        <f t="shared" si="10"/>
        <v>0</v>
      </c>
      <c r="X330" s="87">
        <f t="shared" si="11"/>
        <v>0</v>
      </c>
    </row>
    <row r="331" spans="1:24" x14ac:dyDescent="0.35">
      <c r="A331" s="125">
        <v>372</v>
      </c>
      <c r="B331" s="126">
        <v>13</v>
      </c>
      <c r="C331" s="133" t="s">
        <v>45</v>
      </c>
      <c r="D331" s="133" t="s">
        <v>806</v>
      </c>
      <c r="E331" s="133" t="s">
        <v>108</v>
      </c>
      <c r="F331" s="133" t="s">
        <v>751</v>
      </c>
      <c r="G331" s="126">
        <v>7</v>
      </c>
      <c r="H331" s="126">
        <v>213</v>
      </c>
      <c r="I331" s="126">
        <v>366</v>
      </c>
      <c r="J331" s="126">
        <v>324.7</v>
      </c>
      <c r="K331" s="126">
        <v>41.4</v>
      </c>
      <c r="L331" s="126"/>
      <c r="M331" s="127"/>
      <c r="N331" s="132">
        <v>341</v>
      </c>
      <c r="O331" s="144"/>
      <c r="W331" s="86">
        <f t="shared" si="10"/>
        <v>0</v>
      </c>
      <c r="X331" s="87">
        <f t="shared" si="11"/>
        <v>0</v>
      </c>
    </row>
    <row r="332" spans="1:24" x14ac:dyDescent="0.35">
      <c r="A332" s="125">
        <v>402</v>
      </c>
      <c r="B332" s="126">
        <v>14</v>
      </c>
      <c r="C332" s="133" t="s">
        <v>45</v>
      </c>
      <c r="D332" s="133" t="s">
        <v>1335</v>
      </c>
      <c r="E332" s="133" t="s">
        <v>184</v>
      </c>
      <c r="F332" s="133" t="s">
        <v>794</v>
      </c>
      <c r="G332" s="126">
        <v>8</v>
      </c>
      <c r="H332" s="126">
        <v>213</v>
      </c>
      <c r="I332" s="126">
        <v>361</v>
      </c>
      <c r="J332" s="126">
        <v>296</v>
      </c>
      <c r="K332" s="126">
        <v>57.5</v>
      </c>
      <c r="L332" s="126"/>
      <c r="M332" s="127"/>
      <c r="N332" s="132">
        <v>346</v>
      </c>
      <c r="O332" s="144"/>
      <c r="W332" s="86">
        <f t="shared" si="10"/>
        <v>0</v>
      </c>
      <c r="X332" s="87">
        <f t="shared" si="11"/>
        <v>0</v>
      </c>
    </row>
    <row r="333" spans="1:24" x14ac:dyDescent="0.35">
      <c r="A333" s="128">
        <v>451</v>
      </c>
      <c r="B333" s="129">
        <v>15</v>
      </c>
      <c r="C333" s="134" t="s">
        <v>45</v>
      </c>
      <c r="D333" s="134" t="s">
        <v>1381</v>
      </c>
      <c r="E333" s="134" t="s">
        <v>65</v>
      </c>
      <c r="F333" s="134" t="s">
        <v>950</v>
      </c>
      <c r="G333" s="129">
        <v>5</v>
      </c>
      <c r="H333" s="129">
        <v>219</v>
      </c>
      <c r="I333" s="129">
        <v>386</v>
      </c>
      <c r="J333" s="129">
        <v>302.5</v>
      </c>
      <c r="K333" s="129">
        <v>83.5</v>
      </c>
      <c r="L333" s="129"/>
      <c r="M333" s="130"/>
      <c r="N333" s="131">
        <v>347</v>
      </c>
      <c r="O333" s="143"/>
      <c r="W333" s="86">
        <f t="shared" si="10"/>
        <v>0</v>
      </c>
      <c r="X333" s="87">
        <f t="shared" si="11"/>
        <v>0</v>
      </c>
    </row>
    <row r="334" spans="1:24" x14ac:dyDescent="0.35">
      <c r="A334" s="128">
        <v>455</v>
      </c>
      <c r="B334" s="129">
        <v>15</v>
      </c>
      <c r="C334" s="134" t="s">
        <v>45</v>
      </c>
      <c r="D334" s="134" t="s">
        <v>1482</v>
      </c>
      <c r="E334" s="134" t="s">
        <v>241</v>
      </c>
      <c r="F334" s="134" t="s">
        <v>959</v>
      </c>
      <c r="G334" s="129">
        <v>11</v>
      </c>
      <c r="H334" s="129">
        <v>299</v>
      </c>
      <c r="I334" s="129">
        <v>327</v>
      </c>
      <c r="J334" s="129">
        <v>313</v>
      </c>
      <c r="K334" s="129">
        <v>14</v>
      </c>
      <c r="L334" s="129"/>
      <c r="M334" s="130"/>
      <c r="N334" s="131">
        <v>350</v>
      </c>
      <c r="O334" s="143"/>
      <c r="W334" s="86">
        <f t="shared" si="10"/>
        <v>313</v>
      </c>
      <c r="X334" s="87">
        <f t="shared" si="11"/>
        <v>14</v>
      </c>
    </row>
    <row r="335" spans="1:24" x14ac:dyDescent="0.35">
      <c r="A335" s="128">
        <v>257</v>
      </c>
      <c r="B335" s="129">
        <v>11</v>
      </c>
      <c r="C335" s="134" t="s">
        <v>45</v>
      </c>
      <c r="D335" s="134" t="s">
        <v>1227</v>
      </c>
      <c r="E335" s="134" t="s">
        <v>53</v>
      </c>
      <c r="F335" s="134" t="s">
        <v>572</v>
      </c>
      <c r="G335" s="129">
        <v>13</v>
      </c>
      <c r="H335" s="129">
        <v>122</v>
      </c>
      <c r="I335" s="129">
        <v>297</v>
      </c>
      <c r="J335" s="129">
        <v>247.4</v>
      </c>
      <c r="K335" s="129">
        <v>32.299999999999997</v>
      </c>
      <c r="L335" s="129">
        <v>277</v>
      </c>
      <c r="M335" s="130">
        <v>20</v>
      </c>
      <c r="N335" s="131">
        <v>351</v>
      </c>
      <c r="O335" s="143"/>
      <c r="W335" s="86">
        <f t="shared" si="10"/>
        <v>247.4</v>
      </c>
      <c r="X335" s="87">
        <f t="shared" si="11"/>
        <v>32.299999999999997</v>
      </c>
    </row>
    <row r="336" spans="1:24" x14ac:dyDescent="0.35">
      <c r="A336" s="125">
        <v>270</v>
      </c>
      <c r="B336" s="126">
        <v>12</v>
      </c>
      <c r="C336" s="133" t="s">
        <v>45</v>
      </c>
      <c r="D336" s="133" t="s">
        <v>606</v>
      </c>
      <c r="E336" s="133" t="s">
        <v>125</v>
      </c>
      <c r="F336" s="133" t="s">
        <v>593</v>
      </c>
      <c r="G336" s="126">
        <v>7</v>
      </c>
      <c r="H336" s="126">
        <v>148</v>
      </c>
      <c r="I336" s="126">
        <v>307</v>
      </c>
      <c r="J336" s="126">
        <v>264.39999999999998</v>
      </c>
      <c r="K336" s="126">
        <v>31.8</v>
      </c>
      <c r="L336" s="126">
        <v>305</v>
      </c>
      <c r="M336" s="127">
        <v>35</v>
      </c>
      <c r="N336" s="132">
        <v>352</v>
      </c>
      <c r="O336" s="144"/>
      <c r="W336" s="86">
        <f t="shared" si="10"/>
        <v>264.39999999999998</v>
      </c>
      <c r="X336" s="87">
        <f t="shared" si="11"/>
        <v>31.8</v>
      </c>
    </row>
    <row r="337" spans="1:24" x14ac:dyDescent="0.35">
      <c r="A337" s="128">
        <v>233</v>
      </c>
      <c r="B337" s="129">
        <v>11</v>
      </c>
      <c r="C337" s="134" t="s">
        <v>45</v>
      </c>
      <c r="D337" s="134" t="s">
        <v>530</v>
      </c>
      <c r="E337" s="134" t="s">
        <v>59</v>
      </c>
      <c r="F337" s="134" t="s">
        <v>531</v>
      </c>
      <c r="G337" s="129">
        <v>10</v>
      </c>
      <c r="H337" s="129">
        <v>105</v>
      </c>
      <c r="I337" s="129">
        <v>259</v>
      </c>
      <c r="J337" s="129">
        <v>217.2</v>
      </c>
      <c r="K337" s="129">
        <v>26.2</v>
      </c>
      <c r="L337" s="129">
        <v>180</v>
      </c>
      <c r="M337" s="130">
        <v>-53</v>
      </c>
      <c r="N337" s="131">
        <v>355</v>
      </c>
      <c r="O337" s="143"/>
      <c r="W337" s="86">
        <f t="shared" si="10"/>
        <v>217.2</v>
      </c>
      <c r="X337" s="87">
        <f t="shared" si="11"/>
        <v>26.2</v>
      </c>
    </row>
    <row r="338" spans="1:24" x14ac:dyDescent="0.35">
      <c r="A338" s="128">
        <v>319</v>
      </c>
      <c r="B338" s="129">
        <v>12</v>
      </c>
      <c r="C338" s="134" t="s">
        <v>45</v>
      </c>
      <c r="D338" s="134" t="s">
        <v>451</v>
      </c>
      <c r="E338" s="134" t="s">
        <v>487</v>
      </c>
      <c r="F338" s="134" t="s">
        <v>666</v>
      </c>
      <c r="G338" s="129"/>
      <c r="H338" s="129">
        <v>102</v>
      </c>
      <c r="I338" s="129">
        <v>338</v>
      </c>
      <c r="J338" s="129">
        <v>222.7</v>
      </c>
      <c r="K338" s="129">
        <v>45.2</v>
      </c>
      <c r="L338" s="129">
        <v>302</v>
      </c>
      <c r="M338" s="130">
        <v>-17</v>
      </c>
      <c r="N338" s="131">
        <v>356</v>
      </c>
      <c r="O338" s="143"/>
      <c r="W338" s="86">
        <f t="shared" si="10"/>
        <v>222.7</v>
      </c>
      <c r="X338" s="87">
        <f t="shared" si="11"/>
        <v>45.2</v>
      </c>
    </row>
    <row r="339" spans="1:24" x14ac:dyDescent="0.35">
      <c r="A339" s="125">
        <v>340</v>
      </c>
      <c r="B339" s="126">
        <v>13</v>
      </c>
      <c r="C339" s="133" t="s">
        <v>45</v>
      </c>
      <c r="D339" s="133" t="s">
        <v>746</v>
      </c>
      <c r="E339" s="133" t="s">
        <v>80</v>
      </c>
      <c r="F339" s="133" t="s">
        <v>688</v>
      </c>
      <c r="G339" s="126">
        <v>9</v>
      </c>
      <c r="H339" s="126">
        <v>176</v>
      </c>
      <c r="I339" s="126">
        <v>342</v>
      </c>
      <c r="J339" s="126">
        <v>306.7</v>
      </c>
      <c r="K339" s="126">
        <v>21.8</v>
      </c>
      <c r="L339" s="126">
        <v>293</v>
      </c>
      <c r="M339" s="127">
        <v>-47</v>
      </c>
      <c r="N339" s="132">
        <v>357</v>
      </c>
      <c r="O339" s="144"/>
      <c r="W339" s="86">
        <f t="shared" si="10"/>
        <v>306.7</v>
      </c>
      <c r="X339" s="87">
        <f t="shared" si="11"/>
        <v>21.8</v>
      </c>
    </row>
    <row r="340" spans="1:24" x14ac:dyDescent="0.35">
      <c r="A340" s="125">
        <v>328</v>
      </c>
      <c r="B340" s="126">
        <v>13</v>
      </c>
      <c r="C340" s="133" t="s">
        <v>45</v>
      </c>
      <c r="D340" s="133" t="s">
        <v>1330</v>
      </c>
      <c r="E340" s="133" t="s">
        <v>119</v>
      </c>
      <c r="F340" s="133" t="s">
        <v>667</v>
      </c>
      <c r="G340" s="126">
        <v>6</v>
      </c>
      <c r="H340" s="126">
        <v>172</v>
      </c>
      <c r="I340" s="126">
        <v>323</v>
      </c>
      <c r="J340" s="126">
        <v>278.7</v>
      </c>
      <c r="K340" s="126">
        <v>30.5</v>
      </c>
      <c r="L340" s="126">
        <v>171</v>
      </c>
      <c r="M340" s="127">
        <v>-157</v>
      </c>
      <c r="N340" s="132">
        <v>358</v>
      </c>
      <c r="O340" s="144"/>
      <c r="W340" s="86">
        <f t="shared" si="10"/>
        <v>278.7</v>
      </c>
      <c r="X340" s="87">
        <f t="shared" si="11"/>
        <v>30.5</v>
      </c>
    </row>
    <row r="341" spans="1:24" x14ac:dyDescent="0.35">
      <c r="A341" s="125">
        <v>290</v>
      </c>
      <c r="B341" s="126">
        <v>12</v>
      </c>
      <c r="C341" s="133" t="s">
        <v>45</v>
      </c>
      <c r="D341" s="133" t="s">
        <v>631</v>
      </c>
      <c r="E341" s="133" t="s">
        <v>1222</v>
      </c>
      <c r="F341" s="133" t="s">
        <v>607</v>
      </c>
      <c r="G341" s="126">
        <v>6</v>
      </c>
      <c r="H341" s="126">
        <v>167</v>
      </c>
      <c r="I341" s="126">
        <v>332</v>
      </c>
      <c r="J341" s="126">
        <v>285.10000000000002</v>
      </c>
      <c r="K341" s="126">
        <v>27.4</v>
      </c>
      <c r="L341" s="126">
        <v>338</v>
      </c>
      <c r="M341" s="127">
        <v>48</v>
      </c>
      <c r="N341" s="132">
        <v>359</v>
      </c>
      <c r="O341" s="144"/>
      <c r="W341" s="86">
        <f t="shared" si="10"/>
        <v>285.10000000000002</v>
      </c>
      <c r="X341" s="87">
        <f t="shared" si="11"/>
        <v>27.4</v>
      </c>
    </row>
    <row r="342" spans="1:24" x14ac:dyDescent="0.35">
      <c r="A342" s="128">
        <v>305</v>
      </c>
      <c r="B342" s="129">
        <v>12</v>
      </c>
      <c r="C342" s="134" t="s">
        <v>45</v>
      </c>
      <c r="D342" s="134" t="s">
        <v>701</v>
      </c>
      <c r="E342" s="134" t="s">
        <v>184</v>
      </c>
      <c r="F342" s="134" t="s">
        <v>632</v>
      </c>
      <c r="G342" s="129">
        <v>8</v>
      </c>
      <c r="H342" s="129">
        <v>171</v>
      </c>
      <c r="I342" s="129">
        <v>334</v>
      </c>
      <c r="J342" s="129">
        <v>292.8</v>
      </c>
      <c r="K342" s="129">
        <v>30.6</v>
      </c>
      <c r="L342" s="129">
        <v>333</v>
      </c>
      <c r="M342" s="130">
        <v>28</v>
      </c>
      <c r="N342" s="131">
        <v>361</v>
      </c>
      <c r="O342" s="143"/>
      <c r="W342" s="86">
        <f t="shared" si="10"/>
        <v>292.8</v>
      </c>
      <c r="X342" s="87">
        <f t="shared" si="11"/>
        <v>30.6</v>
      </c>
    </row>
    <row r="343" spans="1:24" x14ac:dyDescent="0.35">
      <c r="A343" s="128">
        <v>415</v>
      </c>
      <c r="B343" s="129">
        <v>14</v>
      </c>
      <c r="C343" s="134" t="s">
        <v>45</v>
      </c>
      <c r="D343" s="134" t="s">
        <v>810</v>
      </c>
      <c r="E343" s="134" t="s">
        <v>179</v>
      </c>
      <c r="F343" s="134" t="s">
        <v>811</v>
      </c>
      <c r="G343" s="129">
        <v>11</v>
      </c>
      <c r="H343" s="129">
        <v>264</v>
      </c>
      <c r="I343" s="129">
        <v>345</v>
      </c>
      <c r="J343" s="129">
        <v>325.39999999999998</v>
      </c>
      <c r="K343" s="129">
        <v>25.4</v>
      </c>
      <c r="L343" s="129">
        <v>306</v>
      </c>
      <c r="M343" s="130">
        <v>-109</v>
      </c>
      <c r="N343" s="131">
        <v>362</v>
      </c>
      <c r="O343" s="143"/>
      <c r="W343" s="86">
        <f t="shared" si="10"/>
        <v>325.39999999999998</v>
      </c>
      <c r="X343" s="87">
        <f t="shared" si="11"/>
        <v>25.4</v>
      </c>
    </row>
    <row r="344" spans="1:24" x14ac:dyDescent="0.35">
      <c r="A344" s="128">
        <v>399</v>
      </c>
      <c r="B344" s="129">
        <v>14</v>
      </c>
      <c r="C344" s="134" t="s">
        <v>45</v>
      </c>
      <c r="D344" s="134" t="s">
        <v>795</v>
      </c>
      <c r="E344" s="134" t="s">
        <v>174</v>
      </c>
      <c r="F344" s="134" t="s">
        <v>784</v>
      </c>
      <c r="G344" s="129">
        <v>11</v>
      </c>
      <c r="H344" s="129">
        <v>242</v>
      </c>
      <c r="I344" s="129">
        <v>368</v>
      </c>
      <c r="J344" s="129">
        <v>310.7</v>
      </c>
      <c r="K344" s="129">
        <v>39.700000000000003</v>
      </c>
      <c r="L344" s="129">
        <v>335</v>
      </c>
      <c r="M344" s="130">
        <v>-64</v>
      </c>
      <c r="N344" s="131">
        <v>363</v>
      </c>
      <c r="O344" s="143"/>
      <c r="W344" s="86">
        <f t="shared" si="10"/>
        <v>310.7</v>
      </c>
      <c r="X344" s="87">
        <f t="shared" si="11"/>
        <v>39.700000000000003</v>
      </c>
    </row>
    <row r="345" spans="1:24" x14ac:dyDescent="0.35">
      <c r="A345" s="128">
        <v>269</v>
      </c>
      <c r="B345" s="129">
        <v>11</v>
      </c>
      <c r="C345" s="134" t="s">
        <v>45</v>
      </c>
      <c r="D345" s="134" t="s">
        <v>1158</v>
      </c>
      <c r="E345" s="134" t="s">
        <v>45</v>
      </c>
      <c r="F345" s="134" t="s">
        <v>575</v>
      </c>
      <c r="G345" s="129">
        <v>8</v>
      </c>
      <c r="H345" s="129">
        <v>137</v>
      </c>
      <c r="I345" s="129">
        <v>311</v>
      </c>
      <c r="J345" s="129">
        <v>258.10000000000002</v>
      </c>
      <c r="K345" s="129">
        <v>36.1</v>
      </c>
      <c r="L345" s="129">
        <v>299</v>
      </c>
      <c r="M345" s="130">
        <v>30</v>
      </c>
      <c r="N345" s="131">
        <v>365</v>
      </c>
      <c r="O345" s="143"/>
      <c r="W345" s="86">
        <f t="shared" si="10"/>
        <v>0</v>
      </c>
      <c r="X345" s="87">
        <f t="shared" si="11"/>
        <v>0</v>
      </c>
    </row>
    <row r="346" spans="1:24" x14ac:dyDescent="0.35">
      <c r="A346" s="125">
        <v>236</v>
      </c>
      <c r="B346" s="126">
        <v>11</v>
      </c>
      <c r="C346" s="133" t="s">
        <v>45</v>
      </c>
      <c r="D346" s="133" t="s">
        <v>1191</v>
      </c>
      <c r="E346" s="133" t="s">
        <v>45</v>
      </c>
      <c r="F346" s="133" t="s">
        <v>506</v>
      </c>
      <c r="G346" s="126">
        <v>5</v>
      </c>
      <c r="H346" s="126">
        <v>112</v>
      </c>
      <c r="I346" s="126">
        <v>301</v>
      </c>
      <c r="J346" s="126">
        <v>223.2</v>
      </c>
      <c r="K346" s="126">
        <v>30.2</v>
      </c>
      <c r="L346" s="126">
        <v>216</v>
      </c>
      <c r="M346" s="127">
        <v>-20</v>
      </c>
      <c r="N346" s="132">
        <v>366</v>
      </c>
      <c r="O346" s="144"/>
      <c r="W346" s="86">
        <f t="shared" si="10"/>
        <v>0</v>
      </c>
      <c r="X346" s="87">
        <f t="shared" si="11"/>
        <v>0</v>
      </c>
    </row>
    <row r="347" spans="1:24" x14ac:dyDescent="0.35">
      <c r="A347" s="125">
        <v>252</v>
      </c>
      <c r="B347" s="126">
        <v>11</v>
      </c>
      <c r="C347" s="133" t="s">
        <v>45</v>
      </c>
      <c r="D347" s="133" t="s">
        <v>1195</v>
      </c>
      <c r="E347" s="133" t="s">
        <v>45</v>
      </c>
      <c r="F347" s="133" t="s">
        <v>570</v>
      </c>
      <c r="G347" s="126">
        <v>11</v>
      </c>
      <c r="H347" s="126">
        <v>88</v>
      </c>
      <c r="I347" s="126">
        <v>298</v>
      </c>
      <c r="J347" s="126">
        <v>224.9</v>
      </c>
      <c r="K347" s="126">
        <v>40.4</v>
      </c>
      <c r="L347" s="126">
        <v>245</v>
      </c>
      <c r="M347" s="127">
        <v>-7</v>
      </c>
      <c r="N347" s="132">
        <v>367</v>
      </c>
      <c r="O347" s="144"/>
      <c r="W347" s="86">
        <f t="shared" si="10"/>
        <v>0</v>
      </c>
      <c r="X347" s="87">
        <f t="shared" si="11"/>
        <v>0</v>
      </c>
    </row>
    <row r="348" spans="1:24" x14ac:dyDescent="0.35">
      <c r="A348" s="128">
        <v>325</v>
      </c>
      <c r="B348" s="129">
        <v>12</v>
      </c>
      <c r="C348" s="134" t="s">
        <v>45</v>
      </c>
      <c r="D348" s="134" t="s">
        <v>1201</v>
      </c>
      <c r="E348" s="134" t="s">
        <v>45</v>
      </c>
      <c r="F348" s="134" t="s">
        <v>657</v>
      </c>
      <c r="G348" s="129">
        <v>6</v>
      </c>
      <c r="H348" s="129">
        <v>169</v>
      </c>
      <c r="I348" s="129">
        <v>344</v>
      </c>
      <c r="J348" s="129">
        <v>284.2</v>
      </c>
      <c r="K348" s="129">
        <v>42.4</v>
      </c>
      <c r="L348" s="129"/>
      <c r="M348" s="130"/>
      <c r="N348" s="131">
        <v>368</v>
      </c>
      <c r="O348" s="143"/>
      <c r="W348" s="86">
        <f t="shared" si="10"/>
        <v>0</v>
      </c>
      <c r="X348" s="87">
        <f t="shared" si="11"/>
        <v>0</v>
      </c>
    </row>
    <row r="349" spans="1:24" x14ac:dyDescent="0.35">
      <c r="A349" s="125">
        <v>278</v>
      </c>
      <c r="B349" s="126">
        <v>12</v>
      </c>
      <c r="C349" s="133" t="s">
        <v>45</v>
      </c>
      <c r="D349" s="133" t="s">
        <v>1496</v>
      </c>
      <c r="E349" s="133" t="s">
        <v>45</v>
      </c>
      <c r="F349" s="133" t="s">
        <v>579</v>
      </c>
      <c r="G349" s="126">
        <v>8</v>
      </c>
      <c r="H349" s="126">
        <v>153</v>
      </c>
      <c r="I349" s="126">
        <v>321</v>
      </c>
      <c r="J349" s="126">
        <v>268.7</v>
      </c>
      <c r="K349" s="126">
        <v>37.6</v>
      </c>
      <c r="L349" s="126">
        <v>210</v>
      </c>
      <c r="M349" s="127">
        <v>-68</v>
      </c>
      <c r="N349" s="132">
        <v>370</v>
      </c>
      <c r="O349" s="144"/>
      <c r="W349" s="86">
        <f t="shared" si="10"/>
        <v>0</v>
      </c>
      <c r="X349" s="87">
        <f t="shared" si="11"/>
        <v>0</v>
      </c>
    </row>
    <row r="350" spans="1:24" x14ac:dyDescent="0.35">
      <c r="A350" s="125">
        <v>282</v>
      </c>
      <c r="B350" s="126">
        <v>12</v>
      </c>
      <c r="C350" s="133" t="s">
        <v>45</v>
      </c>
      <c r="D350" s="133" t="s">
        <v>1114</v>
      </c>
      <c r="E350" s="133" t="s">
        <v>45</v>
      </c>
      <c r="F350" s="133" t="s">
        <v>601</v>
      </c>
      <c r="G350" s="126">
        <v>7</v>
      </c>
      <c r="H350" s="126">
        <v>130</v>
      </c>
      <c r="I350" s="126">
        <v>313</v>
      </c>
      <c r="J350" s="126">
        <v>273.7</v>
      </c>
      <c r="K350" s="126">
        <v>39.4</v>
      </c>
      <c r="L350" s="126">
        <v>323</v>
      </c>
      <c r="M350" s="127">
        <v>41</v>
      </c>
      <c r="N350" s="132">
        <v>371</v>
      </c>
      <c r="O350" s="144"/>
      <c r="W350" s="86">
        <f t="shared" si="10"/>
        <v>0</v>
      </c>
      <c r="X350" s="87">
        <f t="shared" si="11"/>
        <v>0</v>
      </c>
    </row>
    <row r="351" spans="1:24" x14ac:dyDescent="0.35">
      <c r="A351" s="128">
        <v>291</v>
      </c>
      <c r="B351" s="129">
        <v>12</v>
      </c>
      <c r="C351" s="134" t="s">
        <v>45</v>
      </c>
      <c r="D351" s="134" t="s">
        <v>1192</v>
      </c>
      <c r="E351" s="134" t="s">
        <v>45</v>
      </c>
      <c r="F351" s="134" t="s">
        <v>624</v>
      </c>
      <c r="G351" s="129">
        <v>10</v>
      </c>
      <c r="H351" s="129">
        <v>160</v>
      </c>
      <c r="I351" s="129">
        <v>333</v>
      </c>
      <c r="J351" s="129">
        <v>282.8</v>
      </c>
      <c r="K351" s="129">
        <v>35.1</v>
      </c>
      <c r="L351" s="129">
        <v>225</v>
      </c>
      <c r="M351" s="130">
        <v>-66</v>
      </c>
      <c r="N351" s="131">
        <v>372</v>
      </c>
      <c r="O351" s="143"/>
      <c r="W351" s="86">
        <f t="shared" si="10"/>
        <v>0</v>
      </c>
      <c r="X351" s="87">
        <f t="shared" si="11"/>
        <v>0</v>
      </c>
    </row>
    <row r="352" spans="1:24" x14ac:dyDescent="0.35">
      <c r="A352" s="125">
        <v>300</v>
      </c>
      <c r="B352" s="126">
        <v>12</v>
      </c>
      <c r="C352" s="133" t="s">
        <v>45</v>
      </c>
      <c r="D352" s="133" t="s">
        <v>1190</v>
      </c>
      <c r="E352" s="133" t="s">
        <v>45</v>
      </c>
      <c r="F352" s="133" t="s">
        <v>646</v>
      </c>
      <c r="G352" s="126">
        <v>13</v>
      </c>
      <c r="H352" s="126">
        <v>165</v>
      </c>
      <c r="I352" s="126">
        <v>324</v>
      </c>
      <c r="J352" s="126">
        <v>291.10000000000002</v>
      </c>
      <c r="K352" s="126">
        <v>32.6</v>
      </c>
      <c r="L352" s="126"/>
      <c r="M352" s="127"/>
      <c r="N352" s="132">
        <v>374</v>
      </c>
      <c r="O352" s="144"/>
      <c r="W352" s="86">
        <f t="shared" si="10"/>
        <v>0</v>
      </c>
      <c r="X352" s="87">
        <f t="shared" si="11"/>
        <v>0</v>
      </c>
    </row>
    <row r="353" spans="1:24" x14ac:dyDescent="0.35">
      <c r="A353" s="128">
        <v>395</v>
      </c>
      <c r="B353" s="129">
        <v>14</v>
      </c>
      <c r="C353" s="134" t="s">
        <v>45</v>
      </c>
      <c r="D353" s="134" t="s">
        <v>1476</v>
      </c>
      <c r="E353" s="134" t="s">
        <v>179</v>
      </c>
      <c r="F353" s="134" t="s">
        <v>683</v>
      </c>
      <c r="G353" s="129">
        <v>11</v>
      </c>
      <c r="H353" s="129">
        <v>204</v>
      </c>
      <c r="I353" s="129">
        <v>375</v>
      </c>
      <c r="J353" s="129">
        <v>306.3</v>
      </c>
      <c r="K353" s="129">
        <v>52.7</v>
      </c>
      <c r="L353" s="129"/>
      <c r="M353" s="130"/>
      <c r="N353" s="131">
        <v>376</v>
      </c>
      <c r="O353" s="143"/>
      <c r="W353" s="86">
        <f t="shared" si="10"/>
        <v>0</v>
      </c>
      <c r="X353" s="87">
        <f t="shared" si="11"/>
        <v>0</v>
      </c>
    </row>
    <row r="354" spans="1:24" x14ac:dyDescent="0.35">
      <c r="A354" s="125">
        <v>296</v>
      </c>
      <c r="B354" s="126">
        <v>12</v>
      </c>
      <c r="C354" s="133" t="s">
        <v>45</v>
      </c>
      <c r="D354" s="133" t="s">
        <v>1412</v>
      </c>
      <c r="E354" s="133" t="s">
        <v>149</v>
      </c>
      <c r="F354" s="133" t="s">
        <v>523</v>
      </c>
      <c r="G354" s="126">
        <v>6</v>
      </c>
      <c r="H354" s="126">
        <v>183</v>
      </c>
      <c r="I354" s="126">
        <v>375</v>
      </c>
      <c r="J354" s="126">
        <v>265.10000000000002</v>
      </c>
      <c r="K354" s="126">
        <v>33.1</v>
      </c>
      <c r="L354" s="126">
        <v>307</v>
      </c>
      <c r="M354" s="127">
        <v>11</v>
      </c>
      <c r="N354" s="132">
        <v>378</v>
      </c>
      <c r="O354" s="144"/>
      <c r="W354" s="86">
        <f t="shared" si="10"/>
        <v>0</v>
      </c>
      <c r="X354" s="87">
        <f t="shared" si="11"/>
        <v>0</v>
      </c>
    </row>
    <row r="355" spans="1:24" x14ac:dyDescent="0.35">
      <c r="A355" s="125">
        <v>390</v>
      </c>
      <c r="B355" s="126">
        <v>14</v>
      </c>
      <c r="C355" s="133" t="s">
        <v>45</v>
      </c>
      <c r="D355" s="133" t="s">
        <v>463</v>
      </c>
      <c r="E355" s="133" t="s">
        <v>65</v>
      </c>
      <c r="F355" s="133" t="s">
        <v>682</v>
      </c>
      <c r="G355" s="126">
        <v>5</v>
      </c>
      <c r="H355" s="126">
        <v>186</v>
      </c>
      <c r="I355" s="126">
        <v>358</v>
      </c>
      <c r="J355" s="126">
        <v>258.2</v>
      </c>
      <c r="K355" s="126">
        <v>67.7</v>
      </c>
      <c r="L355" s="126"/>
      <c r="M355" s="127"/>
      <c r="N355" s="132">
        <v>379</v>
      </c>
      <c r="O355" s="144"/>
      <c r="W355" s="86">
        <f t="shared" si="10"/>
        <v>0</v>
      </c>
      <c r="X355" s="87">
        <f t="shared" si="11"/>
        <v>0</v>
      </c>
    </row>
    <row r="356" spans="1:24" x14ac:dyDescent="0.35">
      <c r="A356" s="125">
        <v>404</v>
      </c>
      <c r="B356" s="126">
        <v>14</v>
      </c>
      <c r="C356" s="133" t="s">
        <v>45</v>
      </c>
      <c r="D356" s="133" t="s">
        <v>712</v>
      </c>
      <c r="E356" s="133" t="s">
        <v>487</v>
      </c>
      <c r="F356" s="133" t="s">
        <v>693</v>
      </c>
      <c r="G356" s="126"/>
      <c r="H356" s="126">
        <v>281</v>
      </c>
      <c r="I356" s="126">
        <v>429</v>
      </c>
      <c r="J356" s="126">
        <v>336.7</v>
      </c>
      <c r="K356" s="126">
        <v>42.7</v>
      </c>
      <c r="L356" s="126">
        <v>219</v>
      </c>
      <c r="M356" s="127">
        <v>-185</v>
      </c>
      <c r="N356" s="132">
        <v>380</v>
      </c>
      <c r="O356" s="144"/>
      <c r="W356" s="86">
        <f t="shared" si="10"/>
        <v>0</v>
      </c>
      <c r="X356" s="87">
        <f t="shared" si="11"/>
        <v>0</v>
      </c>
    </row>
    <row r="357" spans="1:24" x14ac:dyDescent="0.35">
      <c r="A357" s="128">
        <v>277</v>
      </c>
      <c r="B357" s="129">
        <v>12</v>
      </c>
      <c r="C357" s="134" t="s">
        <v>45</v>
      </c>
      <c r="D357" s="134" t="s">
        <v>381</v>
      </c>
      <c r="E357" s="134" t="s">
        <v>56</v>
      </c>
      <c r="F357" s="134" t="s">
        <v>495</v>
      </c>
      <c r="G357" s="129">
        <v>6</v>
      </c>
      <c r="H357" s="129">
        <v>151</v>
      </c>
      <c r="I357" s="129">
        <v>377</v>
      </c>
      <c r="J357" s="129">
        <v>244.4</v>
      </c>
      <c r="K357" s="129">
        <v>36.700000000000003</v>
      </c>
      <c r="L357" s="129">
        <v>273</v>
      </c>
      <c r="M357" s="130">
        <v>-4</v>
      </c>
      <c r="N357" s="131">
        <v>381</v>
      </c>
      <c r="O357" s="143"/>
      <c r="W357" s="86">
        <f t="shared" si="10"/>
        <v>0</v>
      </c>
      <c r="X357" s="87">
        <f t="shared" si="11"/>
        <v>0</v>
      </c>
    </row>
    <row r="358" spans="1:24" x14ac:dyDescent="0.35">
      <c r="A358" s="125">
        <v>312</v>
      </c>
      <c r="B358" s="126">
        <v>12</v>
      </c>
      <c r="C358" s="133" t="s">
        <v>45</v>
      </c>
      <c r="D358" s="133" t="s">
        <v>445</v>
      </c>
      <c r="E358" s="133" t="s">
        <v>1222</v>
      </c>
      <c r="F358" s="133" t="s">
        <v>574</v>
      </c>
      <c r="G358" s="126">
        <v>6</v>
      </c>
      <c r="H358" s="126">
        <v>166</v>
      </c>
      <c r="I358" s="126">
        <v>522</v>
      </c>
      <c r="J358" s="126">
        <v>275.60000000000002</v>
      </c>
      <c r="K358" s="126">
        <v>60.8</v>
      </c>
      <c r="L358" s="126">
        <v>303</v>
      </c>
      <c r="M358" s="127">
        <v>-9</v>
      </c>
      <c r="N358" s="132">
        <v>383</v>
      </c>
      <c r="O358" s="144"/>
      <c r="W358" s="86">
        <f t="shared" si="10"/>
        <v>0</v>
      </c>
      <c r="X358" s="87">
        <f t="shared" si="11"/>
        <v>0</v>
      </c>
    </row>
    <row r="359" spans="1:24" x14ac:dyDescent="0.35">
      <c r="A359" s="128">
        <v>301</v>
      </c>
      <c r="B359" s="129">
        <v>12</v>
      </c>
      <c r="C359" s="134" t="s">
        <v>45</v>
      </c>
      <c r="D359" s="134" t="s">
        <v>909</v>
      </c>
      <c r="E359" s="134" t="s">
        <v>108</v>
      </c>
      <c r="F359" s="134" t="s">
        <v>546</v>
      </c>
      <c r="G359" s="129">
        <v>7</v>
      </c>
      <c r="H359" s="129">
        <v>194</v>
      </c>
      <c r="I359" s="129">
        <v>378</v>
      </c>
      <c r="J359" s="129">
        <v>268</v>
      </c>
      <c r="K359" s="129">
        <v>36.700000000000003</v>
      </c>
      <c r="L359" s="129">
        <v>297</v>
      </c>
      <c r="M359" s="130">
        <v>-4</v>
      </c>
      <c r="N359" s="131">
        <v>384</v>
      </c>
      <c r="O359" s="143"/>
      <c r="W359" s="86">
        <f t="shared" si="10"/>
        <v>0</v>
      </c>
      <c r="X359" s="87">
        <f t="shared" si="11"/>
        <v>0</v>
      </c>
    </row>
    <row r="360" spans="1:24" x14ac:dyDescent="0.35">
      <c r="A360" s="128">
        <v>419</v>
      </c>
      <c r="B360" s="129">
        <v>14</v>
      </c>
      <c r="C360" s="134" t="s">
        <v>45</v>
      </c>
      <c r="D360" s="134" t="s">
        <v>672</v>
      </c>
      <c r="E360" s="134" t="s">
        <v>144</v>
      </c>
      <c r="F360" s="134" t="s">
        <v>904</v>
      </c>
      <c r="G360" s="129">
        <v>5</v>
      </c>
      <c r="H360" s="129">
        <v>266</v>
      </c>
      <c r="I360" s="129">
        <v>272</v>
      </c>
      <c r="J360" s="129">
        <v>269.7</v>
      </c>
      <c r="K360" s="129">
        <v>2.6</v>
      </c>
      <c r="L360" s="129"/>
      <c r="M360" s="130"/>
      <c r="N360" s="131">
        <v>385</v>
      </c>
      <c r="O360" s="143"/>
      <c r="W360" s="86">
        <f t="shared" si="10"/>
        <v>0</v>
      </c>
      <c r="X360" s="87">
        <f t="shared" si="11"/>
        <v>0</v>
      </c>
    </row>
    <row r="361" spans="1:24" x14ac:dyDescent="0.35">
      <c r="A361" s="125">
        <v>310</v>
      </c>
      <c r="B361" s="126">
        <v>12</v>
      </c>
      <c r="C361" s="133" t="s">
        <v>45</v>
      </c>
      <c r="D361" s="133" t="s">
        <v>642</v>
      </c>
      <c r="E361" s="133" t="s">
        <v>97</v>
      </c>
      <c r="F361" s="133" t="s">
        <v>569</v>
      </c>
      <c r="G361" s="126">
        <v>11</v>
      </c>
      <c r="H361" s="126">
        <v>134</v>
      </c>
      <c r="I361" s="126">
        <v>403</v>
      </c>
      <c r="J361" s="126">
        <v>274.8</v>
      </c>
      <c r="K361" s="126">
        <v>51.4</v>
      </c>
      <c r="L361" s="126">
        <v>321</v>
      </c>
      <c r="M361" s="127">
        <v>11</v>
      </c>
      <c r="N361" s="132">
        <v>386</v>
      </c>
      <c r="O361" s="144"/>
      <c r="W361" s="86">
        <f t="shared" si="10"/>
        <v>0</v>
      </c>
      <c r="X361" s="87">
        <f t="shared" si="11"/>
        <v>0</v>
      </c>
    </row>
    <row r="362" spans="1:24" x14ac:dyDescent="0.35">
      <c r="A362" s="128">
        <v>425</v>
      </c>
      <c r="B362" s="129">
        <v>14</v>
      </c>
      <c r="C362" s="134" t="s">
        <v>45</v>
      </c>
      <c r="D362" s="134" t="s">
        <v>975</v>
      </c>
      <c r="E362" s="134" t="s">
        <v>80</v>
      </c>
      <c r="F362" s="134" t="s">
        <v>907</v>
      </c>
      <c r="G362" s="129">
        <v>9</v>
      </c>
      <c r="H362" s="129">
        <v>275</v>
      </c>
      <c r="I362" s="129">
        <v>425</v>
      </c>
      <c r="J362" s="129">
        <v>357.3</v>
      </c>
      <c r="K362" s="129">
        <v>48.6</v>
      </c>
      <c r="L362" s="129">
        <v>351</v>
      </c>
      <c r="M362" s="130">
        <v>-74</v>
      </c>
      <c r="N362" s="131">
        <v>387</v>
      </c>
      <c r="O362" s="143"/>
      <c r="W362" s="86">
        <f t="shared" si="10"/>
        <v>0</v>
      </c>
      <c r="X362" s="87">
        <f t="shared" si="11"/>
        <v>0</v>
      </c>
    </row>
    <row r="363" spans="1:24" x14ac:dyDescent="0.35">
      <c r="A363" s="128">
        <v>365</v>
      </c>
      <c r="B363" s="129">
        <v>13</v>
      </c>
      <c r="C363" s="134" t="s">
        <v>45</v>
      </c>
      <c r="D363" s="134" t="s">
        <v>759</v>
      </c>
      <c r="E363" s="134" t="s">
        <v>71</v>
      </c>
      <c r="F363" s="134" t="s">
        <v>733</v>
      </c>
      <c r="G363" s="129">
        <v>11</v>
      </c>
      <c r="H363" s="129">
        <v>177</v>
      </c>
      <c r="I363" s="129">
        <v>359</v>
      </c>
      <c r="J363" s="129">
        <v>304.3</v>
      </c>
      <c r="K363" s="129">
        <v>40</v>
      </c>
      <c r="L363" s="129"/>
      <c r="M363" s="130"/>
      <c r="N363" s="131">
        <v>388</v>
      </c>
      <c r="O363" s="143"/>
      <c r="W363" s="86">
        <f t="shared" si="10"/>
        <v>0</v>
      </c>
      <c r="X363" s="87">
        <f t="shared" si="11"/>
        <v>0</v>
      </c>
    </row>
    <row r="364" spans="1:24" x14ac:dyDescent="0.35">
      <c r="A364" s="128">
        <v>439</v>
      </c>
      <c r="B364" s="129">
        <v>14</v>
      </c>
      <c r="C364" s="134" t="s">
        <v>45</v>
      </c>
      <c r="D364" s="134" t="s">
        <v>777</v>
      </c>
      <c r="E364" s="134" t="s">
        <v>56</v>
      </c>
      <c r="F364" s="134" t="s">
        <v>923</v>
      </c>
      <c r="G364" s="129">
        <v>6</v>
      </c>
      <c r="H364" s="129">
        <v>282</v>
      </c>
      <c r="I364" s="129">
        <v>388</v>
      </c>
      <c r="J364" s="129">
        <v>318.3</v>
      </c>
      <c r="K364" s="129">
        <v>49.3</v>
      </c>
      <c r="L364" s="129"/>
      <c r="M364" s="130"/>
      <c r="N364" s="131">
        <v>390</v>
      </c>
      <c r="O364" s="143"/>
      <c r="W364" s="86">
        <f t="shared" si="10"/>
        <v>0</v>
      </c>
      <c r="X364" s="87">
        <f t="shared" si="11"/>
        <v>0</v>
      </c>
    </row>
    <row r="365" spans="1:24" x14ac:dyDescent="0.35">
      <c r="A365" s="128">
        <v>333</v>
      </c>
      <c r="B365" s="129">
        <v>13</v>
      </c>
      <c r="C365" s="134" t="s">
        <v>45</v>
      </c>
      <c r="D365" s="134" t="s">
        <v>335</v>
      </c>
      <c r="E365" s="134" t="s">
        <v>161</v>
      </c>
      <c r="F365" s="134" t="s">
        <v>608</v>
      </c>
      <c r="G365" s="129">
        <v>8</v>
      </c>
      <c r="H365" s="129">
        <v>194</v>
      </c>
      <c r="I365" s="129">
        <v>504</v>
      </c>
      <c r="J365" s="129">
        <v>291.39999999999998</v>
      </c>
      <c r="K365" s="129">
        <v>66.7</v>
      </c>
      <c r="L365" s="129"/>
      <c r="M365" s="130"/>
      <c r="N365" s="131">
        <v>391</v>
      </c>
      <c r="O365" s="143"/>
      <c r="W365" s="86">
        <f t="shared" si="10"/>
        <v>0</v>
      </c>
      <c r="X365" s="87">
        <f t="shared" si="11"/>
        <v>0</v>
      </c>
    </row>
    <row r="366" spans="1:24" x14ac:dyDescent="0.35">
      <c r="A366" s="125">
        <v>436</v>
      </c>
      <c r="B366" s="126">
        <v>14</v>
      </c>
      <c r="C366" s="133" t="s">
        <v>45</v>
      </c>
      <c r="D366" s="133" t="s">
        <v>953</v>
      </c>
      <c r="E366" s="133" t="s">
        <v>50</v>
      </c>
      <c r="F366" s="133" t="s">
        <v>922</v>
      </c>
      <c r="G366" s="126">
        <v>10</v>
      </c>
      <c r="H366" s="126">
        <v>257</v>
      </c>
      <c r="I366" s="126">
        <v>392</v>
      </c>
      <c r="J366" s="126">
        <v>313.7</v>
      </c>
      <c r="K366" s="126">
        <v>57.2</v>
      </c>
      <c r="L366" s="126"/>
      <c r="M366" s="127"/>
      <c r="N366" s="132">
        <v>392</v>
      </c>
      <c r="O366" s="144"/>
      <c r="W366" s="86">
        <f t="shared" si="10"/>
        <v>0</v>
      </c>
      <c r="X366" s="87">
        <f t="shared" si="11"/>
        <v>0</v>
      </c>
    </row>
    <row r="367" spans="1:24" x14ac:dyDescent="0.35">
      <c r="A367" s="125">
        <v>316</v>
      </c>
      <c r="B367" s="126">
        <v>12</v>
      </c>
      <c r="C367" s="133" t="s">
        <v>45</v>
      </c>
      <c r="D367" s="133" t="s">
        <v>417</v>
      </c>
      <c r="E367" s="133" t="s">
        <v>149</v>
      </c>
      <c r="F367" s="133" t="s">
        <v>599</v>
      </c>
      <c r="G367" s="126">
        <v>6</v>
      </c>
      <c r="H367" s="126">
        <v>197</v>
      </c>
      <c r="I367" s="126">
        <v>389</v>
      </c>
      <c r="J367" s="126">
        <v>275.89999999999998</v>
      </c>
      <c r="K367" s="126">
        <v>40.9</v>
      </c>
      <c r="L367" s="126">
        <v>318</v>
      </c>
      <c r="M367" s="127">
        <v>2</v>
      </c>
      <c r="N367" s="132">
        <v>393</v>
      </c>
      <c r="O367" s="144"/>
      <c r="W367" s="86">
        <f t="shared" si="10"/>
        <v>0</v>
      </c>
      <c r="X367" s="87">
        <f t="shared" si="11"/>
        <v>0</v>
      </c>
    </row>
    <row r="368" spans="1:24" x14ac:dyDescent="0.35">
      <c r="A368" s="128">
        <v>363</v>
      </c>
      <c r="B368" s="129">
        <v>13</v>
      </c>
      <c r="C368" s="134" t="s">
        <v>45</v>
      </c>
      <c r="D368" s="134" t="s">
        <v>916</v>
      </c>
      <c r="E368" s="134" t="s">
        <v>97</v>
      </c>
      <c r="F368" s="134" t="s">
        <v>740</v>
      </c>
      <c r="G368" s="129">
        <v>11</v>
      </c>
      <c r="H368" s="129">
        <v>241</v>
      </c>
      <c r="I368" s="129">
        <v>359</v>
      </c>
      <c r="J368" s="129">
        <v>308.10000000000002</v>
      </c>
      <c r="K368" s="129">
        <v>33.200000000000003</v>
      </c>
      <c r="L368" s="129">
        <v>342</v>
      </c>
      <c r="M368" s="130">
        <v>-21</v>
      </c>
      <c r="N368" s="131">
        <v>394</v>
      </c>
      <c r="O368" s="143"/>
      <c r="W368" s="86">
        <f t="shared" si="10"/>
        <v>0</v>
      </c>
      <c r="X368" s="87">
        <f t="shared" si="11"/>
        <v>0</v>
      </c>
    </row>
    <row r="369" spans="1:24" x14ac:dyDescent="0.35">
      <c r="A369" s="128">
        <v>417</v>
      </c>
      <c r="B369" s="129">
        <v>14</v>
      </c>
      <c r="C369" s="134" t="s">
        <v>45</v>
      </c>
      <c r="D369" s="134" t="s">
        <v>945</v>
      </c>
      <c r="E369" s="134" t="s">
        <v>108</v>
      </c>
      <c r="F369" s="134" t="s">
        <v>805</v>
      </c>
      <c r="G369" s="129">
        <v>7</v>
      </c>
      <c r="H369" s="129">
        <v>281</v>
      </c>
      <c r="I369" s="129">
        <v>434</v>
      </c>
      <c r="J369" s="129">
        <v>351.2</v>
      </c>
      <c r="K369" s="129">
        <v>49.3</v>
      </c>
      <c r="L369" s="129"/>
      <c r="M369" s="130"/>
      <c r="N369" s="131">
        <v>396</v>
      </c>
      <c r="O369" s="143"/>
      <c r="W369" s="86">
        <f t="shared" si="10"/>
        <v>0</v>
      </c>
      <c r="X369" s="87">
        <f t="shared" si="11"/>
        <v>0</v>
      </c>
    </row>
    <row r="370" spans="1:24" x14ac:dyDescent="0.35">
      <c r="A370" s="128">
        <v>429</v>
      </c>
      <c r="B370" s="129">
        <v>14</v>
      </c>
      <c r="C370" s="134" t="s">
        <v>45</v>
      </c>
      <c r="D370" s="134" t="s">
        <v>763</v>
      </c>
      <c r="E370" s="134" t="s">
        <v>1222</v>
      </c>
      <c r="F370" s="134" t="s">
        <v>910</v>
      </c>
      <c r="G370" s="129">
        <v>6</v>
      </c>
      <c r="H370" s="129">
        <v>265</v>
      </c>
      <c r="I370" s="129">
        <v>419</v>
      </c>
      <c r="J370" s="129">
        <v>362.3</v>
      </c>
      <c r="K370" s="129">
        <v>43.3</v>
      </c>
      <c r="L370" s="129"/>
      <c r="M370" s="130"/>
      <c r="N370" s="131">
        <v>397</v>
      </c>
      <c r="O370" s="143"/>
      <c r="W370" s="86">
        <f t="shared" si="10"/>
        <v>0</v>
      </c>
      <c r="X370" s="87">
        <f t="shared" si="11"/>
        <v>0</v>
      </c>
    </row>
    <row r="371" spans="1:24" x14ac:dyDescent="0.35">
      <c r="A371" s="125">
        <v>434</v>
      </c>
      <c r="B371" s="126">
        <v>14</v>
      </c>
      <c r="C371" s="133" t="s">
        <v>45</v>
      </c>
      <c r="D371" s="133" t="s">
        <v>598</v>
      </c>
      <c r="E371" s="133" t="s">
        <v>85</v>
      </c>
      <c r="F371" s="133" t="s">
        <v>718</v>
      </c>
      <c r="G371" s="126">
        <v>9</v>
      </c>
      <c r="H371" s="126">
        <v>297</v>
      </c>
      <c r="I371" s="126">
        <v>440</v>
      </c>
      <c r="J371" s="126">
        <v>362.2</v>
      </c>
      <c r="K371" s="126">
        <v>47</v>
      </c>
      <c r="L371" s="126"/>
      <c r="M371" s="127"/>
      <c r="N371" s="132">
        <v>398</v>
      </c>
      <c r="O371" s="144"/>
      <c r="W371" s="86">
        <f t="shared" si="10"/>
        <v>0</v>
      </c>
      <c r="X371" s="87">
        <f t="shared" si="11"/>
        <v>0</v>
      </c>
    </row>
    <row r="372" spans="1:24" x14ac:dyDescent="0.35">
      <c r="A372" s="125">
        <v>394</v>
      </c>
      <c r="B372" s="126">
        <v>14</v>
      </c>
      <c r="C372" s="133" t="s">
        <v>45</v>
      </c>
      <c r="D372" s="133" t="s">
        <v>1258</v>
      </c>
      <c r="E372" s="133" t="s">
        <v>47</v>
      </c>
      <c r="F372" s="133" t="s">
        <v>764</v>
      </c>
      <c r="G372" s="126">
        <v>11</v>
      </c>
      <c r="H372" s="126">
        <v>251</v>
      </c>
      <c r="I372" s="126">
        <v>410</v>
      </c>
      <c r="J372" s="126">
        <v>335.9</v>
      </c>
      <c r="K372" s="126">
        <v>51.2</v>
      </c>
      <c r="L372" s="126">
        <v>341</v>
      </c>
      <c r="M372" s="127">
        <v>-53</v>
      </c>
      <c r="N372" s="132">
        <v>399</v>
      </c>
      <c r="O372" s="144"/>
      <c r="W372" s="86">
        <f t="shared" si="10"/>
        <v>0</v>
      </c>
      <c r="X372" s="87">
        <f t="shared" si="11"/>
        <v>0</v>
      </c>
    </row>
    <row r="373" spans="1:24" x14ac:dyDescent="0.35">
      <c r="A373" s="125">
        <v>438</v>
      </c>
      <c r="B373" s="126">
        <v>14</v>
      </c>
      <c r="C373" s="133" t="s">
        <v>45</v>
      </c>
      <c r="D373" s="133" t="s">
        <v>602</v>
      </c>
      <c r="E373" s="133" t="s">
        <v>174</v>
      </c>
      <c r="F373" s="133" t="s">
        <v>727</v>
      </c>
      <c r="G373" s="126">
        <v>11</v>
      </c>
      <c r="H373" s="126">
        <v>247</v>
      </c>
      <c r="I373" s="126">
        <v>437</v>
      </c>
      <c r="J373" s="126">
        <v>366</v>
      </c>
      <c r="K373" s="126">
        <v>58.6</v>
      </c>
      <c r="L373" s="126"/>
      <c r="M373" s="127"/>
      <c r="N373" s="132">
        <v>400</v>
      </c>
      <c r="O373" s="144"/>
      <c r="W373" s="86">
        <f t="shared" si="10"/>
        <v>0</v>
      </c>
      <c r="X373" s="87">
        <f t="shared" si="11"/>
        <v>0</v>
      </c>
    </row>
    <row r="374" spans="1:24" x14ac:dyDescent="0.35">
      <c r="A374" s="125">
        <v>210</v>
      </c>
      <c r="B374" s="126">
        <v>10</v>
      </c>
      <c r="C374" s="133" t="s">
        <v>45</v>
      </c>
      <c r="D374" s="133" t="s">
        <v>791</v>
      </c>
      <c r="E374" s="133" t="s">
        <v>105</v>
      </c>
      <c r="F374" s="133" t="s">
        <v>512</v>
      </c>
      <c r="G374" s="126">
        <v>13</v>
      </c>
      <c r="H374" s="126">
        <v>91</v>
      </c>
      <c r="I374" s="126">
        <v>282</v>
      </c>
      <c r="J374" s="126">
        <v>203</v>
      </c>
      <c r="K374" s="126">
        <v>25.5</v>
      </c>
      <c r="L374" s="126">
        <v>197</v>
      </c>
      <c r="M374" s="127">
        <v>-13</v>
      </c>
      <c r="N374" s="132" t="e">
        <v>#N/A</v>
      </c>
      <c r="O374" s="144"/>
      <c r="W374" s="86">
        <f t="shared" si="10"/>
        <v>203</v>
      </c>
      <c r="X374" s="87">
        <f t="shared" si="11"/>
        <v>25.5</v>
      </c>
    </row>
    <row r="375" spans="1:24" x14ac:dyDescent="0.35">
      <c r="A375" s="128">
        <v>241</v>
      </c>
      <c r="B375" s="129">
        <v>11</v>
      </c>
      <c r="C375" s="134" t="s">
        <v>45</v>
      </c>
      <c r="D375" s="134" t="s">
        <v>1408</v>
      </c>
      <c r="E375" s="134" t="s">
        <v>119</v>
      </c>
      <c r="F375" s="134" t="s">
        <v>446</v>
      </c>
      <c r="G375" s="129">
        <v>6</v>
      </c>
      <c r="H375" s="129">
        <v>111</v>
      </c>
      <c r="I375" s="129">
        <v>299</v>
      </c>
      <c r="J375" s="129">
        <v>220.8</v>
      </c>
      <c r="K375" s="129">
        <v>31.2</v>
      </c>
      <c r="L375" s="129">
        <v>243</v>
      </c>
      <c r="M375" s="130">
        <v>2</v>
      </c>
      <c r="N375" s="131" t="e">
        <v>#N/A</v>
      </c>
      <c r="O375" s="143"/>
      <c r="W375" s="86">
        <f t="shared" si="10"/>
        <v>0</v>
      </c>
      <c r="X375" s="87">
        <f t="shared" si="11"/>
        <v>0</v>
      </c>
    </row>
    <row r="376" spans="1:24" x14ac:dyDescent="0.35">
      <c r="A376" s="125">
        <v>288</v>
      </c>
      <c r="B376" s="126">
        <v>12</v>
      </c>
      <c r="C376" s="133" t="s">
        <v>45</v>
      </c>
      <c r="D376" s="133" t="s">
        <v>188</v>
      </c>
      <c r="E376" s="133" t="s">
        <v>119</v>
      </c>
      <c r="F376" s="133" t="s">
        <v>637</v>
      </c>
      <c r="G376" s="126">
        <v>6</v>
      </c>
      <c r="H376" s="126">
        <v>117</v>
      </c>
      <c r="I376" s="126">
        <v>360</v>
      </c>
      <c r="J376" s="126">
        <v>228.3</v>
      </c>
      <c r="K376" s="126">
        <v>66.900000000000006</v>
      </c>
      <c r="L376" s="126">
        <v>337</v>
      </c>
      <c r="M376" s="127">
        <v>49</v>
      </c>
      <c r="N376" s="132" t="e">
        <v>#N/A</v>
      </c>
      <c r="O376" s="144"/>
      <c r="W376" s="86">
        <f t="shared" si="10"/>
        <v>0</v>
      </c>
      <c r="X376" s="87">
        <f t="shared" si="11"/>
        <v>0</v>
      </c>
    </row>
    <row r="377" spans="1:24" x14ac:dyDescent="0.35">
      <c r="A377" s="128">
        <v>195</v>
      </c>
      <c r="B377" s="129">
        <v>10</v>
      </c>
      <c r="C377" s="134" t="s">
        <v>45</v>
      </c>
      <c r="D377" s="134" t="s">
        <v>927</v>
      </c>
      <c r="E377" s="134" t="s">
        <v>88</v>
      </c>
      <c r="F377" s="134" t="s">
        <v>424</v>
      </c>
      <c r="G377" s="129">
        <v>10</v>
      </c>
      <c r="H377" s="129">
        <v>96</v>
      </c>
      <c r="I377" s="129">
        <v>299</v>
      </c>
      <c r="J377" s="129">
        <v>187.1</v>
      </c>
      <c r="K377" s="129">
        <v>47.3</v>
      </c>
      <c r="L377" s="129">
        <v>283</v>
      </c>
      <c r="M377" s="130">
        <v>88</v>
      </c>
      <c r="N377" s="131" t="e">
        <v>#N/A</v>
      </c>
      <c r="O377" s="143"/>
      <c r="W377" s="86">
        <f t="shared" si="10"/>
        <v>0</v>
      </c>
      <c r="X377" s="87">
        <f t="shared" si="11"/>
        <v>0</v>
      </c>
    </row>
    <row r="378" spans="1:24" x14ac:dyDescent="0.35">
      <c r="A378" s="128">
        <v>201</v>
      </c>
      <c r="B378" s="129">
        <v>10</v>
      </c>
      <c r="C378" s="134" t="s">
        <v>45</v>
      </c>
      <c r="D378" s="134" t="s">
        <v>355</v>
      </c>
      <c r="E378" s="134" t="s">
        <v>1222</v>
      </c>
      <c r="F378" s="134" t="s">
        <v>406</v>
      </c>
      <c r="G378" s="129">
        <v>6</v>
      </c>
      <c r="H378" s="129">
        <v>126</v>
      </c>
      <c r="I378" s="129">
        <v>284</v>
      </c>
      <c r="J378" s="129">
        <v>203.8</v>
      </c>
      <c r="K378" s="129">
        <v>33.6</v>
      </c>
      <c r="L378" s="129">
        <v>217</v>
      </c>
      <c r="M378" s="130">
        <v>16</v>
      </c>
      <c r="N378" s="131" t="e">
        <v>#N/A</v>
      </c>
      <c r="O378" s="143"/>
      <c r="W378" s="86">
        <f t="shared" si="10"/>
        <v>0</v>
      </c>
      <c r="X378" s="87">
        <f t="shared" si="11"/>
        <v>0</v>
      </c>
    </row>
    <row r="379" spans="1:24" x14ac:dyDescent="0.35">
      <c r="A379" s="125">
        <v>430</v>
      </c>
      <c r="B379" s="126">
        <v>14</v>
      </c>
      <c r="C379" s="133" t="s">
        <v>45</v>
      </c>
      <c r="D379" s="133" t="s">
        <v>1257</v>
      </c>
      <c r="E379" s="133" t="s">
        <v>105</v>
      </c>
      <c r="F379" s="133" t="s">
        <v>713</v>
      </c>
      <c r="G379" s="126">
        <v>13</v>
      </c>
      <c r="H379" s="126">
        <v>278</v>
      </c>
      <c r="I379" s="126">
        <v>387</v>
      </c>
      <c r="J379" s="126">
        <v>347.4</v>
      </c>
      <c r="K379" s="126">
        <v>34.200000000000003</v>
      </c>
      <c r="L379" s="126"/>
      <c r="M379" s="127"/>
      <c r="N379" s="132" t="e">
        <v>#N/A</v>
      </c>
      <c r="O379" s="144"/>
      <c r="W379" s="86">
        <f t="shared" si="10"/>
        <v>0</v>
      </c>
      <c r="X379" s="87">
        <f t="shared" si="11"/>
        <v>0</v>
      </c>
    </row>
    <row r="380" spans="1:24" x14ac:dyDescent="0.35">
      <c r="A380" s="128">
        <v>407</v>
      </c>
      <c r="B380" s="129">
        <v>14</v>
      </c>
      <c r="C380" s="134" t="s">
        <v>45</v>
      </c>
      <c r="D380" s="134" t="s">
        <v>527</v>
      </c>
      <c r="E380" s="134" t="s">
        <v>184</v>
      </c>
      <c r="F380" s="134" t="s">
        <v>696</v>
      </c>
      <c r="G380" s="129">
        <v>8</v>
      </c>
      <c r="H380" s="129">
        <v>206</v>
      </c>
      <c r="I380" s="129">
        <v>432</v>
      </c>
      <c r="J380" s="129">
        <v>299.8</v>
      </c>
      <c r="K380" s="129">
        <v>85.6</v>
      </c>
      <c r="L380" s="129"/>
      <c r="M380" s="130"/>
      <c r="N380" s="131" t="e">
        <v>#N/A</v>
      </c>
      <c r="O380" s="143"/>
      <c r="W380" s="86">
        <f t="shared" si="10"/>
        <v>0</v>
      </c>
      <c r="X380" s="87">
        <f t="shared" si="11"/>
        <v>0</v>
      </c>
    </row>
    <row r="381" spans="1:24" x14ac:dyDescent="0.35">
      <c r="A381" s="128">
        <v>275</v>
      </c>
      <c r="B381" s="129">
        <v>12</v>
      </c>
      <c r="C381" s="134" t="s">
        <v>45</v>
      </c>
      <c r="D381" s="134" t="s">
        <v>1234</v>
      </c>
      <c r="E381" s="134" t="s">
        <v>105</v>
      </c>
      <c r="F381" s="134" t="s">
        <v>586</v>
      </c>
      <c r="G381" s="129">
        <v>13</v>
      </c>
      <c r="H381" s="129">
        <v>156</v>
      </c>
      <c r="I381" s="129">
        <v>336</v>
      </c>
      <c r="J381" s="129">
        <v>263.8</v>
      </c>
      <c r="K381" s="129">
        <v>38.6</v>
      </c>
      <c r="L381" s="129">
        <v>327</v>
      </c>
      <c r="M381" s="130">
        <v>52</v>
      </c>
      <c r="N381" s="131" t="e">
        <v>#N/A</v>
      </c>
      <c r="O381" s="143"/>
      <c r="W381" s="86">
        <f t="shared" si="10"/>
        <v>0</v>
      </c>
      <c r="X381" s="87">
        <f t="shared" si="11"/>
        <v>0</v>
      </c>
    </row>
    <row r="382" spans="1:24" x14ac:dyDescent="0.35">
      <c r="A382" s="125">
        <v>308</v>
      </c>
      <c r="B382" s="126">
        <v>12</v>
      </c>
      <c r="C382" s="133" t="s">
        <v>45</v>
      </c>
      <c r="D382" s="133" t="s">
        <v>1247</v>
      </c>
      <c r="E382" s="133" t="s">
        <v>53</v>
      </c>
      <c r="F382" s="133" t="s">
        <v>651</v>
      </c>
      <c r="G382" s="126">
        <v>13</v>
      </c>
      <c r="H382" s="126">
        <v>192</v>
      </c>
      <c r="I382" s="126">
        <v>362</v>
      </c>
      <c r="J382" s="126">
        <v>291</v>
      </c>
      <c r="K382" s="126">
        <v>36.700000000000003</v>
      </c>
      <c r="L382" s="126">
        <v>343</v>
      </c>
      <c r="M382" s="127">
        <v>35</v>
      </c>
      <c r="N382" s="132" t="e">
        <v>#N/A</v>
      </c>
      <c r="O382" s="144"/>
      <c r="W382" s="86">
        <f t="shared" si="10"/>
        <v>0</v>
      </c>
      <c r="X382" s="87">
        <f t="shared" si="11"/>
        <v>0</v>
      </c>
    </row>
    <row r="383" spans="1:24" x14ac:dyDescent="0.35">
      <c r="A383" s="125">
        <v>418</v>
      </c>
      <c r="B383" s="126">
        <v>14</v>
      </c>
      <c r="C383" s="133" t="s">
        <v>45</v>
      </c>
      <c r="D383" s="133" t="s">
        <v>604</v>
      </c>
      <c r="E383" s="133" t="s">
        <v>65</v>
      </c>
      <c r="F383" s="133" t="s">
        <v>706</v>
      </c>
      <c r="G383" s="126">
        <v>5</v>
      </c>
      <c r="H383" s="126">
        <v>277</v>
      </c>
      <c r="I383" s="126">
        <v>408</v>
      </c>
      <c r="J383" s="126">
        <v>335.6</v>
      </c>
      <c r="K383" s="126">
        <v>39.299999999999997</v>
      </c>
      <c r="L383" s="126"/>
      <c r="M383" s="127"/>
      <c r="N383" s="132" t="e">
        <v>#N/A</v>
      </c>
      <c r="O383" s="144"/>
      <c r="W383" s="86">
        <f t="shared" si="10"/>
        <v>0</v>
      </c>
      <c r="X383" s="87">
        <f t="shared" si="11"/>
        <v>0</v>
      </c>
    </row>
    <row r="384" spans="1:24" x14ac:dyDescent="0.35">
      <c r="A384" s="128">
        <v>311</v>
      </c>
      <c r="B384" s="129">
        <v>12</v>
      </c>
      <c r="C384" s="134" t="s">
        <v>45</v>
      </c>
      <c r="D384" s="134" t="s">
        <v>1231</v>
      </c>
      <c r="E384" s="134" t="s">
        <v>179</v>
      </c>
      <c r="F384" s="134" t="s">
        <v>656</v>
      </c>
      <c r="G384" s="129">
        <v>11</v>
      </c>
      <c r="H384" s="129">
        <v>220</v>
      </c>
      <c r="I384" s="129">
        <v>335</v>
      </c>
      <c r="J384" s="129">
        <v>287.3</v>
      </c>
      <c r="K384" s="129">
        <v>26.9</v>
      </c>
      <c r="L384" s="129">
        <v>313</v>
      </c>
      <c r="M384" s="130">
        <v>2</v>
      </c>
      <c r="N384" s="131" t="e">
        <v>#N/A</v>
      </c>
      <c r="O384" s="143"/>
      <c r="W384" s="86">
        <f t="shared" si="10"/>
        <v>0</v>
      </c>
      <c r="X384" s="87">
        <f t="shared" si="11"/>
        <v>0</v>
      </c>
    </row>
    <row r="385" spans="1:24" x14ac:dyDescent="0.35">
      <c r="A385" s="125">
        <v>410</v>
      </c>
      <c r="B385" s="126">
        <v>14</v>
      </c>
      <c r="C385" s="133" t="s">
        <v>45</v>
      </c>
      <c r="D385" s="133" t="s">
        <v>771</v>
      </c>
      <c r="E385" s="133" t="s">
        <v>62</v>
      </c>
      <c r="F385" s="133" t="s">
        <v>781</v>
      </c>
      <c r="G385" s="126">
        <v>8</v>
      </c>
      <c r="H385" s="126">
        <v>171</v>
      </c>
      <c r="I385" s="126">
        <v>467</v>
      </c>
      <c r="J385" s="126">
        <v>314.2</v>
      </c>
      <c r="K385" s="126">
        <v>101.5</v>
      </c>
      <c r="L385" s="126"/>
      <c r="M385" s="127"/>
      <c r="N385" s="132" t="e">
        <v>#N/A</v>
      </c>
      <c r="O385" s="144"/>
      <c r="W385" s="86">
        <f t="shared" si="10"/>
        <v>0</v>
      </c>
      <c r="X385" s="87">
        <f t="shared" si="11"/>
        <v>0</v>
      </c>
    </row>
    <row r="386" spans="1:24" x14ac:dyDescent="0.35">
      <c r="A386" s="128">
        <v>353</v>
      </c>
      <c r="B386" s="129">
        <v>13</v>
      </c>
      <c r="C386" s="134" t="s">
        <v>45</v>
      </c>
      <c r="D386" s="134" t="s">
        <v>590</v>
      </c>
      <c r="E386" s="134" t="s">
        <v>1222</v>
      </c>
      <c r="F386" s="134" t="s">
        <v>691</v>
      </c>
      <c r="G386" s="129">
        <v>6</v>
      </c>
      <c r="H386" s="129">
        <v>142</v>
      </c>
      <c r="I386" s="129">
        <v>401</v>
      </c>
      <c r="J386" s="129">
        <v>296.10000000000002</v>
      </c>
      <c r="K386" s="129">
        <v>48.8</v>
      </c>
      <c r="L386" s="129"/>
      <c r="M386" s="130"/>
      <c r="N386" s="131" t="e">
        <v>#N/A</v>
      </c>
      <c r="O386" s="143"/>
      <c r="W386" s="86">
        <f t="shared" si="10"/>
        <v>0</v>
      </c>
      <c r="X386" s="87">
        <f t="shared" si="11"/>
        <v>0</v>
      </c>
    </row>
    <row r="387" spans="1:24" x14ac:dyDescent="0.35">
      <c r="A387" s="128">
        <v>393</v>
      </c>
      <c r="B387" s="129">
        <v>14</v>
      </c>
      <c r="C387" s="134" t="s">
        <v>45</v>
      </c>
      <c r="D387" s="134" t="s">
        <v>592</v>
      </c>
      <c r="E387" s="134" t="s">
        <v>122</v>
      </c>
      <c r="F387" s="134" t="s">
        <v>747</v>
      </c>
      <c r="G387" s="129">
        <v>7</v>
      </c>
      <c r="H387" s="129">
        <v>225</v>
      </c>
      <c r="I387" s="129">
        <v>338</v>
      </c>
      <c r="J387" s="129">
        <v>296.3</v>
      </c>
      <c r="K387" s="129">
        <v>33.4</v>
      </c>
      <c r="L387" s="129">
        <v>285</v>
      </c>
      <c r="M387" s="130">
        <v>-108</v>
      </c>
      <c r="N387" s="131" t="e">
        <v>#N/A</v>
      </c>
      <c r="O387" s="143"/>
      <c r="W387" s="86">
        <f t="shared" ref="W387:W425" si="12">IF(LEFT(F387,1)="K",J387,0)</f>
        <v>296.3</v>
      </c>
      <c r="X387" s="87">
        <f t="shared" ref="X387:X425" si="13">IF(LEFT(F387,1)="K",K387,0)</f>
        <v>33.4</v>
      </c>
    </row>
    <row r="388" spans="1:24" x14ac:dyDescent="0.35">
      <c r="A388" s="128">
        <v>265</v>
      </c>
      <c r="B388" s="129">
        <v>11</v>
      </c>
      <c r="C388" s="134" t="s">
        <v>45</v>
      </c>
      <c r="D388" s="134" t="s">
        <v>1229</v>
      </c>
      <c r="E388" s="134" t="s">
        <v>241</v>
      </c>
      <c r="F388" s="134" t="s">
        <v>578</v>
      </c>
      <c r="G388" s="129">
        <v>11</v>
      </c>
      <c r="H388" s="129">
        <v>145</v>
      </c>
      <c r="I388" s="129">
        <v>301</v>
      </c>
      <c r="J388" s="129">
        <v>259.7</v>
      </c>
      <c r="K388" s="129">
        <v>31.2</v>
      </c>
      <c r="L388" s="129">
        <v>218</v>
      </c>
      <c r="M388" s="130">
        <v>-47</v>
      </c>
      <c r="N388" s="131" t="e">
        <v>#N/A</v>
      </c>
      <c r="O388" s="143"/>
      <c r="W388" s="86">
        <f t="shared" si="12"/>
        <v>259.7</v>
      </c>
      <c r="X388" s="87">
        <f t="shared" si="13"/>
        <v>31.2</v>
      </c>
    </row>
    <row r="389" spans="1:24" x14ac:dyDescent="0.35">
      <c r="A389" s="125">
        <v>462</v>
      </c>
      <c r="B389" s="126">
        <v>15</v>
      </c>
      <c r="C389" s="133" t="s">
        <v>45</v>
      </c>
      <c r="D389" s="133" t="s">
        <v>522</v>
      </c>
      <c r="E389" s="133" t="s">
        <v>68</v>
      </c>
      <c r="F389" s="133" t="s">
        <v>742</v>
      </c>
      <c r="G389" s="126">
        <v>8</v>
      </c>
      <c r="H389" s="126">
        <v>277</v>
      </c>
      <c r="I389" s="126">
        <v>526</v>
      </c>
      <c r="J389" s="126">
        <v>393</v>
      </c>
      <c r="K389" s="126">
        <v>102.4</v>
      </c>
      <c r="L389" s="126"/>
      <c r="M389" s="127"/>
      <c r="N389" s="132" t="e">
        <v>#N/A</v>
      </c>
      <c r="O389" s="144"/>
      <c r="W389" s="86">
        <f t="shared" si="12"/>
        <v>0</v>
      </c>
      <c r="X389" s="87">
        <f t="shared" si="13"/>
        <v>0</v>
      </c>
    </row>
    <row r="390" spans="1:24" x14ac:dyDescent="0.35">
      <c r="A390" s="128">
        <v>447</v>
      </c>
      <c r="B390" s="129">
        <v>14</v>
      </c>
      <c r="C390" s="134" t="s">
        <v>45</v>
      </c>
      <c r="D390" s="134" t="s">
        <v>1452</v>
      </c>
      <c r="E390" s="134" t="s">
        <v>122</v>
      </c>
      <c r="F390" s="134" t="s">
        <v>737</v>
      </c>
      <c r="G390" s="129">
        <v>7</v>
      </c>
      <c r="H390" s="129">
        <v>255</v>
      </c>
      <c r="I390" s="129">
        <v>427</v>
      </c>
      <c r="J390" s="129">
        <v>341.3</v>
      </c>
      <c r="K390" s="129">
        <v>70.2</v>
      </c>
      <c r="L390" s="129"/>
      <c r="M390" s="130"/>
      <c r="N390" s="131" t="e">
        <v>#N/A</v>
      </c>
      <c r="O390" s="143"/>
      <c r="W390" s="86">
        <f t="shared" si="12"/>
        <v>0</v>
      </c>
      <c r="X390" s="87">
        <f t="shared" si="13"/>
        <v>0</v>
      </c>
    </row>
    <row r="391" spans="1:24" x14ac:dyDescent="0.35">
      <c r="A391" s="125">
        <v>276</v>
      </c>
      <c r="B391" s="126">
        <v>12</v>
      </c>
      <c r="C391" s="133" t="s">
        <v>45</v>
      </c>
      <c r="D391" s="133" t="s">
        <v>146</v>
      </c>
      <c r="E391" s="133" t="s">
        <v>487</v>
      </c>
      <c r="F391" s="133" t="s">
        <v>618</v>
      </c>
      <c r="G391" s="126"/>
      <c r="H391" s="126">
        <v>68</v>
      </c>
      <c r="I391" s="126">
        <v>379</v>
      </c>
      <c r="J391" s="126">
        <v>235.1</v>
      </c>
      <c r="K391" s="126">
        <v>57.4</v>
      </c>
      <c r="L391" s="126">
        <v>208</v>
      </c>
      <c r="M391" s="127">
        <v>-68</v>
      </c>
      <c r="N391" s="132" t="e">
        <v>#N/A</v>
      </c>
      <c r="O391" s="144"/>
      <c r="W391" s="86">
        <f t="shared" si="12"/>
        <v>0</v>
      </c>
      <c r="X391" s="87">
        <f t="shared" si="13"/>
        <v>0</v>
      </c>
    </row>
    <row r="392" spans="1:24" x14ac:dyDescent="0.35">
      <c r="A392" s="128">
        <v>283</v>
      </c>
      <c r="B392" s="129">
        <v>12</v>
      </c>
      <c r="C392" s="134" t="s">
        <v>45</v>
      </c>
      <c r="D392" s="134" t="s">
        <v>511</v>
      </c>
      <c r="E392" s="134" t="s">
        <v>71</v>
      </c>
      <c r="F392" s="134" t="s">
        <v>597</v>
      </c>
      <c r="G392" s="129">
        <v>11</v>
      </c>
      <c r="H392" s="129">
        <v>146</v>
      </c>
      <c r="I392" s="129">
        <v>328</v>
      </c>
      <c r="J392" s="129">
        <v>274.60000000000002</v>
      </c>
      <c r="K392" s="129">
        <v>37.700000000000003</v>
      </c>
      <c r="L392" s="129"/>
      <c r="M392" s="130"/>
      <c r="N392" s="131" t="e">
        <v>#N/A</v>
      </c>
      <c r="O392" s="143"/>
      <c r="W392" s="86">
        <f t="shared" si="12"/>
        <v>274.60000000000002</v>
      </c>
      <c r="X392" s="87">
        <f t="shared" si="13"/>
        <v>37.700000000000003</v>
      </c>
    </row>
    <row r="393" spans="1:24" x14ac:dyDescent="0.35">
      <c r="A393" s="125">
        <v>294</v>
      </c>
      <c r="B393" s="126">
        <v>12</v>
      </c>
      <c r="C393" s="133" t="s">
        <v>45</v>
      </c>
      <c r="D393" s="133" t="s">
        <v>540</v>
      </c>
      <c r="E393" s="133" t="s">
        <v>487</v>
      </c>
      <c r="F393" s="133" t="s">
        <v>625</v>
      </c>
      <c r="G393" s="126"/>
      <c r="H393" s="126">
        <v>155</v>
      </c>
      <c r="I393" s="126">
        <v>325</v>
      </c>
      <c r="J393" s="126">
        <v>280.89999999999998</v>
      </c>
      <c r="K393" s="126">
        <v>32.6</v>
      </c>
      <c r="L393" s="126">
        <v>332</v>
      </c>
      <c r="M393" s="127">
        <v>38</v>
      </c>
      <c r="N393" s="132" t="e">
        <v>#N/A</v>
      </c>
      <c r="O393" s="144"/>
      <c r="W393" s="86">
        <f t="shared" si="12"/>
        <v>280.89999999999998</v>
      </c>
      <c r="X393" s="87">
        <f t="shared" si="13"/>
        <v>32.6</v>
      </c>
    </row>
    <row r="394" spans="1:24" x14ac:dyDescent="0.35">
      <c r="A394" s="128">
        <v>303</v>
      </c>
      <c r="B394" s="129">
        <v>12</v>
      </c>
      <c r="C394" s="134" t="s">
        <v>45</v>
      </c>
      <c r="D394" s="134" t="s">
        <v>1002</v>
      </c>
      <c r="E394" s="134" t="s">
        <v>80</v>
      </c>
      <c r="F394" s="134" t="s">
        <v>549</v>
      </c>
      <c r="G394" s="129">
        <v>9</v>
      </c>
      <c r="H394" s="129">
        <v>183</v>
      </c>
      <c r="I394" s="129">
        <v>518</v>
      </c>
      <c r="J394" s="129">
        <v>271.39999999999998</v>
      </c>
      <c r="K394" s="129">
        <v>56.4</v>
      </c>
      <c r="L394" s="129">
        <v>296</v>
      </c>
      <c r="M394" s="130">
        <v>-7</v>
      </c>
      <c r="N394" s="131" t="e">
        <v>#N/A</v>
      </c>
      <c r="O394" s="143"/>
      <c r="W394" s="86">
        <f t="shared" si="12"/>
        <v>0</v>
      </c>
      <c r="X394" s="87">
        <f t="shared" si="13"/>
        <v>0</v>
      </c>
    </row>
    <row r="395" spans="1:24" x14ac:dyDescent="0.35">
      <c r="A395" s="125">
        <v>320</v>
      </c>
      <c r="B395" s="126">
        <v>12</v>
      </c>
      <c r="C395" s="133" t="s">
        <v>45</v>
      </c>
      <c r="D395" s="133" t="s">
        <v>903</v>
      </c>
      <c r="E395" s="133" t="s">
        <v>77</v>
      </c>
      <c r="F395" s="133" t="s">
        <v>664</v>
      </c>
      <c r="G395" s="126">
        <v>10</v>
      </c>
      <c r="H395" s="126">
        <v>227</v>
      </c>
      <c r="I395" s="126">
        <v>355</v>
      </c>
      <c r="J395" s="126">
        <v>305.60000000000002</v>
      </c>
      <c r="K395" s="126">
        <v>29</v>
      </c>
      <c r="L395" s="126"/>
      <c r="M395" s="127"/>
      <c r="N395" s="132" t="e">
        <v>#N/A</v>
      </c>
      <c r="O395" s="144"/>
      <c r="W395" s="86">
        <f t="shared" si="12"/>
        <v>0</v>
      </c>
      <c r="X395" s="87">
        <f t="shared" si="13"/>
        <v>0</v>
      </c>
    </row>
    <row r="396" spans="1:24" x14ac:dyDescent="0.35">
      <c r="A396" s="128">
        <v>321</v>
      </c>
      <c r="B396" s="129">
        <v>12</v>
      </c>
      <c r="C396" s="134" t="s">
        <v>45</v>
      </c>
      <c r="D396" s="134" t="s">
        <v>491</v>
      </c>
      <c r="E396" s="134" t="s">
        <v>241</v>
      </c>
      <c r="F396" s="134" t="s">
        <v>669</v>
      </c>
      <c r="G396" s="129">
        <v>11</v>
      </c>
      <c r="H396" s="129">
        <v>215</v>
      </c>
      <c r="I396" s="129">
        <v>358</v>
      </c>
      <c r="J396" s="129">
        <v>296.3</v>
      </c>
      <c r="K396" s="129">
        <v>30.1</v>
      </c>
      <c r="L396" s="129"/>
      <c r="M396" s="130"/>
      <c r="N396" s="131" t="e">
        <v>#N/A</v>
      </c>
      <c r="O396" s="143"/>
      <c r="W396" s="86">
        <f t="shared" si="12"/>
        <v>0</v>
      </c>
      <c r="X396" s="87">
        <f t="shared" si="13"/>
        <v>0</v>
      </c>
    </row>
    <row r="397" spans="1:24" x14ac:dyDescent="0.35">
      <c r="A397" s="125">
        <v>332</v>
      </c>
      <c r="B397" s="126">
        <v>13</v>
      </c>
      <c r="C397" s="133" t="s">
        <v>45</v>
      </c>
      <c r="D397" s="133" t="s">
        <v>753</v>
      </c>
      <c r="E397" s="133" t="s">
        <v>149</v>
      </c>
      <c r="F397" s="133" t="s">
        <v>694</v>
      </c>
      <c r="G397" s="126">
        <v>6</v>
      </c>
      <c r="H397" s="126">
        <v>233</v>
      </c>
      <c r="I397" s="126">
        <v>391</v>
      </c>
      <c r="J397" s="126">
        <v>314.39999999999998</v>
      </c>
      <c r="K397" s="126">
        <v>29.9</v>
      </c>
      <c r="L397" s="126"/>
      <c r="M397" s="127"/>
      <c r="N397" s="132" t="e">
        <v>#N/A</v>
      </c>
      <c r="O397" s="144"/>
      <c r="W397" s="86">
        <f t="shared" si="12"/>
        <v>0</v>
      </c>
      <c r="X397" s="87">
        <f t="shared" si="13"/>
        <v>0</v>
      </c>
    </row>
    <row r="398" spans="1:24" x14ac:dyDescent="0.35">
      <c r="A398" s="125">
        <v>338</v>
      </c>
      <c r="B398" s="126">
        <v>13</v>
      </c>
      <c r="C398" s="133" t="s">
        <v>45</v>
      </c>
      <c r="D398" s="133" t="s">
        <v>974</v>
      </c>
      <c r="E398" s="133" t="s">
        <v>149</v>
      </c>
      <c r="F398" s="133" t="s">
        <v>653</v>
      </c>
      <c r="G398" s="126">
        <v>6</v>
      </c>
      <c r="H398" s="126">
        <v>224</v>
      </c>
      <c r="I398" s="126">
        <v>370</v>
      </c>
      <c r="J398" s="126">
        <v>286</v>
      </c>
      <c r="K398" s="126">
        <v>33.9</v>
      </c>
      <c r="L398" s="126">
        <v>311</v>
      </c>
      <c r="M398" s="127">
        <v>-27</v>
      </c>
      <c r="N398" s="132" t="e">
        <v>#N/A</v>
      </c>
      <c r="O398" s="144"/>
      <c r="W398" s="86">
        <f t="shared" si="12"/>
        <v>0</v>
      </c>
      <c r="X398" s="87">
        <f t="shared" si="13"/>
        <v>0</v>
      </c>
    </row>
    <row r="399" spans="1:24" x14ac:dyDescent="0.35">
      <c r="A399" s="128">
        <v>339</v>
      </c>
      <c r="B399" s="129">
        <v>13</v>
      </c>
      <c r="C399" s="134" t="s">
        <v>45</v>
      </c>
      <c r="D399" s="134" t="s">
        <v>1471</v>
      </c>
      <c r="E399" s="134" t="s">
        <v>45</v>
      </c>
      <c r="F399" s="134" t="s">
        <v>665</v>
      </c>
      <c r="G399" s="129">
        <v>8</v>
      </c>
      <c r="H399" s="129">
        <v>162</v>
      </c>
      <c r="I399" s="129">
        <v>339</v>
      </c>
      <c r="J399" s="129">
        <v>300.89999999999998</v>
      </c>
      <c r="K399" s="129">
        <v>25.7</v>
      </c>
      <c r="L399" s="129">
        <v>350</v>
      </c>
      <c r="M399" s="130">
        <v>11</v>
      </c>
      <c r="N399" s="131" t="e">
        <v>#N/A</v>
      </c>
      <c r="O399" s="143"/>
      <c r="W399" s="86">
        <f t="shared" si="12"/>
        <v>0</v>
      </c>
      <c r="X399" s="87">
        <f t="shared" si="13"/>
        <v>0</v>
      </c>
    </row>
    <row r="400" spans="1:24" x14ac:dyDescent="0.35">
      <c r="A400" s="125">
        <v>342</v>
      </c>
      <c r="B400" s="126">
        <v>13</v>
      </c>
      <c r="C400" s="133" t="s">
        <v>45</v>
      </c>
      <c r="D400" s="133" t="s">
        <v>1232</v>
      </c>
      <c r="E400" s="133" t="s">
        <v>134</v>
      </c>
      <c r="F400" s="133" t="s">
        <v>611</v>
      </c>
      <c r="G400" s="126">
        <v>9</v>
      </c>
      <c r="H400" s="126">
        <v>167</v>
      </c>
      <c r="I400" s="126">
        <v>427</v>
      </c>
      <c r="J400" s="126">
        <v>296.3</v>
      </c>
      <c r="K400" s="126">
        <v>54.9</v>
      </c>
      <c r="L400" s="126">
        <v>349</v>
      </c>
      <c r="M400" s="127">
        <v>7</v>
      </c>
      <c r="N400" s="132" t="e">
        <v>#N/A</v>
      </c>
      <c r="O400" s="144"/>
      <c r="W400" s="86">
        <f t="shared" si="12"/>
        <v>0</v>
      </c>
      <c r="X400" s="87">
        <f t="shared" si="13"/>
        <v>0</v>
      </c>
    </row>
    <row r="401" spans="1:24" x14ac:dyDescent="0.35">
      <c r="A401" s="125">
        <v>344</v>
      </c>
      <c r="B401" s="126">
        <v>13</v>
      </c>
      <c r="C401" s="133" t="s">
        <v>45</v>
      </c>
      <c r="D401" s="133" t="s">
        <v>1235</v>
      </c>
      <c r="E401" s="133" t="s">
        <v>487</v>
      </c>
      <c r="F401" s="133" t="s">
        <v>702</v>
      </c>
      <c r="G401" s="126"/>
      <c r="H401" s="126">
        <v>156</v>
      </c>
      <c r="I401" s="126">
        <v>371</v>
      </c>
      <c r="J401" s="126">
        <v>278.89999999999998</v>
      </c>
      <c r="K401" s="126">
        <v>45.7</v>
      </c>
      <c r="L401" s="126"/>
      <c r="M401" s="127"/>
      <c r="N401" s="132" t="e">
        <v>#N/A</v>
      </c>
      <c r="O401" s="144"/>
      <c r="W401" s="86">
        <f t="shared" si="12"/>
        <v>278.89999999999998</v>
      </c>
      <c r="X401" s="87">
        <f t="shared" si="13"/>
        <v>45.7</v>
      </c>
    </row>
    <row r="402" spans="1:24" x14ac:dyDescent="0.35">
      <c r="A402" s="125">
        <v>346</v>
      </c>
      <c r="B402" s="126">
        <v>13</v>
      </c>
      <c r="C402" s="133" t="s">
        <v>45</v>
      </c>
      <c r="D402" s="133" t="s">
        <v>183</v>
      </c>
      <c r="E402" s="133" t="s">
        <v>487</v>
      </c>
      <c r="F402" s="133" t="s">
        <v>698</v>
      </c>
      <c r="G402" s="126"/>
      <c r="H402" s="126">
        <v>56</v>
      </c>
      <c r="I402" s="126">
        <v>362</v>
      </c>
      <c r="J402" s="126">
        <v>166.3</v>
      </c>
      <c r="K402" s="126">
        <v>120.4</v>
      </c>
      <c r="L402" s="126">
        <v>139</v>
      </c>
      <c r="M402" s="127">
        <v>-207</v>
      </c>
      <c r="N402" s="132" t="e">
        <v>#N/A</v>
      </c>
      <c r="O402" s="144"/>
      <c r="W402" s="86">
        <f t="shared" si="12"/>
        <v>0</v>
      </c>
      <c r="X402" s="87">
        <f t="shared" si="13"/>
        <v>0</v>
      </c>
    </row>
    <row r="403" spans="1:24" x14ac:dyDescent="0.35">
      <c r="A403" s="125">
        <v>348</v>
      </c>
      <c r="B403" s="126">
        <v>13</v>
      </c>
      <c r="C403" s="133" t="s">
        <v>45</v>
      </c>
      <c r="D403" s="133" t="s">
        <v>635</v>
      </c>
      <c r="E403" s="133" t="s">
        <v>97</v>
      </c>
      <c r="F403" s="133" t="s">
        <v>703</v>
      </c>
      <c r="G403" s="126">
        <v>11</v>
      </c>
      <c r="H403" s="126">
        <v>156</v>
      </c>
      <c r="I403" s="126">
        <v>392</v>
      </c>
      <c r="J403" s="126">
        <v>307.8</v>
      </c>
      <c r="K403" s="126">
        <v>39.1</v>
      </c>
      <c r="L403" s="126"/>
      <c r="M403" s="127"/>
      <c r="N403" s="132" t="e">
        <v>#N/A</v>
      </c>
      <c r="O403" s="144"/>
      <c r="W403" s="86">
        <f t="shared" si="12"/>
        <v>0</v>
      </c>
      <c r="X403" s="87">
        <f t="shared" si="13"/>
        <v>0</v>
      </c>
    </row>
    <row r="404" spans="1:24" x14ac:dyDescent="0.35">
      <c r="A404" s="128">
        <v>349</v>
      </c>
      <c r="B404" s="129">
        <v>13</v>
      </c>
      <c r="C404" s="134" t="s">
        <v>45</v>
      </c>
      <c r="D404" s="134" t="s">
        <v>273</v>
      </c>
      <c r="E404" s="134" t="s">
        <v>62</v>
      </c>
      <c r="F404" s="134" t="s">
        <v>613</v>
      </c>
      <c r="G404" s="129">
        <v>8</v>
      </c>
      <c r="H404" s="129">
        <v>186</v>
      </c>
      <c r="I404" s="129">
        <v>417</v>
      </c>
      <c r="J404" s="129">
        <v>301.10000000000002</v>
      </c>
      <c r="K404" s="129">
        <v>46.8</v>
      </c>
      <c r="L404" s="129"/>
      <c r="M404" s="130"/>
      <c r="N404" s="131" t="e">
        <v>#N/A</v>
      </c>
      <c r="O404" s="143"/>
      <c r="W404" s="86">
        <f t="shared" si="12"/>
        <v>0</v>
      </c>
      <c r="X404" s="87">
        <f t="shared" si="13"/>
        <v>0</v>
      </c>
    </row>
    <row r="405" spans="1:24" x14ac:dyDescent="0.35">
      <c r="A405" s="128">
        <v>351</v>
      </c>
      <c r="B405" s="129">
        <v>13</v>
      </c>
      <c r="C405" s="134" t="s">
        <v>45</v>
      </c>
      <c r="D405" s="134" t="s">
        <v>368</v>
      </c>
      <c r="E405" s="134" t="s">
        <v>179</v>
      </c>
      <c r="F405" s="134" t="s">
        <v>708</v>
      </c>
      <c r="G405" s="129">
        <v>11</v>
      </c>
      <c r="H405" s="129">
        <v>114</v>
      </c>
      <c r="I405" s="129">
        <v>350</v>
      </c>
      <c r="J405" s="129">
        <v>306.5</v>
      </c>
      <c r="K405" s="129">
        <v>33</v>
      </c>
      <c r="L405" s="129"/>
      <c r="M405" s="130"/>
      <c r="N405" s="131" t="e">
        <v>#N/A</v>
      </c>
      <c r="O405" s="143"/>
      <c r="W405" s="86">
        <f t="shared" si="12"/>
        <v>0</v>
      </c>
      <c r="X405" s="87">
        <f t="shared" si="13"/>
        <v>0</v>
      </c>
    </row>
    <row r="406" spans="1:24" x14ac:dyDescent="0.35">
      <c r="A406" s="125">
        <v>352</v>
      </c>
      <c r="B406" s="126">
        <v>13</v>
      </c>
      <c r="C406" s="133" t="s">
        <v>45</v>
      </c>
      <c r="D406" s="133" t="s">
        <v>532</v>
      </c>
      <c r="E406" s="133" t="s">
        <v>487</v>
      </c>
      <c r="F406" s="133" t="s">
        <v>745</v>
      </c>
      <c r="G406" s="126"/>
      <c r="H406" s="126">
        <v>166</v>
      </c>
      <c r="I406" s="126">
        <v>376</v>
      </c>
      <c r="J406" s="126">
        <v>287.89999999999998</v>
      </c>
      <c r="K406" s="126">
        <v>45.3</v>
      </c>
      <c r="L406" s="126"/>
      <c r="M406" s="127"/>
      <c r="N406" s="132" t="e">
        <v>#N/A</v>
      </c>
      <c r="O406" s="144"/>
      <c r="W406" s="86">
        <f t="shared" si="12"/>
        <v>287.89999999999998</v>
      </c>
      <c r="X406" s="87">
        <f t="shared" si="13"/>
        <v>45.3</v>
      </c>
    </row>
    <row r="407" spans="1:24" x14ac:dyDescent="0.35">
      <c r="A407" s="125">
        <v>358</v>
      </c>
      <c r="B407" s="126">
        <v>13</v>
      </c>
      <c r="C407" s="133" t="s">
        <v>45</v>
      </c>
      <c r="D407" s="133" t="s">
        <v>477</v>
      </c>
      <c r="E407" s="133" t="s">
        <v>174</v>
      </c>
      <c r="F407" s="133" t="s">
        <v>621</v>
      </c>
      <c r="G407" s="126">
        <v>11</v>
      </c>
      <c r="H407" s="126">
        <v>220</v>
      </c>
      <c r="I407" s="126">
        <v>422</v>
      </c>
      <c r="J407" s="126">
        <v>315.3</v>
      </c>
      <c r="K407" s="126">
        <v>51.4</v>
      </c>
      <c r="L407" s="126"/>
      <c r="M407" s="127"/>
      <c r="N407" s="132" t="e">
        <v>#N/A</v>
      </c>
      <c r="O407" s="144"/>
      <c r="W407" s="86">
        <f t="shared" si="12"/>
        <v>0</v>
      </c>
      <c r="X407" s="87">
        <f t="shared" si="13"/>
        <v>0</v>
      </c>
    </row>
    <row r="408" spans="1:24" x14ac:dyDescent="0.35">
      <c r="A408" s="128">
        <v>359</v>
      </c>
      <c r="B408" s="129">
        <v>13</v>
      </c>
      <c r="C408" s="134" t="s">
        <v>45</v>
      </c>
      <c r="D408" s="134" t="s">
        <v>557</v>
      </c>
      <c r="E408" s="134" t="s">
        <v>125</v>
      </c>
      <c r="F408" s="134" t="s">
        <v>628</v>
      </c>
      <c r="G408" s="129">
        <v>7</v>
      </c>
      <c r="H408" s="129">
        <v>211</v>
      </c>
      <c r="I408" s="129">
        <v>520</v>
      </c>
      <c r="J408" s="129">
        <v>327.10000000000002</v>
      </c>
      <c r="K408" s="129">
        <v>65.7</v>
      </c>
      <c r="L408" s="129"/>
      <c r="M408" s="130"/>
      <c r="N408" s="131" t="e">
        <v>#N/A</v>
      </c>
      <c r="O408" s="143"/>
      <c r="W408" s="86">
        <f t="shared" si="12"/>
        <v>0</v>
      </c>
      <c r="X408" s="87">
        <f t="shared" si="13"/>
        <v>0</v>
      </c>
    </row>
    <row r="409" spans="1:24" x14ac:dyDescent="0.35">
      <c r="A409" s="125">
        <v>360</v>
      </c>
      <c r="B409" s="126">
        <v>13</v>
      </c>
      <c r="C409" s="133" t="s">
        <v>45</v>
      </c>
      <c r="D409" s="133" t="s">
        <v>1001</v>
      </c>
      <c r="E409" s="133" t="s">
        <v>144</v>
      </c>
      <c r="F409" s="133" t="s">
        <v>730</v>
      </c>
      <c r="G409" s="126">
        <v>5</v>
      </c>
      <c r="H409" s="126">
        <v>249</v>
      </c>
      <c r="I409" s="126">
        <v>387</v>
      </c>
      <c r="J409" s="126">
        <v>318.2</v>
      </c>
      <c r="K409" s="126">
        <v>35.1</v>
      </c>
      <c r="L409" s="126"/>
      <c r="M409" s="127"/>
      <c r="N409" s="132" t="e">
        <v>#N/A</v>
      </c>
      <c r="O409" s="144"/>
      <c r="W409" s="86">
        <f t="shared" si="12"/>
        <v>0</v>
      </c>
      <c r="X409" s="87">
        <f t="shared" si="13"/>
        <v>0</v>
      </c>
    </row>
    <row r="410" spans="1:24" x14ac:dyDescent="0.35">
      <c r="A410" s="125">
        <v>366</v>
      </c>
      <c r="B410" s="126">
        <v>13</v>
      </c>
      <c r="C410" s="133" t="s">
        <v>45</v>
      </c>
      <c r="D410" s="133" t="s">
        <v>222</v>
      </c>
      <c r="E410" s="133" t="s">
        <v>97</v>
      </c>
      <c r="F410" s="133" t="s">
        <v>643</v>
      </c>
      <c r="G410" s="126">
        <v>11</v>
      </c>
      <c r="H410" s="126">
        <v>117</v>
      </c>
      <c r="I410" s="126">
        <v>429</v>
      </c>
      <c r="J410" s="126">
        <v>313.89999999999998</v>
      </c>
      <c r="K410" s="126">
        <v>55.1</v>
      </c>
      <c r="L410" s="126"/>
      <c r="M410" s="127"/>
      <c r="N410" s="132" t="e">
        <v>#N/A</v>
      </c>
      <c r="O410" s="144"/>
      <c r="W410" s="86">
        <f t="shared" si="12"/>
        <v>0</v>
      </c>
      <c r="X410" s="87">
        <f t="shared" si="13"/>
        <v>0</v>
      </c>
    </row>
    <row r="411" spans="1:24" x14ac:dyDescent="0.35">
      <c r="A411" s="125">
        <v>368</v>
      </c>
      <c r="B411" s="126">
        <v>13</v>
      </c>
      <c r="C411" s="133" t="s">
        <v>45</v>
      </c>
      <c r="D411" s="133" t="s">
        <v>1472</v>
      </c>
      <c r="E411" s="133" t="s">
        <v>45</v>
      </c>
      <c r="F411" s="133" t="s">
        <v>687</v>
      </c>
      <c r="G411" s="126">
        <v>11</v>
      </c>
      <c r="H411" s="126">
        <v>216</v>
      </c>
      <c r="I411" s="126">
        <v>354</v>
      </c>
      <c r="J411" s="126">
        <v>303</v>
      </c>
      <c r="K411" s="126">
        <v>35.9</v>
      </c>
      <c r="L411" s="126"/>
      <c r="M411" s="127"/>
      <c r="N411" s="132" t="e">
        <v>#N/A</v>
      </c>
      <c r="O411" s="144"/>
      <c r="W411" s="86">
        <f t="shared" si="12"/>
        <v>0</v>
      </c>
      <c r="X411" s="87">
        <f t="shared" si="13"/>
        <v>0</v>
      </c>
    </row>
    <row r="412" spans="1:24" x14ac:dyDescent="0.35">
      <c r="A412" s="128">
        <v>369</v>
      </c>
      <c r="B412" s="129">
        <v>13</v>
      </c>
      <c r="C412" s="134" t="s">
        <v>45</v>
      </c>
      <c r="D412" s="134" t="s">
        <v>729</v>
      </c>
      <c r="E412" s="134" t="s">
        <v>65</v>
      </c>
      <c r="F412" s="134" t="s">
        <v>752</v>
      </c>
      <c r="G412" s="129">
        <v>5</v>
      </c>
      <c r="H412" s="129">
        <v>257</v>
      </c>
      <c r="I412" s="129">
        <v>357</v>
      </c>
      <c r="J412" s="129">
        <v>315.8</v>
      </c>
      <c r="K412" s="129">
        <v>30.4</v>
      </c>
      <c r="L412" s="129"/>
      <c r="M412" s="130"/>
      <c r="N412" s="131" t="e">
        <v>#N/A</v>
      </c>
      <c r="O412" s="143"/>
      <c r="W412" s="86">
        <f t="shared" si="12"/>
        <v>0</v>
      </c>
      <c r="X412" s="87">
        <f t="shared" si="13"/>
        <v>0</v>
      </c>
    </row>
    <row r="413" spans="1:24" x14ac:dyDescent="0.35">
      <c r="A413" s="128">
        <v>371</v>
      </c>
      <c r="B413" s="129">
        <v>13</v>
      </c>
      <c r="C413" s="134" t="s">
        <v>45</v>
      </c>
      <c r="D413" s="134" t="s">
        <v>981</v>
      </c>
      <c r="E413" s="134" t="s">
        <v>85</v>
      </c>
      <c r="F413" s="134" t="s">
        <v>754</v>
      </c>
      <c r="G413" s="129">
        <v>9</v>
      </c>
      <c r="H413" s="129">
        <v>244</v>
      </c>
      <c r="I413" s="129">
        <v>365</v>
      </c>
      <c r="J413" s="129">
        <v>320.5</v>
      </c>
      <c r="K413" s="129">
        <v>32.5</v>
      </c>
      <c r="L413" s="129"/>
      <c r="M413" s="130"/>
      <c r="N413" s="131" t="e">
        <v>#N/A</v>
      </c>
      <c r="O413" s="143"/>
      <c r="W413" s="86">
        <f t="shared" si="12"/>
        <v>0</v>
      </c>
      <c r="X413" s="87">
        <f t="shared" si="13"/>
        <v>0</v>
      </c>
    </row>
    <row r="414" spans="1:24" x14ac:dyDescent="0.35">
      <c r="A414" s="125">
        <v>374</v>
      </c>
      <c r="B414" s="126">
        <v>14</v>
      </c>
      <c r="C414" s="133" t="s">
        <v>45</v>
      </c>
      <c r="D414" s="133" t="s">
        <v>1473</v>
      </c>
      <c r="E414" s="133" t="s">
        <v>45</v>
      </c>
      <c r="F414" s="133" t="s">
        <v>779</v>
      </c>
      <c r="G414" s="126">
        <v>11</v>
      </c>
      <c r="H414" s="126">
        <v>154</v>
      </c>
      <c r="I414" s="126">
        <v>337</v>
      </c>
      <c r="J414" s="126">
        <v>291.7</v>
      </c>
      <c r="K414" s="126">
        <v>35.700000000000003</v>
      </c>
      <c r="L414" s="126">
        <v>352</v>
      </c>
      <c r="M414" s="127">
        <v>-22</v>
      </c>
      <c r="N414" s="132" t="e">
        <v>#N/A</v>
      </c>
      <c r="O414" s="144"/>
      <c r="W414" s="86">
        <f t="shared" si="12"/>
        <v>0</v>
      </c>
      <c r="X414" s="87">
        <f t="shared" si="13"/>
        <v>0</v>
      </c>
    </row>
    <row r="415" spans="1:24" x14ac:dyDescent="0.35">
      <c r="A415" s="128">
        <v>375</v>
      </c>
      <c r="B415" s="129">
        <v>14</v>
      </c>
      <c r="C415" s="134" t="s">
        <v>45</v>
      </c>
      <c r="D415" s="134" t="s">
        <v>726</v>
      </c>
      <c r="E415" s="134" t="s">
        <v>105</v>
      </c>
      <c r="F415" s="134" t="s">
        <v>649</v>
      </c>
      <c r="G415" s="129">
        <v>13</v>
      </c>
      <c r="H415" s="129">
        <v>270</v>
      </c>
      <c r="I415" s="129">
        <v>438</v>
      </c>
      <c r="J415" s="129">
        <v>341.2</v>
      </c>
      <c r="K415" s="129">
        <v>39.6</v>
      </c>
      <c r="L415" s="129"/>
      <c r="M415" s="130"/>
      <c r="N415" s="131" t="e">
        <v>#N/A</v>
      </c>
      <c r="O415" s="143"/>
      <c r="W415" s="86">
        <f t="shared" si="12"/>
        <v>0</v>
      </c>
      <c r="X415" s="87">
        <f t="shared" si="13"/>
        <v>0</v>
      </c>
    </row>
    <row r="416" spans="1:24" x14ac:dyDescent="0.35">
      <c r="A416" s="128">
        <v>377</v>
      </c>
      <c r="B416" s="129">
        <v>14</v>
      </c>
      <c r="C416" s="134" t="s">
        <v>45</v>
      </c>
      <c r="D416" s="134" t="s">
        <v>757</v>
      </c>
      <c r="E416" s="134" t="s">
        <v>68</v>
      </c>
      <c r="F416" s="134" t="s">
        <v>650</v>
      </c>
      <c r="G416" s="129">
        <v>8</v>
      </c>
      <c r="H416" s="129">
        <v>275</v>
      </c>
      <c r="I416" s="129">
        <v>513</v>
      </c>
      <c r="J416" s="129">
        <v>343.1</v>
      </c>
      <c r="K416" s="129">
        <v>60.5</v>
      </c>
      <c r="L416" s="129"/>
      <c r="M416" s="130"/>
      <c r="N416" s="131" t="e">
        <v>#N/A</v>
      </c>
      <c r="O416" s="143"/>
      <c r="W416" s="86">
        <f t="shared" si="12"/>
        <v>0</v>
      </c>
      <c r="X416" s="87">
        <f t="shared" si="13"/>
        <v>0</v>
      </c>
    </row>
    <row r="417" spans="1:24" x14ac:dyDescent="0.35">
      <c r="A417" s="125">
        <v>378</v>
      </c>
      <c r="B417" s="126">
        <v>14</v>
      </c>
      <c r="C417" s="133" t="s">
        <v>45</v>
      </c>
      <c r="D417" s="133" t="s">
        <v>399</v>
      </c>
      <c r="E417" s="133" t="s">
        <v>487</v>
      </c>
      <c r="F417" s="133" t="s">
        <v>659</v>
      </c>
      <c r="G417" s="126"/>
      <c r="H417" s="126">
        <v>191</v>
      </c>
      <c r="I417" s="126">
        <v>435</v>
      </c>
      <c r="J417" s="126">
        <v>283.10000000000002</v>
      </c>
      <c r="K417" s="126">
        <v>81.8</v>
      </c>
      <c r="L417" s="126"/>
      <c r="M417" s="127"/>
      <c r="N417" s="132" t="e">
        <v>#N/A</v>
      </c>
      <c r="O417" s="144"/>
      <c r="W417" s="86">
        <f t="shared" si="12"/>
        <v>0</v>
      </c>
      <c r="X417" s="87">
        <f t="shared" si="13"/>
        <v>0</v>
      </c>
    </row>
    <row r="418" spans="1:24" x14ac:dyDescent="0.35">
      <c r="A418" s="125">
        <v>380</v>
      </c>
      <c r="B418" s="126">
        <v>14</v>
      </c>
      <c r="C418" s="133" t="s">
        <v>45</v>
      </c>
      <c r="D418" s="133" t="s">
        <v>290</v>
      </c>
      <c r="E418" s="133" t="s">
        <v>487</v>
      </c>
      <c r="F418" s="133" t="s">
        <v>743</v>
      </c>
      <c r="G418" s="126"/>
      <c r="H418" s="126">
        <v>202</v>
      </c>
      <c r="I418" s="126">
        <v>405</v>
      </c>
      <c r="J418" s="126">
        <v>312.60000000000002</v>
      </c>
      <c r="K418" s="126">
        <v>48.7</v>
      </c>
      <c r="L418" s="126"/>
      <c r="M418" s="127"/>
      <c r="N418" s="132" t="e">
        <v>#N/A</v>
      </c>
      <c r="O418" s="144"/>
      <c r="W418" s="86">
        <f t="shared" si="12"/>
        <v>0</v>
      </c>
      <c r="X418" s="87">
        <f t="shared" si="13"/>
        <v>0</v>
      </c>
    </row>
    <row r="419" spans="1:24" x14ac:dyDescent="0.35">
      <c r="A419" s="128">
        <v>381</v>
      </c>
      <c r="B419" s="129">
        <v>14</v>
      </c>
      <c r="C419" s="134" t="s">
        <v>45</v>
      </c>
      <c r="D419" s="134" t="s">
        <v>1474</v>
      </c>
      <c r="E419" s="134" t="s">
        <v>45</v>
      </c>
      <c r="F419" s="134" t="s">
        <v>780</v>
      </c>
      <c r="G419" s="129">
        <v>9</v>
      </c>
      <c r="H419" s="129">
        <v>162</v>
      </c>
      <c r="I419" s="129">
        <v>355</v>
      </c>
      <c r="J419" s="129">
        <v>299.89999999999998</v>
      </c>
      <c r="K419" s="129">
        <v>40.9</v>
      </c>
      <c r="L419" s="129">
        <v>222</v>
      </c>
      <c r="M419" s="130">
        <v>-159</v>
      </c>
      <c r="N419" s="131" t="e">
        <v>#N/A</v>
      </c>
      <c r="O419" s="143"/>
      <c r="W419" s="86">
        <f t="shared" si="12"/>
        <v>0</v>
      </c>
      <c r="X419" s="87">
        <f t="shared" si="13"/>
        <v>0</v>
      </c>
    </row>
    <row r="420" spans="1:24" x14ac:dyDescent="0.35">
      <c r="A420" s="128">
        <v>383</v>
      </c>
      <c r="B420" s="129">
        <v>14</v>
      </c>
      <c r="C420" s="134" t="s">
        <v>45</v>
      </c>
      <c r="D420" s="134" t="s">
        <v>1332</v>
      </c>
      <c r="E420" s="134" t="s">
        <v>56</v>
      </c>
      <c r="F420" s="134" t="s">
        <v>756</v>
      </c>
      <c r="G420" s="129">
        <v>6</v>
      </c>
      <c r="H420" s="129">
        <v>239</v>
      </c>
      <c r="I420" s="129">
        <v>407</v>
      </c>
      <c r="J420" s="129">
        <v>327.9</v>
      </c>
      <c r="K420" s="129">
        <v>46.8</v>
      </c>
      <c r="L420" s="129">
        <v>353</v>
      </c>
      <c r="M420" s="130">
        <v>-30</v>
      </c>
      <c r="N420" s="131" t="e">
        <v>#N/A</v>
      </c>
      <c r="O420" s="143"/>
      <c r="W420" s="86">
        <f t="shared" si="12"/>
        <v>0</v>
      </c>
      <c r="X420" s="87">
        <f t="shared" si="13"/>
        <v>0</v>
      </c>
    </row>
    <row r="421" spans="1:24" x14ac:dyDescent="0.35">
      <c r="A421" s="125">
        <v>384</v>
      </c>
      <c r="B421" s="126">
        <v>14</v>
      </c>
      <c r="C421" s="133" t="s">
        <v>45</v>
      </c>
      <c r="D421" s="133" t="s">
        <v>925</v>
      </c>
      <c r="E421" s="133" t="s">
        <v>102</v>
      </c>
      <c r="F421" s="133" t="s">
        <v>660</v>
      </c>
      <c r="G421" s="126">
        <v>7</v>
      </c>
      <c r="H421" s="126">
        <v>221</v>
      </c>
      <c r="I421" s="126">
        <v>391</v>
      </c>
      <c r="J421" s="126">
        <v>301.5</v>
      </c>
      <c r="K421" s="126">
        <v>46.1</v>
      </c>
      <c r="L421" s="126">
        <v>330</v>
      </c>
      <c r="M421" s="127">
        <v>-54</v>
      </c>
      <c r="N421" s="132" t="e">
        <v>#N/A</v>
      </c>
      <c r="O421" s="144"/>
      <c r="W421" s="86">
        <f t="shared" si="12"/>
        <v>0</v>
      </c>
      <c r="X421" s="87">
        <f t="shared" si="13"/>
        <v>0</v>
      </c>
    </row>
    <row r="422" spans="1:24" x14ac:dyDescent="0.35">
      <c r="A422" s="128">
        <v>385</v>
      </c>
      <c r="B422" s="129">
        <v>14</v>
      </c>
      <c r="C422" s="134" t="s">
        <v>45</v>
      </c>
      <c r="D422" s="134" t="s">
        <v>405</v>
      </c>
      <c r="E422" s="134" t="s">
        <v>1222</v>
      </c>
      <c r="F422" s="134" t="s">
        <v>662</v>
      </c>
      <c r="G422" s="129">
        <v>6</v>
      </c>
      <c r="H422" s="129">
        <v>209</v>
      </c>
      <c r="I422" s="129">
        <v>421</v>
      </c>
      <c r="J422" s="129">
        <v>330.3</v>
      </c>
      <c r="K422" s="129">
        <v>43.7</v>
      </c>
      <c r="L422" s="129"/>
      <c r="M422" s="130"/>
      <c r="N422" s="131" t="e">
        <v>#N/A</v>
      </c>
      <c r="O422" s="143"/>
      <c r="W422" s="86">
        <f t="shared" si="12"/>
        <v>0</v>
      </c>
      <c r="X422" s="87">
        <f t="shared" si="13"/>
        <v>0</v>
      </c>
    </row>
    <row r="423" spans="1:24" x14ac:dyDescent="0.35">
      <c r="A423" s="125">
        <v>386</v>
      </c>
      <c r="B423" s="126">
        <v>14</v>
      </c>
      <c r="C423" s="133" t="s">
        <v>45</v>
      </c>
      <c r="D423" s="133" t="s">
        <v>663</v>
      </c>
      <c r="E423" s="133" t="s">
        <v>487</v>
      </c>
      <c r="F423" s="133" t="s">
        <v>782</v>
      </c>
      <c r="G423" s="126"/>
      <c r="H423" s="126">
        <v>278</v>
      </c>
      <c r="I423" s="126">
        <v>360</v>
      </c>
      <c r="J423" s="126">
        <v>333.3</v>
      </c>
      <c r="K423" s="126">
        <v>19.3</v>
      </c>
      <c r="L423" s="126"/>
      <c r="M423" s="127"/>
      <c r="N423" s="132" t="e">
        <v>#N/A</v>
      </c>
      <c r="O423" s="144"/>
      <c r="W423" s="86">
        <f t="shared" si="12"/>
        <v>0</v>
      </c>
      <c r="X423" s="87">
        <f t="shared" si="13"/>
        <v>0</v>
      </c>
    </row>
    <row r="424" spans="1:24" x14ac:dyDescent="0.35">
      <c r="A424" s="128">
        <v>387</v>
      </c>
      <c r="B424" s="129">
        <v>14</v>
      </c>
      <c r="C424" s="134" t="s">
        <v>45</v>
      </c>
      <c r="D424" s="134" t="s">
        <v>484</v>
      </c>
      <c r="E424" s="134" t="s">
        <v>487</v>
      </c>
      <c r="F424" s="134" t="s">
        <v>671</v>
      </c>
      <c r="G424" s="129"/>
      <c r="H424" s="129">
        <v>241</v>
      </c>
      <c r="I424" s="129">
        <v>428</v>
      </c>
      <c r="J424" s="129">
        <v>298.10000000000002</v>
      </c>
      <c r="K424" s="129">
        <v>57.2</v>
      </c>
      <c r="L424" s="129"/>
      <c r="M424" s="130"/>
      <c r="N424" s="131" t="e">
        <v>#N/A</v>
      </c>
      <c r="O424" s="143"/>
      <c r="W424" s="86">
        <f t="shared" si="12"/>
        <v>0</v>
      </c>
      <c r="X424" s="87">
        <f t="shared" si="13"/>
        <v>0</v>
      </c>
    </row>
    <row r="425" spans="1:24" x14ac:dyDescent="0.35">
      <c r="A425" s="125">
        <v>388</v>
      </c>
      <c r="B425" s="126">
        <v>14</v>
      </c>
      <c r="C425" s="133" t="s">
        <v>45</v>
      </c>
      <c r="D425" s="133" t="s">
        <v>1371</v>
      </c>
      <c r="E425" s="133" t="s">
        <v>102</v>
      </c>
      <c r="F425" s="133" t="s">
        <v>674</v>
      </c>
      <c r="G425" s="126">
        <v>7</v>
      </c>
      <c r="H425" s="126">
        <v>251</v>
      </c>
      <c r="I425" s="126">
        <v>503</v>
      </c>
      <c r="J425" s="126">
        <v>340.3</v>
      </c>
      <c r="K425" s="126">
        <v>73</v>
      </c>
      <c r="L425" s="126"/>
      <c r="M425" s="127"/>
      <c r="N425" s="132" t="e">
        <v>#N/A</v>
      </c>
      <c r="O425" s="144"/>
      <c r="W425" s="86">
        <f t="shared" si="12"/>
        <v>0</v>
      </c>
      <c r="X425" s="87">
        <f t="shared" si="13"/>
        <v>0</v>
      </c>
    </row>
    <row r="426" spans="1:24" x14ac:dyDescent="0.35">
      <c r="A426" s="128">
        <v>389</v>
      </c>
      <c r="B426" s="129">
        <v>14</v>
      </c>
      <c r="C426" s="134" t="s">
        <v>45</v>
      </c>
      <c r="D426" s="134" t="s">
        <v>1375</v>
      </c>
      <c r="E426" s="134" t="s">
        <v>74</v>
      </c>
      <c r="F426" s="134" t="s">
        <v>786</v>
      </c>
      <c r="G426" s="129">
        <v>8</v>
      </c>
      <c r="H426" s="129">
        <v>270</v>
      </c>
      <c r="I426" s="129">
        <v>381</v>
      </c>
      <c r="J426" s="129">
        <v>336</v>
      </c>
      <c r="K426" s="129">
        <v>24.6</v>
      </c>
      <c r="L426" s="129"/>
      <c r="M426" s="130"/>
      <c r="N426" s="131" t="e">
        <v>#N/A</v>
      </c>
      <c r="O426" s="143"/>
    </row>
    <row r="427" spans="1:24" x14ac:dyDescent="0.35">
      <c r="A427" s="128">
        <v>391</v>
      </c>
      <c r="B427" s="129">
        <v>14</v>
      </c>
      <c r="C427" s="134" t="s">
        <v>45</v>
      </c>
      <c r="D427" s="134" t="s">
        <v>1475</v>
      </c>
      <c r="E427" s="134" t="s">
        <v>97</v>
      </c>
      <c r="F427" s="134" t="s">
        <v>789</v>
      </c>
      <c r="G427" s="129">
        <v>11</v>
      </c>
      <c r="H427" s="129">
        <v>179</v>
      </c>
      <c r="I427" s="129">
        <v>379</v>
      </c>
      <c r="J427" s="129">
        <v>311.3</v>
      </c>
      <c r="K427" s="129">
        <v>62.5</v>
      </c>
      <c r="L427" s="129"/>
      <c r="M427" s="130"/>
      <c r="N427" s="131" t="e">
        <v>#N/A</v>
      </c>
      <c r="O427" s="143"/>
    </row>
    <row r="428" spans="1:24" x14ac:dyDescent="0.35">
      <c r="A428" s="128">
        <v>397</v>
      </c>
      <c r="B428" s="129">
        <v>14</v>
      </c>
      <c r="C428" s="134" t="s">
        <v>45</v>
      </c>
      <c r="D428" s="134" t="s">
        <v>1237</v>
      </c>
      <c r="E428" s="134" t="s">
        <v>487</v>
      </c>
      <c r="F428" s="134" t="s">
        <v>685</v>
      </c>
      <c r="G428" s="129"/>
      <c r="H428" s="129">
        <v>275</v>
      </c>
      <c r="I428" s="129">
        <v>430</v>
      </c>
      <c r="J428" s="129">
        <v>327.7</v>
      </c>
      <c r="K428" s="129">
        <v>45.5</v>
      </c>
      <c r="L428" s="129"/>
      <c r="M428" s="130"/>
      <c r="N428" s="131" t="e">
        <v>#N/A</v>
      </c>
      <c r="O428" s="143"/>
    </row>
    <row r="429" spans="1:24" x14ac:dyDescent="0.35">
      <c r="A429" s="125">
        <v>398</v>
      </c>
      <c r="B429" s="126">
        <v>14</v>
      </c>
      <c r="C429" s="133" t="s">
        <v>45</v>
      </c>
      <c r="D429" s="133" t="s">
        <v>366</v>
      </c>
      <c r="E429" s="133" t="s">
        <v>487</v>
      </c>
      <c r="F429" s="133" t="s">
        <v>799</v>
      </c>
      <c r="G429" s="126"/>
      <c r="H429" s="126">
        <v>265</v>
      </c>
      <c r="I429" s="126">
        <v>366</v>
      </c>
      <c r="J429" s="126">
        <v>342.4</v>
      </c>
      <c r="K429" s="126">
        <v>18.7</v>
      </c>
      <c r="L429" s="126"/>
      <c r="M429" s="127"/>
      <c r="N429" s="132" t="e">
        <v>#N/A</v>
      </c>
      <c r="O429" s="144"/>
    </row>
    <row r="430" spans="1:24" x14ac:dyDescent="0.35">
      <c r="A430" s="128">
        <v>401</v>
      </c>
      <c r="B430" s="129">
        <v>14</v>
      </c>
      <c r="C430" s="134" t="s">
        <v>45</v>
      </c>
      <c r="D430" s="134" t="s">
        <v>980</v>
      </c>
      <c r="E430" s="134" t="s">
        <v>105</v>
      </c>
      <c r="F430" s="134" t="s">
        <v>689</v>
      </c>
      <c r="G430" s="129">
        <v>13</v>
      </c>
      <c r="H430" s="129">
        <v>280</v>
      </c>
      <c r="I430" s="129">
        <v>411</v>
      </c>
      <c r="J430" s="129">
        <v>335.1</v>
      </c>
      <c r="K430" s="129">
        <v>43.5</v>
      </c>
      <c r="L430" s="129"/>
      <c r="M430" s="130"/>
      <c r="N430" s="131" t="e">
        <v>#N/A</v>
      </c>
      <c r="O430" s="143"/>
    </row>
    <row r="431" spans="1:24" x14ac:dyDescent="0.35">
      <c r="A431" s="128">
        <v>405</v>
      </c>
      <c r="B431" s="129">
        <v>14</v>
      </c>
      <c r="C431" s="134" t="s">
        <v>45</v>
      </c>
      <c r="D431" s="134" t="s">
        <v>1334</v>
      </c>
      <c r="E431" s="134" t="s">
        <v>119</v>
      </c>
      <c r="F431" s="134" t="s">
        <v>769</v>
      </c>
      <c r="G431" s="129">
        <v>6</v>
      </c>
      <c r="H431" s="129">
        <v>268</v>
      </c>
      <c r="I431" s="129">
        <v>423</v>
      </c>
      <c r="J431" s="129">
        <v>337.9</v>
      </c>
      <c r="K431" s="129">
        <v>52.1</v>
      </c>
      <c r="L431" s="129"/>
      <c r="M431" s="130"/>
      <c r="N431" s="131" t="e">
        <v>#N/A</v>
      </c>
      <c r="O431" s="143"/>
    </row>
    <row r="432" spans="1:24" x14ac:dyDescent="0.35">
      <c r="A432" s="125">
        <v>406</v>
      </c>
      <c r="B432" s="126">
        <v>14</v>
      </c>
      <c r="C432" s="133" t="s">
        <v>45</v>
      </c>
      <c r="D432" s="133" t="s">
        <v>1328</v>
      </c>
      <c r="E432" s="133" t="s">
        <v>105</v>
      </c>
      <c r="F432" s="133" t="s">
        <v>802</v>
      </c>
      <c r="G432" s="126">
        <v>13</v>
      </c>
      <c r="H432" s="126">
        <v>245</v>
      </c>
      <c r="I432" s="126">
        <v>342</v>
      </c>
      <c r="J432" s="126">
        <v>299.60000000000002</v>
      </c>
      <c r="K432" s="126">
        <v>35.299999999999997</v>
      </c>
      <c r="L432" s="126"/>
      <c r="M432" s="127"/>
      <c r="N432" s="132" t="e">
        <v>#N/A</v>
      </c>
      <c r="O432" s="144"/>
    </row>
    <row r="433" spans="1:15" x14ac:dyDescent="0.35">
      <c r="A433" s="125">
        <v>408</v>
      </c>
      <c r="B433" s="126">
        <v>14</v>
      </c>
      <c r="C433" s="133" t="s">
        <v>45</v>
      </c>
      <c r="D433" s="133" t="s">
        <v>1336</v>
      </c>
      <c r="E433" s="133" t="s">
        <v>487</v>
      </c>
      <c r="F433" s="133" t="s">
        <v>772</v>
      </c>
      <c r="G433" s="126"/>
      <c r="H433" s="126">
        <v>201</v>
      </c>
      <c r="I433" s="126">
        <v>424</v>
      </c>
      <c r="J433" s="126">
        <v>323</v>
      </c>
      <c r="K433" s="126">
        <v>76</v>
      </c>
      <c r="L433" s="126"/>
      <c r="M433" s="127"/>
      <c r="N433" s="132" t="e">
        <v>#N/A</v>
      </c>
      <c r="O433" s="144"/>
    </row>
    <row r="434" spans="1:15" x14ac:dyDescent="0.35">
      <c r="A434" s="128">
        <v>411</v>
      </c>
      <c r="B434" s="129">
        <v>14</v>
      </c>
      <c r="C434" s="134" t="s">
        <v>45</v>
      </c>
      <c r="D434" s="134" t="s">
        <v>744</v>
      </c>
      <c r="E434" s="134" t="s">
        <v>487</v>
      </c>
      <c r="F434" s="134" t="s">
        <v>796</v>
      </c>
      <c r="G434" s="129"/>
      <c r="H434" s="129">
        <v>177</v>
      </c>
      <c r="I434" s="129">
        <v>318</v>
      </c>
      <c r="J434" s="129">
        <v>225.3</v>
      </c>
      <c r="K434" s="129">
        <v>65.5</v>
      </c>
      <c r="L434" s="129"/>
      <c r="M434" s="130"/>
      <c r="N434" s="131" t="e">
        <v>#N/A</v>
      </c>
      <c r="O434" s="143"/>
    </row>
    <row r="435" spans="1:15" x14ac:dyDescent="0.35">
      <c r="A435" s="125">
        <v>412</v>
      </c>
      <c r="B435" s="126">
        <v>14</v>
      </c>
      <c r="C435" s="133" t="s">
        <v>45</v>
      </c>
      <c r="D435" s="133" t="s">
        <v>1337</v>
      </c>
      <c r="E435" s="133" t="s">
        <v>161</v>
      </c>
      <c r="F435" s="133" t="s">
        <v>793</v>
      </c>
      <c r="G435" s="126">
        <v>8</v>
      </c>
      <c r="H435" s="126">
        <v>241</v>
      </c>
      <c r="I435" s="126">
        <v>423</v>
      </c>
      <c r="J435" s="126">
        <v>334</v>
      </c>
      <c r="K435" s="126">
        <v>47.8</v>
      </c>
      <c r="L435" s="126"/>
      <c r="M435" s="127"/>
      <c r="N435" s="132" t="e">
        <v>#N/A</v>
      </c>
      <c r="O435" s="144"/>
    </row>
    <row r="436" spans="1:15" x14ac:dyDescent="0.35">
      <c r="A436" s="128">
        <v>413</v>
      </c>
      <c r="B436" s="129">
        <v>14</v>
      </c>
      <c r="C436" s="134" t="s">
        <v>45</v>
      </c>
      <c r="D436" s="134" t="s">
        <v>1477</v>
      </c>
      <c r="E436" s="134" t="s">
        <v>487</v>
      </c>
      <c r="F436" s="134" t="s">
        <v>803</v>
      </c>
      <c r="G436" s="129"/>
      <c r="H436" s="129">
        <v>234</v>
      </c>
      <c r="I436" s="129">
        <v>380</v>
      </c>
      <c r="J436" s="129">
        <v>321</v>
      </c>
      <c r="K436" s="129">
        <v>57.6</v>
      </c>
      <c r="L436" s="129"/>
      <c r="M436" s="130"/>
      <c r="N436" s="131" t="e">
        <v>#N/A</v>
      </c>
      <c r="O436" s="143"/>
    </row>
    <row r="437" spans="1:15" x14ac:dyDescent="0.35">
      <c r="A437" s="125">
        <v>414</v>
      </c>
      <c r="B437" s="126">
        <v>14</v>
      </c>
      <c r="C437" s="133" t="s">
        <v>45</v>
      </c>
      <c r="D437" s="133" t="s">
        <v>761</v>
      </c>
      <c r="E437" s="133" t="s">
        <v>487</v>
      </c>
      <c r="F437" s="133" t="s">
        <v>808</v>
      </c>
      <c r="G437" s="126"/>
      <c r="H437" s="126">
        <v>233</v>
      </c>
      <c r="I437" s="126">
        <v>363</v>
      </c>
      <c r="J437" s="126">
        <v>323.39999999999998</v>
      </c>
      <c r="K437" s="126">
        <v>30.4</v>
      </c>
      <c r="L437" s="126"/>
      <c r="M437" s="127"/>
      <c r="N437" s="132" t="e">
        <v>#N/A</v>
      </c>
      <c r="O437" s="144"/>
    </row>
    <row r="438" spans="1:15" x14ac:dyDescent="0.35">
      <c r="A438" s="125">
        <v>420</v>
      </c>
      <c r="B438" s="126">
        <v>14</v>
      </c>
      <c r="C438" s="133" t="s">
        <v>45</v>
      </c>
      <c r="D438" s="133" t="s">
        <v>1378</v>
      </c>
      <c r="E438" s="133" t="s">
        <v>144</v>
      </c>
      <c r="F438" s="133" t="s">
        <v>707</v>
      </c>
      <c r="G438" s="126">
        <v>5</v>
      </c>
      <c r="H438" s="126">
        <v>209</v>
      </c>
      <c r="I438" s="126">
        <v>514</v>
      </c>
      <c r="J438" s="126">
        <v>352.4</v>
      </c>
      <c r="K438" s="126">
        <v>84.9</v>
      </c>
      <c r="L438" s="126"/>
      <c r="M438" s="127"/>
      <c r="N438" s="132" t="e">
        <v>#N/A</v>
      </c>
      <c r="O438" s="144"/>
    </row>
    <row r="439" spans="1:15" x14ac:dyDescent="0.35">
      <c r="A439" s="128">
        <v>421</v>
      </c>
      <c r="B439" s="129">
        <v>14</v>
      </c>
      <c r="C439" s="134" t="s">
        <v>45</v>
      </c>
      <c r="D439" s="134" t="s">
        <v>731</v>
      </c>
      <c r="E439" s="134" t="s">
        <v>53</v>
      </c>
      <c r="F439" s="134" t="s">
        <v>809</v>
      </c>
      <c r="G439" s="129">
        <v>13</v>
      </c>
      <c r="H439" s="129">
        <v>269</v>
      </c>
      <c r="I439" s="129">
        <v>402</v>
      </c>
      <c r="J439" s="129">
        <v>337.6</v>
      </c>
      <c r="K439" s="129">
        <v>35.9</v>
      </c>
      <c r="L439" s="129"/>
      <c r="M439" s="130"/>
      <c r="N439" s="131" t="e">
        <v>#N/A</v>
      </c>
      <c r="O439" s="143"/>
    </row>
    <row r="440" spans="1:15" x14ac:dyDescent="0.35">
      <c r="A440" s="128">
        <v>423</v>
      </c>
      <c r="B440" s="129">
        <v>14</v>
      </c>
      <c r="C440" s="134" t="s">
        <v>45</v>
      </c>
      <c r="D440" s="134" t="s">
        <v>1374</v>
      </c>
      <c r="E440" s="134" t="s">
        <v>77</v>
      </c>
      <c r="F440" s="134" t="s">
        <v>906</v>
      </c>
      <c r="G440" s="129">
        <v>10</v>
      </c>
      <c r="H440" s="129">
        <v>272</v>
      </c>
      <c r="I440" s="129">
        <v>433</v>
      </c>
      <c r="J440" s="129">
        <v>314.3</v>
      </c>
      <c r="K440" s="129">
        <v>68.599999999999994</v>
      </c>
      <c r="L440" s="129"/>
      <c r="M440" s="130"/>
      <c r="N440" s="131" t="e">
        <v>#N/A</v>
      </c>
      <c r="O440" s="143"/>
    </row>
    <row r="441" spans="1:15" x14ac:dyDescent="0.35">
      <c r="A441" s="125">
        <v>424</v>
      </c>
      <c r="B441" s="126">
        <v>14</v>
      </c>
      <c r="C441" s="133" t="s">
        <v>45</v>
      </c>
      <c r="D441" s="133" t="s">
        <v>971</v>
      </c>
      <c r="E441" s="133" t="s">
        <v>56</v>
      </c>
      <c r="F441" s="133" t="s">
        <v>913</v>
      </c>
      <c r="G441" s="126">
        <v>6</v>
      </c>
      <c r="H441" s="126">
        <v>263</v>
      </c>
      <c r="I441" s="126">
        <v>368</v>
      </c>
      <c r="J441" s="126">
        <v>339.8</v>
      </c>
      <c r="K441" s="126">
        <v>20</v>
      </c>
      <c r="L441" s="126"/>
      <c r="M441" s="127"/>
      <c r="N441" s="132" t="e">
        <v>#N/A</v>
      </c>
      <c r="O441" s="144"/>
    </row>
    <row r="442" spans="1:15" x14ac:dyDescent="0.35">
      <c r="A442" s="125">
        <v>426</v>
      </c>
      <c r="B442" s="126">
        <v>14</v>
      </c>
      <c r="C442" s="133" t="s">
        <v>45</v>
      </c>
      <c r="D442" s="133" t="s">
        <v>617</v>
      </c>
      <c r="E442" s="133" t="s">
        <v>82</v>
      </c>
      <c r="F442" s="133" t="s">
        <v>914</v>
      </c>
      <c r="G442" s="126">
        <v>9</v>
      </c>
      <c r="H442" s="126">
        <v>265</v>
      </c>
      <c r="I442" s="126">
        <v>407</v>
      </c>
      <c r="J442" s="126">
        <v>344.4</v>
      </c>
      <c r="K442" s="126">
        <v>34.9</v>
      </c>
      <c r="L442" s="126"/>
      <c r="M442" s="127"/>
      <c r="N442" s="132" t="e">
        <v>#N/A</v>
      </c>
      <c r="O442" s="144"/>
    </row>
    <row r="443" spans="1:15" x14ac:dyDescent="0.35">
      <c r="A443" s="128">
        <v>427</v>
      </c>
      <c r="B443" s="129">
        <v>14</v>
      </c>
      <c r="C443" s="134" t="s">
        <v>45</v>
      </c>
      <c r="D443" s="134" t="s">
        <v>668</v>
      </c>
      <c r="E443" s="134" t="s">
        <v>102</v>
      </c>
      <c r="F443" s="134" t="s">
        <v>917</v>
      </c>
      <c r="G443" s="129">
        <v>7</v>
      </c>
      <c r="H443" s="129">
        <v>253</v>
      </c>
      <c r="I443" s="129">
        <v>386</v>
      </c>
      <c r="J443" s="129">
        <v>346.2</v>
      </c>
      <c r="K443" s="129">
        <v>32.200000000000003</v>
      </c>
      <c r="L443" s="129"/>
      <c r="M443" s="130"/>
      <c r="N443" s="131" t="e">
        <v>#N/A</v>
      </c>
      <c r="O443" s="143"/>
    </row>
    <row r="444" spans="1:15" x14ac:dyDescent="0.35">
      <c r="A444" s="125">
        <v>428</v>
      </c>
      <c r="B444" s="126">
        <v>14</v>
      </c>
      <c r="C444" s="133" t="s">
        <v>45</v>
      </c>
      <c r="D444" s="133" t="s">
        <v>944</v>
      </c>
      <c r="E444" s="133" t="s">
        <v>68</v>
      </c>
      <c r="F444" s="133" t="s">
        <v>908</v>
      </c>
      <c r="G444" s="126">
        <v>8</v>
      </c>
      <c r="H444" s="126">
        <v>273</v>
      </c>
      <c r="I444" s="126">
        <v>437</v>
      </c>
      <c r="J444" s="126">
        <v>346.8</v>
      </c>
      <c r="K444" s="126">
        <v>58.4</v>
      </c>
      <c r="L444" s="126"/>
      <c r="M444" s="127"/>
      <c r="N444" s="132" t="e">
        <v>#N/A</v>
      </c>
      <c r="O444" s="144"/>
    </row>
    <row r="445" spans="1:15" x14ac:dyDescent="0.35">
      <c r="A445" s="128">
        <v>431</v>
      </c>
      <c r="B445" s="129">
        <v>14</v>
      </c>
      <c r="C445" s="134" t="s">
        <v>45</v>
      </c>
      <c r="D445" s="134" t="s">
        <v>1478</v>
      </c>
      <c r="E445" s="134" t="s">
        <v>62</v>
      </c>
      <c r="F445" s="134" t="s">
        <v>920</v>
      </c>
      <c r="G445" s="129">
        <v>8</v>
      </c>
      <c r="H445" s="129">
        <v>232</v>
      </c>
      <c r="I445" s="129">
        <v>389</v>
      </c>
      <c r="J445" s="129">
        <v>326.5</v>
      </c>
      <c r="K445" s="129">
        <v>64.2</v>
      </c>
      <c r="L445" s="129"/>
      <c r="M445" s="130"/>
      <c r="N445" s="131" t="e">
        <v>#N/A</v>
      </c>
      <c r="O445" s="143"/>
    </row>
    <row r="446" spans="1:15" x14ac:dyDescent="0.35">
      <c r="A446" s="125">
        <v>432</v>
      </c>
      <c r="B446" s="126">
        <v>14</v>
      </c>
      <c r="C446" s="133" t="s">
        <v>45</v>
      </c>
      <c r="D446" s="133" t="s">
        <v>543</v>
      </c>
      <c r="E446" s="133" t="s">
        <v>88</v>
      </c>
      <c r="F446" s="133" t="s">
        <v>911</v>
      </c>
      <c r="G446" s="126">
        <v>10</v>
      </c>
      <c r="H446" s="126">
        <v>239</v>
      </c>
      <c r="I446" s="126">
        <v>430</v>
      </c>
      <c r="J446" s="126">
        <v>331.3</v>
      </c>
      <c r="K446" s="126">
        <v>73.3</v>
      </c>
      <c r="L446" s="126"/>
      <c r="M446" s="127"/>
      <c r="N446" s="132" t="e">
        <v>#N/A</v>
      </c>
      <c r="O446" s="144"/>
    </row>
    <row r="447" spans="1:15" x14ac:dyDescent="0.35">
      <c r="A447" s="128">
        <v>433</v>
      </c>
      <c r="B447" s="129">
        <v>14</v>
      </c>
      <c r="C447" s="134" t="s">
        <v>45</v>
      </c>
      <c r="D447" s="134" t="s">
        <v>933</v>
      </c>
      <c r="E447" s="134" t="s">
        <v>62</v>
      </c>
      <c r="F447" s="134" t="s">
        <v>921</v>
      </c>
      <c r="G447" s="129">
        <v>8</v>
      </c>
      <c r="H447" s="129">
        <v>290</v>
      </c>
      <c r="I447" s="129">
        <v>377</v>
      </c>
      <c r="J447" s="129">
        <v>337.3</v>
      </c>
      <c r="K447" s="129">
        <v>35</v>
      </c>
      <c r="L447" s="129"/>
      <c r="M447" s="130"/>
      <c r="N447" s="131" t="e">
        <v>#N/A</v>
      </c>
      <c r="O447" s="143"/>
    </row>
    <row r="448" spans="1:15" x14ac:dyDescent="0.35">
      <c r="A448" s="128">
        <v>435</v>
      </c>
      <c r="B448" s="129">
        <v>14</v>
      </c>
      <c r="C448" s="134" t="s">
        <v>45</v>
      </c>
      <c r="D448" s="134" t="s">
        <v>1327</v>
      </c>
      <c r="E448" s="134" t="s">
        <v>174</v>
      </c>
      <c r="F448" s="134" t="s">
        <v>720</v>
      </c>
      <c r="G448" s="129">
        <v>11</v>
      </c>
      <c r="H448" s="129">
        <v>279</v>
      </c>
      <c r="I448" s="129">
        <v>444</v>
      </c>
      <c r="J448" s="129">
        <v>363.6</v>
      </c>
      <c r="K448" s="129">
        <v>57.6</v>
      </c>
      <c r="L448" s="129"/>
      <c r="M448" s="130"/>
      <c r="N448" s="131" t="e">
        <v>#N/A</v>
      </c>
      <c r="O448" s="143"/>
    </row>
    <row r="449" spans="1:15" x14ac:dyDescent="0.35">
      <c r="A449" s="128">
        <v>437</v>
      </c>
      <c r="B449" s="129">
        <v>14</v>
      </c>
      <c r="C449" s="134" t="s">
        <v>45</v>
      </c>
      <c r="D449" s="134" t="s">
        <v>692</v>
      </c>
      <c r="E449" s="134" t="s">
        <v>77</v>
      </c>
      <c r="F449" s="134" t="s">
        <v>725</v>
      </c>
      <c r="G449" s="129">
        <v>10</v>
      </c>
      <c r="H449" s="129">
        <v>290</v>
      </c>
      <c r="I449" s="129">
        <v>372</v>
      </c>
      <c r="J449" s="129">
        <v>317.7</v>
      </c>
      <c r="K449" s="129">
        <v>38.4</v>
      </c>
      <c r="L449" s="129"/>
      <c r="M449" s="130"/>
      <c r="N449" s="131" t="e">
        <v>#N/A</v>
      </c>
      <c r="O449" s="143"/>
    </row>
    <row r="450" spans="1:15" x14ac:dyDescent="0.35">
      <c r="A450" s="128">
        <v>441</v>
      </c>
      <c r="B450" s="129">
        <v>14</v>
      </c>
      <c r="C450" s="134" t="s">
        <v>45</v>
      </c>
      <c r="D450" s="134" t="s">
        <v>588</v>
      </c>
      <c r="E450" s="134" t="s">
        <v>161</v>
      </c>
      <c r="F450" s="134" t="s">
        <v>926</v>
      </c>
      <c r="G450" s="129">
        <v>8</v>
      </c>
      <c r="H450" s="129">
        <v>263</v>
      </c>
      <c r="I450" s="129">
        <v>271</v>
      </c>
      <c r="J450" s="129">
        <v>267</v>
      </c>
      <c r="K450" s="129">
        <v>4</v>
      </c>
      <c r="L450" s="129"/>
      <c r="M450" s="130"/>
      <c r="N450" s="131" t="e">
        <v>#N/A</v>
      </c>
      <c r="O450" s="143"/>
    </row>
    <row r="451" spans="1:15" x14ac:dyDescent="0.35">
      <c r="A451" s="125">
        <v>442</v>
      </c>
      <c r="B451" s="126">
        <v>14</v>
      </c>
      <c r="C451" s="133" t="s">
        <v>45</v>
      </c>
      <c r="D451" s="133" t="s">
        <v>482</v>
      </c>
      <c r="E451" s="133" t="s">
        <v>179</v>
      </c>
      <c r="F451" s="133" t="s">
        <v>919</v>
      </c>
      <c r="G451" s="126">
        <v>11</v>
      </c>
      <c r="H451" s="126">
        <v>279</v>
      </c>
      <c r="I451" s="126">
        <v>367</v>
      </c>
      <c r="J451" s="126">
        <v>325</v>
      </c>
      <c r="K451" s="126">
        <v>36</v>
      </c>
      <c r="L451" s="126"/>
      <c r="M451" s="127"/>
      <c r="N451" s="132" t="e">
        <v>#N/A</v>
      </c>
      <c r="O451" s="144"/>
    </row>
    <row r="452" spans="1:15" x14ac:dyDescent="0.35">
      <c r="A452" s="125">
        <v>444</v>
      </c>
      <c r="B452" s="126">
        <v>14</v>
      </c>
      <c r="C452" s="133" t="s">
        <v>45</v>
      </c>
      <c r="D452" s="133" t="s">
        <v>1271</v>
      </c>
      <c r="E452" s="133" t="s">
        <v>85</v>
      </c>
      <c r="F452" s="133" t="s">
        <v>728</v>
      </c>
      <c r="G452" s="126">
        <v>9</v>
      </c>
      <c r="H452" s="126">
        <v>264</v>
      </c>
      <c r="I452" s="126">
        <v>505</v>
      </c>
      <c r="J452" s="126">
        <v>377.5</v>
      </c>
      <c r="K452" s="126">
        <v>85.5</v>
      </c>
      <c r="L452" s="126"/>
      <c r="M452" s="127"/>
      <c r="N452" s="132" t="e">
        <v>#N/A</v>
      </c>
      <c r="O452" s="144"/>
    </row>
    <row r="453" spans="1:15" x14ac:dyDescent="0.35">
      <c r="A453" s="128">
        <v>445</v>
      </c>
      <c r="B453" s="129">
        <v>14</v>
      </c>
      <c r="C453" s="134" t="s">
        <v>45</v>
      </c>
      <c r="D453" s="134" t="s">
        <v>956</v>
      </c>
      <c r="E453" s="134" t="s">
        <v>102</v>
      </c>
      <c r="F453" s="134" t="s">
        <v>932</v>
      </c>
      <c r="G453" s="129">
        <v>7</v>
      </c>
      <c r="H453" s="129">
        <v>248</v>
      </c>
      <c r="I453" s="129">
        <v>391</v>
      </c>
      <c r="J453" s="129">
        <v>335.3</v>
      </c>
      <c r="K453" s="129">
        <v>62.5</v>
      </c>
      <c r="L453" s="129"/>
      <c r="M453" s="130"/>
      <c r="N453" s="131" t="e">
        <v>#N/A</v>
      </c>
      <c r="O453" s="143"/>
    </row>
    <row r="454" spans="1:15" x14ac:dyDescent="0.35">
      <c r="A454" s="125">
        <v>446</v>
      </c>
      <c r="B454" s="126">
        <v>14</v>
      </c>
      <c r="C454" s="133" t="s">
        <v>45</v>
      </c>
      <c r="D454" s="133" t="s">
        <v>500</v>
      </c>
      <c r="E454" s="133" t="s">
        <v>71</v>
      </c>
      <c r="F454" s="133" t="s">
        <v>934</v>
      </c>
      <c r="G454" s="126">
        <v>11</v>
      </c>
      <c r="H454" s="126">
        <v>302</v>
      </c>
      <c r="I454" s="126">
        <v>392</v>
      </c>
      <c r="J454" s="126">
        <v>339</v>
      </c>
      <c r="K454" s="126">
        <v>38.4</v>
      </c>
      <c r="L454" s="126"/>
      <c r="M454" s="127"/>
      <c r="N454" s="132" t="e">
        <v>#N/A</v>
      </c>
      <c r="O454" s="144"/>
    </row>
    <row r="455" spans="1:15" x14ac:dyDescent="0.35">
      <c r="A455" s="125">
        <v>448</v>
      </c>
      <c r="B455" s="126">
        <v>14</v>
      </c>
      <c r="C455" s="133" t="s">
        <v>45</v>
      </c>
      <c r="D455" s="133" t="s">
        <v>905</v>
      </c>
      <c r="E455" s="133" t="s">
        <v>157</v>
      </c>
      <c r="F455" s="133" t="s">
        <v>939</v>
      </c>
      <c r="G455" s="126">
        <v>8</v>
      </c>
      <c r="H455" s="126">
        <v>235</v>
      </c>
      <c r="I455" s="126">
        <v>353</v>
      </c>
      <c r="J455" s="126">
        <v>294</v>
      </c>
      <c r="K455" s="126">
        <v>59</v>
      </c>
      <c r="L455" s="126"/>
      <c r="M455" s="127"/>
      <c r="N455" s="132" t="e">
        <v>#N/A</v>
      </c>
      <c r="O455" s="144"/>
    </row>
    <row r="456" spans="1:15" x14ac:dyDescent="0.35">
      <c r="A456" s="128">
        <v>449</v>
      </c>
      <c r="B456" s="129">
        <v>15</v>
      </c>
      <c r="C456" s="134" t="s">
        <v>45</v>
      </c>
      <c r="D456" s="134" t="s">
        <v>1376</v>
      </c>
      <c r="E456" s="134" t="s">
        <v>119</v>
      </c>
      <c r="F456" s="134" t="s">
        <v>935</v>
      </c>
      <c r="G456" s="129">
        <v>6</v>
      </c>
      <c r="H456" s="129">
        <v>327</v>
      </c>
      <c r="I456" s="129">
        <v>417</v>
      </c>
      <c r="J456" s="129">
        <v>367.8</v>
      </c>
      <c r="K456" s="129">
        <v>35.5</v>
      </c>
      <c r="L456" s="129"/>
      <c r="M456" s="130"/>
      <c r="N456" s="131" t="e">
        <v>#N/A</v>
      </c>
      <c r="O456" s="143"/>
    </row>
    <row r="457" spans="1:15" x14ac:dyDescent="0.35">
      <c r="A457" s="125">
        <v>452</v>
      </c>
      <c r="B457" s="126">
        <v>15</v>
      </c>
      <c r="C457" s="133" t="s">
        <v>45</v>
      </c>
      <c r="D457" s="133" t="s">
        <v>1480</v>
      </c>
      <c r="E457" s="133" t="s">
        <v>179</v>
      </c>
      <c r="F457" s="133" t="s">
        <v>741</v>
      </c>
      <c r="G457" s="126">
        <v>11</v>
      </c>
      <c r="H457" s="126">
        <v>209</v>
      </c>
      <c r="I457" s="126">
        <v>397</v>
      </c>
      <c r="J457" s="126">
        <v>303</v>
      </c>
      <c r="K457" s="126">
        <v>94</v>
      </c>
      <c r="L457" s="126"/>
      <c r="M457" s="127"/>
      <c r="N457" s="132" t="e">
        <v>#N/A</v>
      </c>
      <c r="O457" s="144"/>
    </row>
    <row r="458" spans="1:15" x14ac:dyDescent="0.35">
      <c r="A458" s="128">
        <v>453</v>
      </c>
      <c r="B458" s="129">
        <v>15</v>
      </c>
      <c r="C458" s="134" t="s">
        <v>45</v>
      </c>
      <c r="D458" s="134" t="s">
        <v>976</v>
      </c>
      <c r="E458" s="134" t="s">
        <v>85</v>
      </c>
      <c r="F458" s="134" t="s">
        <v>937</v>
      </c>
      <c r="G458" s="129">
        <v>9</v>
      </c>
      <c r="H458" s="129">
        <v>275</v>
      </c>
      <c r="I458" s="129">
        <v>394</v>
      </c>
      <c r="J458" s="129">
        <v>349.3</v>
      </c>
      <c r="K458" s="129">
        <v>52.9</v>
      </c>
      <c r="L458" s="129"/>
      <c r="M458" s="130"/>
      <c r="N458" s="131" t="e">
        <v>#N/A</v>
      </c>
      <c r="O458" s="143"/>
    </row>
    <row r="459" spans="1:15" x14ac:dyDescent="0.35">
      <c r="A459" s="125">
        <v>454</v>
      </c>
      <c r="B459" s="126">
        <v>15</v>
      </c>
      <c r="C459" s="133" t="s">
        <v>45</v>
      </c>
      <c r="D459" s="133" t="s">
        <v>1481</v>
      </c>
      <c r="E459" s="133" t="s">
        <v>1222</v>
      </c>
      <c r="F459" s="133" t="s">
        <v>947</v>
      </c>
      <c r="G459" s="126">
        <v>6</v>
      </c>
      <c r="H459" s="126">
        <v>283</v>
      </c>
      <c r="I459" s="126">
        <v>396</v>
      </c>
      <c r="J459" s="126">
        <v>351</v>
      </c>
      <c r="K459" s="126">
        <v>48.9</v>
      </c>
      <c r="L459" s="126"/>
      <c r="M459" s="127"/>
      <c r="N459" s="132" t="e">
        <v>#N/A</v>
      </c>
      <c r="O459" s="144"/>
    </row>
    <row r="460" spans="1:15" x14ac:dyDescent="0.35">
      <c r="A460" s="125">
        <v>456</v>
      </c>
      <c r="B460" s="126">
        <v>15</v>
      </c>
      <c r="C460" s="133" t="s">
        <v>45</v>
      </c>
      <c r="D460" s="133" t="s">
        <v>680</v>
      </c>
      <c r="E460" s="133" t="s">
        <v>53</v>
      </c>
      <c r="F460" s="133" t="s">
        <v>952</v>
      </c>
      <c r="G460" s="126">
        <v>13</v>
      </c>
      <c r="H460" s="126">
        <v>241</v>
      </c>
      <c r="I460" s="126">
        <v>415</v>
      </c>
      <c r="J460" s="126">
        <v>356</v>
      </c>
      <c r="K460" s="126">
        <v>81.3</v>
      </c>
      <c r="L460" s="126"/>
      <c r="M460" s="127"/>
      <c r="N460" s="132" t="e">
        <v>#N/A</v>
      </c>
      <c r="O460" s="144"/>
    </row>
    <row r="461" spans="1:15" x14ac:dyDescent="0.35">
      <c r="A461" s="128">
        <v>457</v>
      </c>
      <c r="B461" s="129">
        <v>15</v>
      </c>
      <c r="C461" s="134" t="s">
        <v>45</v>
      </c>
      <c r="D461" s="134" t="s">
        <v>965</v>
      </c>
      <c r="E461" s="134" t="s">
        <v>47</v>
      </c>
      <c r="F461" s="134" t="s">
        <v>954</v>
      </c>
      <c r="G461" s="129">
        <v>11</v>
      </c>
      <c r="H461" s="129">
        <v>286</v>
      </c>
      <c r="I461" s="129">
        <v>398</v>
      </c>
      <c r="J461" s="129">
        <v>356</v>
      </c>
      <c r="K461" s="129">
        <v>49.8</v>
      </c>
      <c r="L461" s="129"/>
      <c r="M461" s="130"/>
      <c r="N461" s="131" t="e">
        <v>#N/A</v>
      </c>
      <c r="O461" s="143"/>
    </row>
    <row r="462" spans="1:15" x14ac:dyDescent="0.35">
      <c r="A462" s="125">
        <v>458</v>
      </c>
      <c r="B462" s="126">
        <v>15</v>
      </c>
      <c r="C462" s="133" t="s">
        <v>45</v>
      </c>
      <c r="D462" s="133" t="s">
        <v>1483</v>
      </c>
      <c r="E462" s="133" t="s">
        <v>97</v>
      </c>
      <c r="F462" s="133" t="s">
        <v>938</v>
      </c>
      <c r="G462" s="126">
        <v>11</v>
      </c>
      <c r="H462" s="126">
        <v>298</v>
      </c>
      <c r="I462" s="126">
        <v>342</v>
      </c>
      <c r="J462" s="126">
        <v>320</v>
      </c>
      <c r="K462" s="126">
        <v>22</v>
      </c>
      <c r="L462" s="126"/>
      <c r="M462" s="127"/>
      <c r="N462" s="132" t="e">
        <v>#N/A</v>
      </c>
      <c r="O462" s="144"/>
    </row>
    <row r="463" spans="1:15" x14ac:dyDescent="0.35">
      <c r="A463" s="128">
        <v>459</v>
      </c>
      <c r="B463" s="129">
        <v>15</v>
      </c>
      <c r="C463" s="134" t="s">
        <v>45</v>
      </c>
      <c r="D463" s="134" t="s">
        <v>1484</v>
      </c>
      <c r="E463" s="134" t="s">
        <v>122</v>
      </c>
      <c r="F463" s="134" t="s">
        <v>955</v>
      </c>
      <c r="G463" s="129">
        <v>7</v>
      </c>
      <c r="H463" s="129">
        <v>289</v>
      </c>
      <c r="I463" s="129">
        <v>401</v>
      </c>
      <c r="J463" s="129">
        <v>359.3</v>
      </c>
      <c r="K463" s="129">
        <v>50</v>
      </c>
      <c r="L463" s="129"/>
      <c r="M463" s="130"/>
      <c r="N463" s="131" t="e">
        <v>#N/A</v>
      </c>
      <c r="O463" s="143"/>
    </row>
    <row r="464" spans="1:15" x14ac:dyDescent="0.35">
      <c r="A464" s="125">
        <v>460</v>
      </c>
      <c r="B464" s="126">
        <v>15</v>
      </c>
      <c r="C464" s="133" t="s">
        <v>45</v>
      </c>
      <c r="D464" s="133" t="s">
        <v>1485</v>
      </c>
      <c r="E464" s="133" t="s">
        <v>74</v>
      </c>
      <c r="F464" s="133" t="s">
        <v>957</v>
      </c>
      <c r="G464" s="126">
        <v>8</v>
      </c>
      <c r="H464" s="126">
        <v>320</v>
      </c>
      <c r="I464" s="126">
        <v>385</v>
      </c>
      <c r="J464" s="126">
        <v>360.7</v>
      </c>
      <c r="K464" s="126">
        <v>28.9</v>
      </c>
      <c r="L464" s="126"/>
      <c r="M464" s="127"/>
      <c r="N464" s="132" t="e">
        <v>#N/A</v>
      </c>
      <c r="O464" s="144"/>
    </row>
    <row r="465" spans="1:15" x14ac:dyDescent="0.35">
      <c r="A465" s="128">
        <v>461</v>
      </c>
      <c r="B465" s="129">
        <v>15</v>
      </c>
      <c r="C465" s="134" t="s">
        <v>45</v>
      </c>
      <c r="D465" s="134" t="s">
        <v>1486</v>
      </c>
      <c r="E465" s="134" t="s">
        <v>241</v>
      </c>
      <c r="F465" s="134" t="s">
        <v>961</v>
      </c>
      <c r="G465" s="129">
        <v>11</v>
      </c>
      <c r="H465" s="129">
        <v>236</v>
      </c>
      <c r="I465" s="129">
        <v>469</v>
      </c>
      <c r="J465" s="129">
        <v>373</v>
      </c>
      <c r="K465" s="129">
        <v>99.4</v>
      </c>
      <c r="L465" s="129"/>
      <c r="M465" s="130"/>
      <c r="N465" s="131" t="e">
        <v>#N/A</v>
      </c>
      <c r="O465" s="143"/>
    </row>
    <row r="466" spans="1:15" x14ac:dyDescent="0.35">
      <c r="A466" s="128">
        <v>463</v>
      </c>
      <c r="B466" s="129">
        <v>15</v>
      </c>
      <c r="C466" s="134" t="s">
        <v>45</v>
      </c>
      <c r="D466" s="134" t="s">
        <v>431</v>
      </c>
      <c r="E466" s="134" t="s">
        <v>88</v>
      </c>
      <c r="F466" s="134" t="s">
        <v>962</v>
      </c>
      <c r="G466" s="129">
        <v>10</v>
      </c>
      <c r="H466" s="129">
        <v>276</v>
      </c>
      <c r="I466" s="129">
        <v>383</v>
      </c>
      <c r="J466" s="129">
        <v>329.5</v>
      </c>
      <c r="K466" s="129">
        <v>53.5</v>
      </c>
      <c r="L466" s="129"/>
      <c r="M466" s="130"/>
      <c r="N466" s="131" t="e">
        <v>#N/A</v>
      </c>
      <c r="O466" s="143"/>
    </row>
    <row r="467" spans="1:15" x14ac:dyDescent="0.35">
      <c r="A467" s="125">
        <v>464</v>
      </c>
      <c r="B467" s="126">
        <v>15</v>
      </c>
      <c r="C467" s="133" t="s">
        <v>45</v>
      </c>
      <c r="D467" s="133" t="s">
        <v>1007</v>
      </c>
      <c r="E467" s="133" t="s">
        <v>241</v>
      </c>
      <c r="F467" s="133" t="s">
        <v>963</v>
      </c>
      <c r="G467" s="126">
        <v>11</v>
      </c>
      <c r="H467" s="126">
        <v>300</v>
      </c>
      <c r="I467" s="126">
        <v>404</v>
      </c>
      <c r="J467" s="126">
        <v>365.7</v>
      </c>
      <c r="K467" s="126">
        <v>46.6</v>
      </c>
      <c r="L467" s="126"/>
      <c r="M467" s="127"/>
      <c r="N467" s="132" t="e">
        <v>#N/A</v>
      </c>
      <c r="O467" s="144"/>
    </row>
    <row r="468" spans="1:15" x14ac:dyDescent="0.35">
      <c r="A468" s="128">
        <v>465</v>
      </c>
      <c r="B468" s="129">
        <v>15</v>
      </c>
      <c r="C468" s="134" t="s">
        <v>45</v>
      </c>
      <c r="D468" s="134" t="s">
        <v>619</v>
      </c>
      <c r="E468" s="134" t="s">
        <v>74</v>
      </c>
      <c r="F468" s="134" t="s">
        <v>966</v>
      </c>
      <c r="G468" s="129">
        <v>8</v>
      </c>
      <c r="H468" s="129">
        <v>296</v>
      </c>
      <c r="I468" s="129">
        <v>393</v>
      </c>
      <c r="J468" s="129">
        <v>344.5</v>
      </c>
      <c r="K468" s="129">
        <v>48.5</v>
      </c>
      <c r="L468" s="129"/>
      <c r="M468" s="130"/>
      <c r="N468" s="131" t="e">
        <v>#N/A</v>
      </c>
      <c r="O468" s="143"/>
    </row>
    <row r="469" spans="1:15" x14ac:dyDescent="0.35">
      <c r="A469" s="125">
        <v>466</v>
      </c>
      <c r="B469" s="126">
        <v>15</v>
      </c>
      <c r="C469" s="133" t="s">
        <v>45</v>
      </c>
      <c r="D469" s="133" t="s">
        <v>1003</v>
      </c>
      <c r="E469" s="133" t="s">
        <v>487</v>
      </c>
      <c r="F469" s="133" t="s">
        <v>969</v>
      </c>
      <c r="G469" s="126"/>
      <c r="H469" s="126">
        <v>324</v>
      </c>
      <c r="I469" s="126">
        <v>411</v>
      </c>
      <c r="J469" s="126">
        <v>380</v>
      </c>
      <c r="K469" s="126">
        <v>39.700000000000003</v>
      </c>
      <c r="L469" s="126"/>
      <c r="M469" s="127"/>
      <c r="N469" s="127" t="e">
        <v>#N/A</v>
      </c>
      <c r="O469" s="144"/>
    </row>
    <row r="470" spans="1:15" x14ac:dyDescent="0.35">
      <c r="A470" s="125">
        <v>468</v>
      </c>
      <c r="B470" s="126">
        <v>15</v>
      </c>
      <c r="C470" s="133" t="s">
        <v>45</v>
      </c>
      <c r="D470" s="133" t="s">
        <v>1487</v>
      </c>
      <c r="E470" s="133" t="s">
        <v>65</v>
      </c>
      <c r="F470" s="133" t="s">
        <v>941</v>
      </c>
      <c r="G470" s="126">
        <v>5</v>
      </c>
      <c r="H470" s="126">
        <v>289</v>
      </c>
      <c r="I470" s="126">
        <v>418</v>
      </c>
      <c r="J470" s="126">
        <v>353.5</v>
      </c>
      <c r="K470" s="126">
        <v>64.5</v>
      </c>
      <c r="L470" s="126"/>
      <c r="M470" s="127"/>
      <c r="N470" s="144" t="e">
        <v>#N/A</v>
      </c>
      <c r="O470" s="144"/>
    </row>
    <row r="471" spans="1:15" x14ac:dyDescent="0.35">
      <c r="A471" s="128">
        <v>469</v>
      </c>
      <c r="B471" s="129">
        <v>15</v>
      </c>
      <c r="C471" s="134" t="s">
        <v>45</v>
      </c>
      <c r="D471" s="134" t="s">
        <v>967</v>
      </c>
      <c r="E471" s="134" t="s">
        <v>71</v>
      </c>
      <c r="F471" s="134" t="s">
        <v>758</v>
      </c>
      <c r="G471" s="129">
        <v>11</v>
      </c>
      <c r="H471" s="129">
        <v>290</v>
      </c>
      <c r="I471" s="129">
        <v>423</v>
      </c>
      <c r="J471" s="129">
        <v>356.5</v>
      </c>
      <c r="K471" s="129">
        <v>66.5</v>
      </c>
      <c r="L471" s="129"/>
      <c r="M471" s="130"/>
      <c r="N471" s="145" t="e">
        <v>#N/A</v>
      </c>
    </row>
    <row r="472" spans="1:15" x14ac:dyDescent="0.35">
      <c r="A472" s="125">
        <v>470</v>
      </c>
      <c r="B472" s="126">
        <v>15</v>
      </c>
      <c r="C472" s="133" t="s">
        <v>45</v>
      </c>
      <c r="D472" s="133" t="s">
        <v>936</v>
      </c>
      <c r="E472" s="133" t="s">
        <v>80</v>
      </c>
      <c r="F472" s="133" t="s">
        <v>765</v>
      </c>
      <c r="G472" s="126">
        <v>9</v>
      </c>
      <c r="H472" s="126">
        <v>295</v>
      </c>
      <c r="I472" s="126">
        <v>519</v>
      </c>
      <c r="J472" s="126">
        <v>407</v>
      </c>
      <c r="K472" s="126">
        <v>112</v>
      </c>
      <c r="L472" s="126"/>
      <c r="M472" s="127"/>
      <c r="N472" s="145" t="e">
        <v>#N/A</v>
      </c>
    </row>
    <row r="473" spans="1:15" x14ac:dyDescent="0.35">
      <c r="A473" s="128">
        <v>471</v>
      </c>
      <c r="B473" s="129">
        <v>15</v>
      </c>
      <c r="C473" s="134" t="s">
        <v>45</v>
      </c>
      <c r="D473" s="134" t="s">
        <v>812</v>
      </c>
      <c r="E473" s="134" t="s">
        <v>179</v>
      </c>
      <c r="F473" s="134" t="s">
        <v>770</v>
      </c>
      <c r="G473" s="129">
        <v>11</v>
      </c>
      <c r="H473" s="129">
        <v>298</v>
      </c>
      <c r="I473" s="129">
        <v>495</v>
      </c>
      <c r="J473" s="129">
        <v>396.5</v>
      </c>
      <c r="K473" s="129">
        <v>98.5</v>
      </c>
      <c r="L473" s="129"/>
      <c r="M473" s="130"/>
      <c r="N473" s="145" t="e">
        <v>#N/A</v>
      </c>
    </row>
    <row r="474" spans="1:15" x14ac:dyDescent="0.35">
      <c r="A474" s="125">
        <v>472</v>
      </c>
      <c r="B474" s="126">
        <v>15</v>
      </c>
      <c r="C474" s="133" t="s">
        <v>45</v>
      </c>
      <c r="D474" s="133" t="s">
        <v>1488</v>
      </c>
      <c r="E474" s="133" t="s">
        <v>50</v>
      </c>
      <c r="F474" s="133" t="s">
        <v>774</v>
      </c>
      <c r="G474" s="126">
        <v>10</v>
      </c>
      <c r="H474" s="126">
        <v>299</v>
      </c>
      <c r="I474" s="126">
        <v>510</v>
      </c>
      <c r="J474" s="126">
        <v>404.5</v>
      </c>
      <c r="K474" s="126">
        <v>105.5</v>
      </c>
      <c r="L474" s="126"/>
      <c r="M474" s="127"/>
      <c r="N474" s="145" t="e">
        <v>#N/A</v>
      </c>
    </row>
    <row r="475" spans="1:15" x14ac:dyDescent="0.35">
      <c r="A475" s="128">
        <v>473</v>
      </c>
      <c r="B475" s="129">
        <v>15</v>
      </c>
      <c r="C475" s="134" t="s">
        <v>45</v>
      </c>
      <c r="D475" s="134" t="s">
        <v>1005</v>
      </c>
      <c r="E475" s="134" t="s">
        <v>144</v>
      </c>
      <c r="F475" s="134" t="s">
        <v>775</v>
      </c>
      <c r="G475" s="129">
        <v>5</v>
      </c>
      <c r="H475" s="129">
        <v>319</v>
      </c>
      <c r="I475" s="129">
        <v>431</v>
      </c>
      <c r="J475" s="129">
        <v>375</v>
      </c>
      <c r="K475" s="129">
        <v>56</v>
      </c>
      <c r="L475" s="129"/>
      <c r="M475" s="130"/>
      <c r="N475" s="145" t="e">
        <v>#N/A</v>
      </c>
    </row>
    <row r="476" spans="1:15" x14ac:dyDescent="0.35">
      <c r="A476" s="125">
        <v>474</v>
      </c>
      <c r="B476" s="126">
        <v>15</v>
      </c>
      <c r="C476" s="133" t="s">
        <v>45</v>
      </c>
      <c r="D476" s="133" t="s">
        <v>471</v>
      </c>
      <c r="E476" s="133" t="s">
        <v>71</v>
      </c>
      <c r="F476" s="133" t="s">
        <v>951</v>
      </c>
      <c r="G476" s="126">
        <v>11</v>
      </c>
      <c r="H476" s="126">
        <v>321</v>
      </c>
      <c r="I476" s="126">
        <v>493</v>
      </c>
      <c r="J476" s="126">
        <v>407</v>
      </c>
      <c r="K476" s="126">
        <v>86</v>
      </c>
      <c r="L476" s="126"/>
      <c r="M476" s="127"/>
      <c r="N476" s="145" t="e">
        <v>#N/A</v>
      </c>
    </row>
    <row r="477" spans="1:15" x14ac:dyDescent="0.35">
      <c r="A477" s="128">
        <v>475</v>
      </c>
      <c r="B477" s="129">
        <v>15</v>
      </c>
      <c r="C477" s="134" t="s">
        <v>45</v>
      </c>
      <c r="D477" s="134" t="s">
        <v>1373</v>
      </c>
      <c r="E477" s="134" t="s">
        <v>59</v>
      </c>
      <c r="F477" s="134" t="s">
        <v>776</v>
      </c>
      <c r="G477" s="129">
        <v>10</v>
      </c>
      <c r="H477" s="129">
        <v>366</v>
      </c>
      <c r="I477" s="129">
        <v>515</v>
      </c>
      <c r="J477" s="129">
        <v>425</v>
      </c>
      <c r="K477" s="129">
        <v>64.7</v>
      </c>
      <c r="L477" s="129"/>
      <c r="M477" s="130"/>
      <c r="N477" s="145" t="e">
        <v>#N/A</v>
      </c>
    </row>
    <row r="478" spans="1:15" x14ac:dyDescent="0.35">
      <c r="A478" s="125">
        <v>476</v>
      </c>
      <c r="B478" s="126">
        <v>15</v>
      </c>
      <c r="C478" s="133" t="s">
        <v>45</v>
      </c>
      <c r="D478" s="133" t="s">
        <v>388</v>
      </c>
      <c r="E478" s="133" t="s">
        <v>487</v>
      </c>
      <c r="F478" s="133" t="s">
        <v>972</v>
      </c>
      <c r="G478" s="126"/>
      <c r="H478" s="126">
        <v>382</v>
      </c>
      <c r="I478" s="126">
        <v>386</v>
      </c>
      <c r="J478" s="126">
        <v>384</v>
      </c>
      <c r="K478" s="126">
        <v>2</v>
      </c>
      <c r="L478" s="126"/>
      <c r="M478" s="127"/>
      <c r="N478" s="145" t="e">
        <v>#N/A</v>
      </c>
    </row>
    <row r="479" spans="1:15" x14ac:dyDescent="0.35">
      <c r="A479" s="125">
        <v>478</v>
      </c>
      <c r="B479" s="126">
        <v>15</v>
      </c>
      <c r="C479" s="133" t="s">
        <v>45</v>
      </c>
      <c r="D479" s="133" t="s">
        <v>1264</v>
      </c>
      <c r="E479" s="133" t="s">
        <v>82</v>
      </c>
      <c r="F479" s="133" t="s">
        <v>942</v>
      </c>
      <c r="G479" s="126">
        <v>9</v>
      </c>
      <c r="H479" s="126">
        <v>346</v>
      </c>
      <c r="I479" s="126">
        <v>473</v>
      </c>
      <c r="J479" s="126">
        <v>409.5</v>
      </c>
      <c r="K479" s="126">
        <v>63.5</v>
      </c>
      <c r="L479" s="126"/>
      <c r="M479" s="127"/>
      <c r="N479" s="145" t="e">
        <v>#N/A</v>
      </c>
    </row>
    <row r="480" spans="1:15" x14ac:dyDescent="0.35">
      <c r="A480" s="128">
        <v>479</v>
      </c>
      <c r="B480" s="129">
        <v>15</v>
      </c>
      <c r="C480" s="134" t="s">
        <v>45</v>
      </c>
      <c r="D480" s="134" t="s">
        <v>1489</v>
      </c>
      <c r="E480" s="134" t="s">
        <v>97</v>
      </c>
      <c r="F480" s="134" t="s">
        <v>973</v>
      </c>
      <c r="G480" s="129">
        <v>11</v>
      </c>
      <c r="H480" s="129">
        <v>361</v>
      </c>
      <c r="I480" s="129">
        <v>461</v>
      </c>
      <c r="J480" s="129">
        <v>411</v>
      </c>
      <c r="K480" s="129">
        <v>50</v>
      </c>
      <c r="L480" s="129"/>
      <c r="M480" s="130"/>
      <c r="N480" s="145" t="e">
        <v>#N/A</v>
      </c>
    </row>
    <row r="481" spans="1:14" x14ac:dyDescent="0.35">
      <c r="A481" s="125">
        <v>480</v>
      </c>
      <c r="B481" s="126">
        <v>15</v>
      </c>
      <c r="C481" s="133" t="s">
        <v>45</v>
      </c>
      <c r="D481" s="133" t="s">
        <v>1380</v>
      </c>
      <c r="E481" s="133" t="s">
        <v>487</v>
      </c>
      <c r="F481" s="133" t="s">
        <v>977</v>
      </c>
      <c r="G481" s="126"/>
      <c r="H481" s="126">
        <v>406</v>
      </c>
      <c r="I481" s="126">
        <v>409</v>
      </c>
      <c r="J481" s="126">
        <v>407.5</v>
      </c>
      <c r="K481" s="126">
        <v>1.5</v>
      </c>
      <c r="L481" s="126"/>
      <c r="M481" s="127"/>
      <c r="N481" s="145" t="e">
        <v>#N/A</v>
      </c>
    </row>
    <row r="482" spans="1:14" x14ac:dyDescent="0.35">
      <c r="A482" s="128">
        <v>481</v>
      </c>
      <c r="B482" s="129">
        <v>15</v>
      </c>
      <c r="C482" s="134" t="s">
        <v>45</v>
      </c>
      <c r="D482" s="134" t="s">
        <v>773</v>
      </c>
      <c r="E482" s="134" t="s">
        <v>53</v>
      </c>
      <c r="F482" s="134" t="s">
        <v>797</v>
      </c>
      <c r="G482" s="129">
        <v>13</v>
      </c>
      <c r="H482" s="129">
        <v>378</v>
      </c>
      <c r="I482" s="129">
        <v>502</v>
      </c>
      <c r="J482" s="129">
        <v>440</v>
      </c>
      <c r="K482" s="129">
        <v>62</v>
      </c>
      <c r="L482" s="129"/>
      <c r="M482" s="130"/>
      <c r="N482" s="145" t="e">
        <v>#N/A</v>
      </c>
    </row>
    <row r="483" spans="1:14" x14ac:dyDescent="0.35">
      <c r="A483" s="125">
        <v>482</v>
      </c>
      <c r="B483" s="126">
        <v>16</v>
      </c>
      <c r="C483" s="133" t="s">
        <v>45</v>
      </c>
      <c r="D483" s="133" t="s">
        <v>1490</v>
      </c>
      <c r="E483" s="133" t="s">
        <v>144</v>
      </c>
      <c r="F483" s="133" t="s">
        <v>978</v>
      </c>
      <c r="G483" s="126">
        <v>5</v>
      </c>
      <c r="H483" s="126">
        <v>416</v>
      </c>
      <c r="I483" s="126">
        <v>418</v>
      </c>
      <c r="J483" s="126">
        <v>417</v>
      </c>
      <c r="K483" s="126">
        <v>1</v>
      </c>
      <c r="L483" s="126"/>
      <c r="M483" s="127"/>
      <c r="N483" s="145" t="e">
        <v>#N/A</v>
      </c>
    </row>
    <row r="484" spans="1:14" x14ac:dyDescent="0.35">
      <c r="A484" s="128">
        <v>483</v>
      </c>
      <c r="B484" s="129">
        <v>16</v>
      </c>
      <c r="C484" s="134" t="s">
        <v>45</v>
      </c>
      <c r="D484" s="134" t="s">
        <v>1423</v>
      </c>
      <c r="E484" s="134" t="s">
        <v>144</v>
      </c>
      <c r="F484" s="134" t="s">
        <v>979</v>
      </c>
      <c r="G484" s="129">
        <v>5</v>
      </c>
      <c r="H484" s="129">
        <v>416</v>
      </c>
      <c r="I484" s="129">
        <v>419</v>
      </c>
      <c r="J484" s="129">
        <v>417.5</v>
      </c>
      <c r="K484" s="129">
        <v>1.5</v>
      </c>
      <c r="L484" s="129"/>
      <c r="M484" s="130"/>
      <c r="N484" s="145" t="e">
        <v>#N/A</v>
      </c>
    </row>
    <row r="485" spans="1:14" x14ac:dyDescent="0.35">
      <c r="A485" s="125">
        <v>484</v>
      </c>
      <c r="B485" s="126">
        <v>16</v>
      </c>
      <c r="C485" s="133" t="s">
        <v>45</v>
      </c>
      <c r="D485" s="133" t="s">
        <v>1265</v>
      </c>
      <c r="E485" s="133" t="s">
        <v>144</v>
      </c>
      <c r="F485" s="133" t="s">
        <v>943</v>
      </c>
      <c r="G485" s="126">
        <v>5</v>
      </c>
      <c r="H485" s="126">
        <v>404</v>
      </c>
      <c r="I485" s="126">
        <v>488</v>
      </c>
      <c r="J485" s="126">
        <v>446</v>
      </c>
      <c r="K485" s="126">
        <v>42</v>
      </c>
      <c r="L485" s="126"/>
      <c r="M485" s="127"/>
      <c r="N485" s="145" t="e">
        <v>#N/A</v>
      </c>
    </row>
    <row r="486" spans="1:14" x14ac:dyDescent="0.35">
      <c r="A486" s="128">
        <v>485</v>
      </c>
      <c r="B486" s="129">
        <v>16</v>
      </c>
      <c r="C486" s="134" t="s">
        <v>45</v>
      </c>
      <c r="D486" s="134" t="s">
        <v>1331</v>
      </c>
      <c r="E486" s="134" t="s">
        <v>62</v>
      </c>
      <c r="F486" s="134" t="s">
        <v>801</v>
      </c>
      <c r="G486" s="129">
        <v>8</v>
      </c>
      <c r="H486" s="129">
        <v>412</v>
      </c>
      <c r="I486" s="129">
        <v>529</v>
      </c>
      <c r="J486" s="129">
        <v>470.5</v>
      </c>
      <c r="K486" s="129">
        <v>58.5</v>
      </c>
      <c r="L486" s="129"/>
      <c r="M486" s="130"/>
      <c r="N486" s="145" t="e">
        <v>#N/A</v>
      </c>
    </row>
  </sheetData>
  <mergeCells count="2">
    <mergeCell ref="Q11:T12"/>
    <mergeCell ref="Q2:T2"/>
  </mergeCells>
  <phoneticPr fontId="7" type="noConversion"/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DB7BC1-C84E-44A7-A320-A427F2BF72A1}">
  <sheetPr codeName="Sheet4"/>
  <dimension ref="B1:AK77"/>
  <sheetViews>
    <sheetView topLeftCell="A31" workbookViewId="0">
      <selection activeCell="C41" sqref="C41"/>
    </sheetView>
  </sheetViews>
  <sheetFormatPr defaultRowHeight="14.5" x14ac:dyDescent="0.35"/>
  <cols>
    <col min="1" max="1" width="1.6328125" style="1" customWidth="1" collapsed="1"/>
    <col min="2" max="2" width="3.26953125" style="1" bestFit="1" customWidth="1" collapsed="1"/>
    <col min="3" max="3" width="20.90625" style="1" bestFit="1" customWidth="1" collapsed="1"/>
    <col min="4" max="4" width="4.36328125" style="1" bestFit="1" customWidth="1" collapsed="1"/>
    <col min="5" max="5" width="6.90625" style="1" bestFit="1" customWidth="1" collapsed="1"/>
    <col min="6" max="6" width="1.7265625" style="1" customWidth="1" collapsed="1"/>
    <col min="7" max="7" width="3" style="1" bestFit="1" customWidth="1" collapsed="1"/>
    <col min="8" max="8" width="22.81640625" style="1" bestFit="1" customWidth="1" collapsed="1"/>
    <col min="9" max="9" width="5.453125" style="1" bestFit="1" customWidth="1" collapsed="1"/>
    <col min="10" max="10" width="6.90625" style="1" bestFit="1" customWidth="1" collapsed="1"/>
    <col min="11" max="11" width="1.453125" style="1" customWidth="1" collapsed="1"/>
    <col min="12" max="12" width="3.7265625" style="1" bestFit="1" customWidth="1" collapsed="1"/>
    <col min="13" max="13" width="20.36328125" style="1" bestFit="1" customWidth="1" collapsed="1"/>
    <col min="14" max="14" width="4.36328125" style="1" bestFit="1" customWidth="1" collapsed="1"/>
    <col min="15" max="15" width="6.90625" style="1" bestFit="1" customWidth="1" collapsed="1"/>
    <col min="16" max="16" width="1.7265625" style="1" customWidth="1" collapsed="1"/>
    <col min="17" max="17" width="2.81640625" style="1" bestFit="1" customWidth="1" collapsed="1"/>
    <col min="18" max="18" width="18.453125" style="1" bestFit="1" customWidth="1" collapsed="1"/>
    <col min="19" max="19" width="5.08984375" style="1" bestFit="1" customWidth="1" collapsed="1"/>
    <col min="20" max="20" width="6.90625" style="1" bestFit="1" customWidth="1" collapsed="1"/>
    <col min="21" max="21" width="1.54296875" style="1" customWidth="1" collapsed="1"/>
    <col min="22" max="22" width="4" style="1" bestFit="1" customWidth="1" collapsed="1"/>
    <col min="23" max="23" width="16.36328125" style="1" bestFit="1" customWidth="1" collapsed="1"/>
    <col min="24" max="24" width="4.36328125" style="1" bestFit="1" customWidth="1" collapsed="1"/>
    <col min="25" max="25" width="6.90625" style="1" bestFit="1" customWidth="1" collapsed="1"/>
    <col min="26" max="26" width="1.90625" style="1" customWidth="1" collapsed="1"/>
    <col min="27" max="27" width="2.81640625" style="1" bestFit="1" customWidth="1" collapsed="1"/>
    <col min="28" max="28" width="20.453125" style="1" bestFit="1" customWidth="1" collapsed="1"/>
    <col min="29" max="29" width="5.08984375" style="1" bestFit="1" customWidth="1" collapsed="1"/>
    <col min="30" max="30" width="6.90625" style="1" bestFit="1" customWidth="1" collapsed="1"/>
    <col min="31" max="31" width="8.7265625" style="1" collapsed="1"/>
    <col min="32" max="37" width="8.7265625" style="1"/>
    <col min="38" max="38" width="8.7265625" style="1" collapsed="1"/>
    <col min="39" max="39" width="8.7265625" style="1" customWidth="1" collapsed="1"/>
    <col min="40" max="16384" width="8.7265625" style="1" collapsed="1"/>
  </cols>
  <sheetData>
    <row r="1" spans="2:30" ht="10" customHeight="1" thickBot="1" x14ac:dyDescent="0.4"/>
    <row r="2" spans="2:30" s="22" customFormat="1" ht="29" x14ac:dyDescent="0.35">
      <c r="B2" s="23" t="s">
        <v>3</v>
      </c>
      <c r="C2" s="51" t="s">
        <v>814</v>
      </c>
      <c r="D2" s="51" t="s">
        <v>813</v>
      </c>
      <c r="E2" s="24" t="s">
        <v>816</v>
      </c>
      <c r="G2" s="23" t="s">
        <v>4</v>
      </c>
      <c r="H2" s="51" t="s">
        <v>814</v>
      </c>
      <c r="I2" s="51" t="s">
        <v>813</v>
      </c>
      <c r="J2" s="24" t="s">
        <v>816</v>
      </c>
      <c r="L2" s="23" t="s">
        <v>5</v>
      </c>
      <c r="M2" s="51" t="s">
        <v>814</v>
      </c>
      <c r="N2" s="51" t="s">
        <v>813</v>
      </c>
      <c r="O2" s="24" t="s">
        <v>816</v>
      </c>
      <c r="Q2" s="23" t="s">
        <v>7</v>
      </c>
      <c r="R2" s="51" t="s">
        <v>814</v>
      </c>
      <c r="S2" s="51" t="s">
        <v>813</v>
      </c>
      <c r="T2" s="24" t="s">
        <v>816</v>
      </c>
      <c r="V2" s="23" t="s">
        <v>8</v>
      </c>
      <c r="W2" s="51" t="s">
        <v>814</v>
      </c>
      <c r="X2" s="51" t="s">
        <v>813</v>
      </c>
      <c r="Y2" s="24" t="s">
        <v>816</v>
      </c>
      <c r="AA2" s="23" t="s">
        <v>9</v>
      </c>
      <c r="AB2" s="51" t="s">
        <v>814</v>
      </c>
      <c r="AC2" s="51" t="s">
        <v>813</v>
      </c>
      <c r="AD2" s="24" t="s">
        <v>816</v>
      </c>
    </row>
    <row r="3" spans="2:30" x14ac:dyDescent="0.35">
      <c r="B3" s="12">
        <v>1</v>
      </c>
      <c r="C3" s="17" t="s">
        <v>815</v>
      </c>
      <c r="D3" s="34">
        <f>IF(ISBLANK(C3),"",VLOOKUP(C3,'Default Rankings'!$H$3:$J$32,3,FALSE))</f>
        <v>35</v>
      </c>
      <c r="E3" s="35">
        <f>IF(ISBLANK(C3),"",INDEX('Default Rankings'!$G$3:$J$32,MATCH(C3,'Default Rankings'!$H$3:$H$32,0),1))</f>
        <v>2</v>
      </c>
      <c r="G3" s="12">
        <v>1</v>
      </c>
      <c r="H3" s="17" t="s">
        <v>819</v>
      </c>
      <c r="I3" s="34">
        <f>IF(ISBLANK(H3),"",VLOOKUP(H3,'Default Rankings'!$M$3:$O$77,3,FALSE))</f>
        <v>1</v>
      </c>
      <c r="J3" s="35">
        <f>IF(ISBLANK(H3),"",INDEX('Default Rankings'!$L$3:$O$77,MATCH(H3,'Default Rankings'!$M$3:$M$77,0),1))</f>
        <v>1</v>
      </c>
      <c r="L3" s="12">
        <v>1</v>
      </c>
      <c r="M3" s="17" t="s">
        <v>852</v>
      </c>
      <c r="N3" s="34">
        <f>IF(ISBLANK(M3),"",VLOOKUP(M3,'Default Rankings'!$R$3:$T$77,3,FALSE))</f>
        <v>6</v>
      </c>
      <c r="O3" s="35">
        <f>IF(ISBLANK(M3),"",INDEX('Default Rankings'!$Q$3:$T$77,MATCH(M3,'Default Rankings'!$R$3:$R$77,0),1))</f>
        <v>1</v>
      </c>
      <c r="Q3" s="12">
        <v>1</v>
      </c>
      <c r="R3" s="17" t="s">
        <v>822</v>
      </c>
      <c r="S3" s="34">
        <f>IF(ISBLANK(R3),"",VLOOKUP(R3,'Default Rankings'!$W$3:$Y$77,3,FALSE))</f>
        <v>20</v>
      </c>
      <c r="T3" s="35">
        <f>IF(ISBLANK(R3),"",INDEX('Default Rankings'!$V$3:$Y$77,MATCH(R3,'Default Rankings'!$W$3:$W$77,0),1))</f>
        <v>1</v>
      </c>
      <c r="V3" s="12">
        <v>1</v>
      </c>
      <c r="W3" s="17" t="s">
        <v>1460</v>
      </c>
      <c r="X3" s="34">
        <f>IF(ISBLANK(W3),"",VLOOKUP(W3,'Default Rankings'!$AB$3:$AD$77,3,FALSE))</f>
        <v>172</v>
      </c>
      <c r="Y3" s="35">
        <f>IF(ISBLANK(W3),"",INDEX('Default Rankings'!$AA$3:$AD$77,MATCH(W3,'Default Rankings'!$AB$3:$AB$77,0),1))</f>
        <v>3</v>
      </c>
      <c r="AA3" s="12">
        <v>1</v>
      </c>
      <c r="AB3" s="17" t="s">
        <v>892</v>
      </c>
      <c r="AC3" s="34">
        <f>IF(ISBLANK(AB3),"",VLOOKUP(AB3,'Default Rankings'!$AG$3:$AI$77,3,FALSE))</f>
        <v>183</v>
      </c>
      <c r="AD3" s="35">
        <f>IF(ISBLANK(AB3),"",INDEX('Default Rankings'!$AF$3:$AI$77,MATCH(AB3,'Default Rankings'!$AG$3:$AG$77,0),1))</f>
        <v>2</v>
      </c>
    </row>
    <row r="4" spans="2:30" x14ac:dyDescent="0.35">
      <c r="B4" s="12">
        <f>B3+1</f>
        <v>2</v>
      </c>
      <c r="C4" s="17" t="s">
        <v>1010</v>
      </c>
      <c r="D4" s="34">
        <f>IF(ISBLANK(C4),"",VLOOKUP(C4,'Default Rankings'!$H$3:$J$32,3,FALSE))</f>
        <v>34</v>
      </c>
      <c r="E4" s="35">
        <f>IF(ISBLANK(C4),"",INDEX('Default Rankings'!$G$3:$J$32,MATCH(C4,'Default Rankings'!$H$3:$H$32,0),1))</f>
        <v>1</v>
      </c>
      <c r="G4" s="12">
        <f>G3+1</f>
        <v>2</v>
      </c>
      <c r="H4" s="17" t="s">
        <v>818</v>
      </c>
      <c r="I4" s="34">
        <f>IF(ISBLANK(H4),"",VLOOKUP(H4,'Default Rankings'!$M$3:$O$77,3,FALSE))</f>
        <v>2</v>
      </c>
      <c r="J4" s="35">
        <f>IF(ISBLANK(H4),"",INDEX('Default Rankings'!$L$3:$O$77,MATCH(H4,'Default Rankings'!$M$3:$M$77,0),1))</f>
        <v>2</v>
      </c>
      <c r="L4" s="12">
        <f>L3+1</f>
        <v>2</v>
      </c>
      <c r="M4" s="17" t="s">
        <v>1202</v>
      </c>
      <c r="N4" s="34">
        <f>IF(ISBLANK(M4),"",VLOOKUP(M4,'Default Rankings'!$R$3:$T$77,3,FALSE))</f>
        <v>17</v>
      </c>
      <c r="O4" s="35">
        <f>IF(ISBLANK(M4),"",INDEX('Default Rankings'!$Q$3:$T$77,MATCH(M4,'Default Rankings'!$R$3:$R$77,0),1))</f>
        <v>3</v>
      </c>
      <c r="Q4" s="12">
        <f>Q3+1</f>
        <v>2</v>
      </c>
      <c r="R4" s="17" t="s">
        <v>848</v>
      </c>
      <c r="S4" s="34">
        <f>IF(ISBLANK(R4),"",VLOOKUP(R4,'Default Rankings'!$W$3:$Y$77,3,FALSE))</f>
        <v>23</v>
      </c>
      <c r="T4" s="35">
        <f>IF(ISBLANK(R4),"",INDEX('Default Rankings'!$V$3:$Y$77,MATCH(R4,'Default Rankings'!$W$3:$W$77,0),1))</f>
        <v>2</v>
      </c>
      <c r="V4" s="12">
        <f>V3+1</f>
        <v>2</v>
      </c>
      <c r="W4" s="17" t="s">
        <v>1461</v>
      </c>
      <c r="X4" s="34">
        <f>IF(ISBLANK(W4),"",VLOOKUP(W4,'Default Rankings'!$AB$3:$AD$77,3,FALSE))</f>
        <v>170</v>
      </c>
      <c r="Y4" s="35">
        <f>IF(ISBLANK(W4),"",INDEX('Default Rankings'!$AA$3:$AD$77,MATCH(W4,'Default Rankings'!$AB$3:$AB$77,0),1))</f>
        <v>1</v>
      </c>
      <c r="AA4" s="12">
        <f>AA3+1</f>
        <v>2</v>
      </c>
      <c r="AB4" s="17" t="s">
        <v>823</v>
      </c>
      <c r="AC4" s="34">
        <f>IF(ISBLANK(AB4),"",VLOOKUP(AB4,'Default Rankings'!$AG$3:$AI$77,3,FALSE))</f>
        <v>182</v>
      </c>
      <c r="AD4" s="35">
        <f>IF(ISBLANK(AB4),"",INDEX('Default Rankings'!$AF$3:$AI$77,MATCH(AB4,'Default Rankings'!$AG$3:$AG$77,0),1))</f>
        <v>1</v>
      </c>
    </row>
    <row r="5" spans="2:30" x14ac:dyDescent="0.35">
      <c r="B5" s="12">
        <f t="shared" ref="B5:B32" si="0">B4+1</f>
        <v>3</v>
      </c>
      <c r="C5" s="17" t="s">
        <v>989</v>
      </c>
      <c r="D5" s="34">
        <f>IF(ISBLANK(C5),"",VLOOKUP(C5,'Default Rankings'!$H$3:$J$32,3,FALSE))</f>
        <v>75</v>
      </c>
      <c r="E5" s="35">
        <f>IF(ISBLANK(C5),"",INDEX('Default Rankings'!$G$3:$J$32,MATCH(C5,'Default Rankings'!$H$3:$H$32,0),1))</f>
        <v>5</v>
      </c>
      <c r="G5" s="12">
        <f t="shared" ref="G5:G68" si="1">G4+1</f>
        <v>3</v>
      </c>
      <c r="H5" s="17" t="s">
        <v>847</v>
      </c>
      <c r="I5" s="34">
        <f>IF(ISBLANK(H5),"",VLOOKUP(H5,'Default Rankings'!$M$3:$O$77,3,FALSE))</f>
        <v>3</v>
      </c>
      <c r="J5" s="35">
        <f>IF(ISBLANK(H5),"",INDEX('Default Rankings'!$L$3:$O$77,MATCH(H5,'Default Rankings'!$M$3:$M$77,0),1))</f>
        <v>3</v>
      </c>
      <c r="L5" s="12">
        <f t="shared" ref="L5:L68" si="2">L4+1</f>
        <v>3</v>
      </c>
      <c r="M5" s="17" t="s">
        <v>821</v>
      </c>
      <c r="N5" s="34">
        <f>IF(ISBLANK(M5),"",VLOOKUP(M5,'Default Rankings'!$R$3:$T$77,3,FALSE))</f>
        <v>16</v>
      </c>
      <c r="O5" s="35">
        <f>IF(ISBLANK(M5),"",INDEX('Default Rankings'!$Q$3:$T$77,MATCH(M5,'Default Rankings'!$R$3:$R$77,0),1))</f>
        <v>2</v>
      </c>
      <c r="Q5" s="12">
        <f t="shared" ref="Q5:Q32" si="3">Q4+1</f>
        <v>3</v>
      </c>
      <c r="R5" s="17" t="s">
        <v>1212</v>
      </c>
      <c r="S5" s="34">
        <f>IF(ISBLANK(R5),"",VLOOKUP(R5,'Default Rankings'!$W$3:$Y$77,3,FALSE))</f>
        <v>41</v>
      </c>
      <c r="T5" s="35">
        <f>IF(ISBLANK(R5),"",INDEX('Default Rankings'!$V$3:$Y$77,MATCH(R5,'Default Rankings'!$W$3:$W$77,0),1))</f>
        <v>3</v>
      </c>
      <c r="V5" s="12">
        <f t="shared" ref="V5:V22" si="4">V4+1</f>
        <v>3</v>
      </c>
      <c r="W5" s="17" t="s">
        <v>1462</v>
      </c>
      <c r="X5" s="34">
        <f>IF(ISBLANK(W5),"",VLOOKUP(W5,'Default Rankings'!$AB$3:$AD$77,3,FALSE))</f>
        <v>173</v>
      </c>
      <c r="Y5" s="35">
        <f>IF(ISBLANK(W5),"",INDEX('Default Rankings'!$AA$3:$AD$77,MATCH(W5,'Default Rankings'!$AB$3:$AB$77,0),1))</f>
        <v>4</v>
      </c>
      <c r="AA5" s="12">
        <f t="shared" ref="AA5:AA22" si="5">AA4+1</f>
        <v>3</v>
      </c>
      <c r="AB5" s="17" t="s">
        <v>1316</v>
      </c>
      <c r="AC5" s="34">
        <f>IF(ISBLANK(AB5),"",VLOOKUP(AB5,'Default Rankings'!$AG$3:$AI$77,3,FALSE))</f>
        <v>187</v>
      </c>
      <c r="AD5" s="35">
        <f>IF(ISBLANK(AB5),"",INDEX('Default Rankings'!$AF$3:$AI$77,MATCH(AB5,'Default Rankings'!$AG$3:$AG$77,0),1))</f>
        <v>6</v>
      </c>
    </row>
    <row r="6" spans="2:30" x14ac:dyDescent="0.35">
      <c r="B6" s="12">
        <f t="shared" si="0"/>
        <v>4</v>
      </c>
      <c r="C6" s="17" t="s">
        <v>817</v>
      </c>
      <c r="D6" s="34">
        <f>IF(ISBLANK(C6),"",VLOOKUP(C6,'Default Rankings'!$H$3:$J$32,3,FALSE))</f>
        <v>76</v>
      </c>
      <c r="E6" s="35">
        <f>IF(ISBLANK(C6),"",INDEX('Default Rankings'!$G$3:$J$32,MATCH(C6,'Default Rankings'!$H$3:$H$32,0),1))</f>
        <v>6</v>
      </c>
      <c r="G6" s="12">
        <f t="shared" si="1"/>
        <v>4</v>
      </c>
      <c r="H6" s="17" t="s">
        <v>850</v>
      </c>
      <c r="I6" s="34">
        <f>IF(ISBLANK(H6),"",VLOOKUP(H6,'Default Rankings'!$M$3:$O$77,3,FALSE))</f>
        <v>5</v>
      </c>
      <c r="J6" s="35">
        <f>IF(ISBLANK(H6),"",INDEX('Default Rankings'!$L$3:$O$77,MATCH(H6,'Default Rankings'!$M$3:$M$77,0),1))</f>
        <v>5</v>
      </c>
      <c r="L6" s="12">
        <f t="shared" si="2"/>
        <v>4</v>
      </c>
      <c r="M6" s="17" t="s">
        <v>856</v>
      </c>
      <c r="N6" s="34">
        <f>IF(ISBLANK(M6),"",VLOOKUP(M6,'Default Rankings'!$R$3:$T$77,3,FALSE))</f>
        <v>18</v>
      </c>
      <c r="O6" s="35">
        <f>IF(ISBLANK(M6),"",INDEX('Default Rankings'!$Q$3:$T$77,MATCH(M6,'Default Rankings'!$R$3:$R$77,0),1))</f>
        <v>4</v>
      </c>
      <c r="Q6" s="12">
        <f t="shared" si="3"/>
        <v>4</v>
      </c>
      <c r="R6" s="17" t="s">
        <v>867</v>
      </c>
      <c r="S6" s="34">
        <f>IF(ISBLANK(R6),"",VLOOKUP(R6,'Default Rankings'!$W$3:$Y$77,3,FALSE))</f>
        <v>42</v>
      </c>
      <c r="T6" s="35">
        <f>IF(ISBLANK(R6),"",INDEX('Default Rankings'!$V$3:$Y$77,MATCH(R6,'Default Rankings'!$W$3:$W$77,0),1))</f>
        <v>4</v>
      </c>
      <c r="V6" s="12">
        <f t="shared" si="4"/>
        <v>4</v>
      </c>
      <c r="W6" s="17" t="s">
        <v>1463</v>
      </c>
      <c r="X6" s="34">
        <f>IF(ISBLANK(W6),"",VLOOKUP(W6,'Default Rankings'!$AB$3:$AD$77,3,FALSE))</f>
        <v>171</v>
      </c>
      <c r="Y6" s="35">
        <f>IF(ISBLANK(W6),"",INDEX('Default Rankings'!$AA$3:$AD$77,MATCH(W6,'Default Rankings'!$AB$3:$AB$77,0),1))</f>
        <v>2</v>
      </c>
      <c r="AA6" s="12">
        <f t="shared" si="5"/>
        <v>4</v>
      </c>
      <c r="AB6" s="17" t="s">
        <v>893</v>
      </c>
      <c r="AC6" s="34">
        <f>IF(ISBLANK(AB6),"",VLOOKUP(AB6,'Default Rankings'!$AG$3:$AI$77,3,FALSE))</f>
        <v>184</v>
      </c>
      <c r="AD6" s="35">
        <f>IF(ISBLANK(AB6),"",INDEX('Default Rankings'!$AF$3:$AI$77,MATCH(AB6,'Default Rankings'!$AG$3:$AG$77,0),1))</f>
        <v>3</v>
      </c>
    </row>
    <row r="7" spans="2:30" x14ac:dyDescent="0.35">
      <c r="B7" s="12">
        <f t="shared" si="0"/>
        <v>5</v>
      </c>
      <c r="C7" s="17" t="s">
        <v>1009</v>
      </c>
      <c r="D7" s="34">
        <f>IF(ISBLANK(C7),"",VLOOKUP(C7,'Default Rankings'!$H$3:$J$32,3,FALSE))</f>
        <v>74</v>
      </c>
      <c r="E7" s="35">
        <f>IF(ISBLANK(C7),"",INDEX('Default Rankings'!$G$3:$J$32,MATCH(C7,'Default Rankings'!$H$3:$H$32,0),1))</f>
        <v>4</v>
      </c>
      <c r="G7" s="12">
        <f t="shared" si="1"/>
        <v>5</v>
      </c>
      <c r="H7" s="17" t="s">
        <v>871</v>
      </c>
      <c r="I7" s="34">
        <f>IF(ISBLANK(H7),"",VLOOKUP(H7,'Default Rankings'!$M$3:$O$77,3,FALSE))</f>
        <v>4</v>
      </c>
      <c r="J7" s="35">
        <f>IF(ISBLANK(H7),"",INDEX('Default Rankings'!$L$3:$O$77,MATCH(H7,'Default Rankings'!$M$3:$M$77,0),1))</f>
        <v>4</v>
      </c>
      <c r="L7" s="12">
        <f t="shared" si="2"/>
        <v>5</v>
      </c>
      <c r="M7" s="17" t="s">
        <v>895</v>
      </c>
      <c r="N7" s="34">
        <f>IF(ISBLANK(M7),"",VLOOKUP(M7,'Default Rankings'!$R$3:$T$77,3,FALSE))</f>
        <v>21</v>
      </c>
      <c r="O7" s="35">
        <f>IF(ISBLANK(M7),"",INDEX('Default Rankings'!$Q$3:$T$77,MATCH(M7,'Default Rankings'!$R$3:$R$77,0),1))</f>
        <v>6</v>
      </c>
      <c r="Q7" s="12">
        <f t="shared" si="3"/>
        <v>5</v>
      </c>
      <c r="R7" s="17" t="s">
        <v>1307</v>
      </c>
      <c r="S7" s="34">
        <f>IF(ISBLANK(R7),"",VLOOKUP(R7,'Default Rankings'!$W$3:$Y$77,3,FALSE))</f>
        <v>69</v>
      </c>
      <c r="T7" s="35">
        <f>IF(ISBLANK(R7),"",INDEX('Default Rankings'!$V$3:$Y$77,MATCH(R7,'Default Rankings'!$W$3:$W$77,0),1))</f>
        <v>5</v>
      </c>
      <c r="V7" s="12">
        <f t="shared" si="4"/>
        <v>5</v>
      </c>
      <c r="W7" s="17" t="s">
        <v>1466</v>
      </c>
      <c r="X7" s="34">
        <f>IF(ISBLANK(W7),"",VLOOKUP(W7,'Default Rankings'!$AB$3:$AD$77,3,FALSE))</f>
        <v>179</v>
      </c>
      <c r="Y7" s="35">
        <f>IF(ISBLANK(W7),"",INDEX('Default Rankings'!$AA$3:$AD$77,MATCH(W7,'Default Rankings'!$AB$3:$AB$77,0),1))</f>
        <v>10</v>
      </c>
      <c r="AA7" s="12">
        <f t="shared" si="5"/>
        <v>5</v>
      </c>
      <c r="AB7" s="17" t="s">
        <v>1219</v>
      </c>
      <c r="AC7" s="34">
        <f>IF(ISBLANK(AB7),"",VLOOKUP(AB7,'Default Rankings'!$AG$3:$AI$77,3,FALSE))</f>
        <v>188</v>
      </c>
      <c r="AD7" s="35">
        <f>IF(ISBLANK(AB7),"",INDEX('Default Rankings'!$AF$3:$AI$77,MATCH(AB7,'Default Rankings'!$AG$3:$AG$77,0),1))</f>
        <v>7</v>
      </c>
    </row>
    <row r="8" spans="2:30" x14ac:dyDescent="0.35">
      <c r="B8" s="12">
        <f t="shared" si="0"/>
        <v>6</v>
      </c>
      <c r="C8" s="17" t="s">
        <v>860</v>
      </c>
      <c r="D8" s="34">
        <f>IF(ISBLANK(C8),"",VLOOKUP(C8,'Default Rankings'!$H$3:$J$32,3,FALSE))</f>
        <v>73</v>
      </c>
      <c r="E8" s="35">
        <f>IF(ISBLANK(C8),"",INDEX('Default Rankings'!$G$3:$J$32,MATCH(C8,'Default Rankings'!$H$3:$H$32,0),1))</f>
        <v>3</v>
      </c>
      <c r="G8" s="12">
        <f t="shared" si="1"/>
        <v>6</v>
      </c>
      <c r="H8" s="17" t="s">
        <v>874</v>
      </c>
      <c r="I8" s="34">
        <f>IF(ISBLANK(H8),"",VLOOKUP(H8,'Default Rankings'!$M$3:$O$77,3,FALSE))</f>
        <v>7</v>
      </c>
      <c r="J8" s="35">
        <f>IF(ISBLANK(H8),"",INDEX('Default Rankings'!$L$3:$O$77,MATCH(H8,'Default Rankings'!$M$3:$M$77,0),1))</f>
        <v>6</v>
      </c>
      <c r="L8" s="12">
        <f t="shared" si="2"/>
        <v>6</v>
      </c>
      <c r="M8" s="17" t="s">
        <v>1288</v>
      </c>
      <c r="N8" s="34">
        <f>IF(ISBLANK(M8),"",VLOOKUP(M8,'Default Rankings'!$R$3:$T$77,3,FALSE))</f>
        <v>19</v>
      </c>
      <c r="O8" s="35">
        <f>IF(ISBLANK(M8),"",INDEX('Default Rankings'!$Q$3:$T$77,MATCH(M8,'Default Rankings'!$R$3:$R$77,0),1))</f>
        <v>5</v>
      </c>
      <c r="Q8" s="12">
        <f t="shared" si="3"/>
        <v>6</v>
      </c>
      <c r="R8" s="17" t="s">
        <v>1309</v>
      </c>
      <c r="S8" s="34">
        <f>IF(ISBLANK(R8),"",VLOOKUP(R8,'Default Rankings'!$W$3:$Y$77,3,FALSE))</f>
        <v>83</v>
      </c>
      <c r="T8" s="35">
        <f>IF(ISBLANK(R8),"",INDEX('Default Rankings'!$V$3:$Y$77,MATCH(R8,'Default Rankings'!$W$3:$W$77,0),1))</f>
        <v>7</v>
      </c>
      <c r="V8" s="12">
        <f t="shared" si="4"/>
        <v>6</v>
      </c>
      <c r="W8" s="17" t="s">
        <v>1465</v>
      </c>
      <c r="X8" s="34">
        <f>IF(ISBLANK(W8),"",VLOOKUP(W8,'Default Rankings'!$AB$3:$AD$77,3,FALSE))</f>
        <v>176</v>
      </c>
      <c r="Y8" s="35">
        <f>IF(ISBLANK(W8),"",INDEX('Default Rankings'!$AA$3:$AD$77,MATCH(W8,'Default Rankings'!$AB$3:$AB$77,0),1))</f>
        <v>7</v>
      </c>
      <c r="AA8" s="12">
        <f t="shared" si="5"/>
        <v>6</v>
      </c>
      <c r="AB8" s="17" t="s">
        <v>1220</v>
      </c>
      <c r="AC8" s="34">
        <f>IF(ISBLANK(AB8),"",VLOOKUP(AB8,'Default Rankings'!$AG$3:$AI$77,3,FALSE))</f>
        <v>185</v>
      </c>
      <c r="AD8" s="35">
        <f>IF(ISBLANK(AB8),"",INDEX('Default Rankings'!$AF$3:$AI$77,MATCH(AB8,'Default Rankings'!$AG$3:$AG$77,0),1))</f>
        <v>4</v>
      </c>
    </row>
    <row r="9" spans="2:30" x14ac:dyDescent="0.35">
      <c r="B9" s="12">
        <f t="shared" si="0"/>
        <v>7</v>
      </c>
      <c r="C9" s="17" t="s">
        <v>862</v>
      </c>
      <c r="D9" s="34">
        <f>IF(ISBLANK(C9),"",VLOOKUP(C9,'Default Rankings'!$H$3:$J$32,3,FALSE))</f>
        <v>116</v>
      </c>
      <c r="E9" s="35">
        <f>IF(ISBLANK(C9),"",INDEX('Default Rankings'!$G$3:$J$32,MATCH(C9,'Default Rankings'!$H$3:$H$32,0),1))</f>
        <v>7</v>
      </c>
      <c r="G9" s="12">
        <f t="shared" si="1"/>
        <v>7</v>
      </c>
      <c r="H9" s="17" t="s">
        <v>1339</v>
      </c>
      <c r="I9" s="34">
        <f>IF(ISBLANK(H9),"",VLOOKUP(H9,'Default Rankings'!$M$3:$O$77,3,FALSE))</f>
        <v>8</v>
      </c>
      <c r="J9" s="35">
        <f>IF(ISBLANK(H9),"",INDEX('Default Rankings'!$L$3:$O$77,MATCH(H9,'Default Rankings'!$M$3:$M$77,0),1))</f>
        <v>7</v>
      </c>
      <c r="L9" s="12">
        <f t="shared" si="2"/>
        <v>7</v>
      </c>
      <c r="M9" s="17" t="s">
        <v>884</v>
      </c>
      <c r="N9" s="34">
        <f>IF(ISBLANK(M9),"",VLOOKUP(M9,'Default Rankings'!$R$3:$T$77,3,FALSE))</f>
        <v>24</v>
      </c>
      <c r="O9" s="35">
        <f>IF(ISBLANK(M9),"",INDEX('Default Rankings'!$Q$3:$T$77,MATCH(M9,'Default Rankings'!$R$3:$R$77,0),1))</f>
        <v>8</v>
      </c>
      <c r="Q9" s="12">
        <f t="shared" si="3"/>
        <v>7</v>
      </c>
      <c r="R9" s="17" t="s">
        <v>1322</v>
      </c>
      <c r="S9" s="34">
        <f>IF(ISBLANK(R9),"",VLOOKUP(R9,'Default Rankings'!$W$3:$Y$77,3,FALSE))</f>
        <v>114</v>
      </c>
      <c r="T9" s="35">
        <f>IF(ISBLANK(R9),"",INDEX('Default Rankings'!$V$3:$Y$77,MATCH(R9,'Default Rankings'!$W$3:$W$77,0),1))</f>
        <v>12</v>
      </c>
      <c r="V9" s="12">
        <f t="shared" si="4"/>
        <v>7</v>
      </c>
      <c r="W9" s="17" t="s">
        <v>1464</v>
      </c>
      <c r="X9" s="34">
        <f>IF(ISBLANK(W9),"",VLOOKUP(W9,'Default Rankings'!$AB$3:$AD$77,3,FALSE))</f>
        <v>174</v>
      </c>
      <c r="Y9" s="35">
        <f>IF(ISBLANK(W9),"",INDEX('Default Rankings'!$AA$3:$AD$77,MATCH(W9,'Default Rankings'!$AB$3:$AB$77,0),1))</f>
        <v>5</v>
      </c>
      <c r="AA9" s="12">
        <f t="shared" si="5"/>
        <v>7</v>
      </c>
      <c r="AB9" s="17" t="s">
        <v>1317</v>
      </c>
      <c r="AC9" s="34">
        <f>IF(ISBLANK(AB9),"",VLOOKUP(AB9,'Default Rankings'!$AG$3:$AI$77,3,FALSE))</f>
        <v>189</v>
      </c>
      <c r="AD9" s="35">
        <f>IF(ISBLANK(AB9),"",INDEX('Default Rankings'!$AF$3:$AI$77,MATCH(AB9,'Default Rankings'!$AG$3:$AG$77,0),1))</f>
        <v>8</v>
      </c>
    </row>
    <row r="10" spans="2:30" x14ac:dyDescent="0.35">
      <c r="B10" s="12">
        <f t="shared" si="0"/>
        <v>8</v>
      </c>
      <c r="C10" s="17" t="s">
        <v>1277</v>
      </c>
      <c r="D10" s="34">
        <f>IF(ISBLANK(C10),"",VLOOKUP(C10,'Default Rankings'!$H$3:$J$32,3,FALSE))</f>
        <v>117</v>
      </c>
      <c r="E10" s="35">
        <f>IF(ISBLANK(C10),"",INDEX('Default Rankings'!$G$3:$J$32,MATCH(C10,'Default Rankings'!$H$3:$H$32,0),1))</f>
        <v>8</v>
      </c>
      <c r="G10" s="12">
        <f t="shared" si="1"/>
        <v>8</v>
      </c>
      <c r="H10" s="17" t="s">
        <v>854</v>
      </c>
      <c r="I10" s="34">
        <f>IF(ISBLANK(H10),"",VLOOKUP(H10,'Default Rankings'!$M$3:$O$77,3,FALSE))</f>
        <v>12</v>
      </c>
      <c r="J10" s="35">
        <f>IF(ISBLANK(H10),"",INDEX('Default Rankings'!$L$3:$O$77,MATCH(H10,'Default Rankings'!$M$3:$M$77,0),1))</f>
        <v>11</v>
      </c>
      <c r="L10" s="12">
        <f t="shared" si="2"/>
        <v>8</v>
      </c>
      <c r="M10" s="17" t="s">
        <v>1454</v>
      </c>
      <c r="N10" s="34">
        <f>IF(ISBLANK(M10),"",VLOOKUP(M10,'Default Rankings'!$R$3:$T$77,3,FALSE))</f>
        <v>28</v>
      </c>
      <c r="O10" s="35">
        <f>IF(ISBLANK(M10),"",INDEX('Default Rankings'!$Q$3:$T$77,MATCH(M10,'Default Rankings'!$R$3:$R$77,0),1))</f>
        <v>12</v>
      </c>
      <c r="Q10" s="12">
        <f t="shared" si="3"/>
        <v>8</v>
      </c>
      <c r="R10" s="17" t="s">
        <v>868</v>
      </c>
      <c r="S10" s="34">
        <f>IF(ISBLANK(R10),"",VLOOKUP(R10,'Default Rankings'!$W$3:$Y$77,3,FALSE))</f>
        <v>110</v>
      </c>
      <c r="T10" s="35">
        <f>IF(ISBLANK(R10),"",INDEX('Default Rankings'!$V$3:$Y$77,MATCH(R10,'Default Rankings'!$W$3:$W$77,0),1))</f>
        <v>8</v>
      </c>
      <c r="V10" s="12">
        <f t="shared" si="4"/>
        <v>8</v>
      </c>
      <c r="W10" s="17" t="s">
        <v>1467</v>
      </c>
      <c r="X10" s="34">
        <f>IF(ISBLANK(W10),"",VLOOKUP(W10,'Default Rankings'!$AB$3:$AD$77,3,FALSE))</f>
        <v>296</v>
      </c>
      <c r="Y10" s="35">
        <f>IF(ISBLANK(W10),"",INDEX('Default Rankings'!$AA$3:$AD$77,MATCH(W10,'Default Rankings'!$AB$3:$AB$77,0),1))</f>
        <v>20</v>
      </c>
      <c r="AA10" s="12">
        <f t="shared" si="5"/>
        <v>8</v>
      </c>
      <c r="AB10" s="17"/>
      <c r="AC10" s="34" t="str">
        <f>IF(ISBLANK(AB10),"",VLOOKUP(AB10,'Default Rankings'!$AG$3:$AI$77,3,FALSE))</f>
        <v/>
      </c>
      <c r="AD10" s="35" t="str">
        <f>IF(ISBLANK(AB10),"",INDEX('Default Rankings'!$AF$3:$AI$77,MATCH(AB10,'Default Rankings'!$AG$3:$AG$77,0),1))</f>
        <v/>
      </c>
    </row>
    <row r="11" spans="2:30" x14ac:dyDescent="0.35">
      <c r="B11" s="12">
        <f t="shared" si="0"/>
        <v>9</v>
      </c>
      <c r="C11" s="17" t="s">
        <v>863</v>
      </c>
      <c r="D11" s="34">
        <f>IF(ISBLANK(C11),"",VLOOKUP(C11,'Default Rankings'!$H$3:$J$32,3,FALSE))</f>
        <v>120</v>
      </c>
      <c r="E11" s="35">
        <f>IF(ISBLANK(C11),"",INDEX('Default Rankings'!$G$3:$J$32,MATCH(C11,'Default Rankings'!$H$3:$H$32,0),1))</f>
        <v>11</v>
      </c>
      <c r="G11" s="12">
        <f t="shared" si="1"/>
        <v>9</v>
      </c>
      <c r="H11" s="17" t="s">
        <v>1278</v>
      </c>
      <c r="I11" s="34">
        <f>IF(ISBLANK(H11),"",VLOOKUP(H11,'Default Rankings'!$M$3:$O$77,3,FALSE))</f>
        <v>10</v>
      </c>
      <c r="J11" s="35">
        <f>IF(ISBLANK(H11),"",INDEX('Default Rankings'!$L$3:$O$77,MATCH(H11,'Default Rankings'!$M$3:$M$77,0),1))</f>
        <v>9</v>
      </c>
      <c r="L11" s="12">
        <f t="shared" si="2"/>
        <v>9</v>
      </c>
      <c r="M11" s="17" t="s">
        <v>864</v>
      </c>
      <c r="N11" s="34">
        <f>IF(ISBLANK(M11),"",VLOOKUP(M11,'Default Rankings'!$R$3:$T$77,3,FALSE))</f>
        <v>22</v>
      </c>
      <c r="O11" s="35">
        <f>IF(ISBLANK(M11),"",INDEX('Default Rankings'!$Q$3:$T$77,MATCH(M11,'Default Rankings'!$R$3:$R$77,0),1))</f>
        <v>7</v>
      </c>
      <c r="Q11" s="12">
        <f t="shared" si="3"/>
        <v>9</v>
      </c>
      <c r="R11" s="17" t="s">
        <v>869</v>
      </c>
      <c r="S11" s="34">
        <f>IF(ISBLANK(R11),"",VLOOKUP(R11,'Default Rankings'!$W$3:$Y$77,3,FALSE))</f>
        <v>82</v>
      </c>
      <c r="T11" s="35">
        <f>IF(ISBLANK(R11),"",INDEX('Default Rankings'!$V$3:$Y$77,MATCH(R11,'Default Rankings'!$W$3:$W$77,0),1))</f>
        <v>6</v>
      </c>
      <c r="V11" s="12">
        <f t="shared" si="4"/>
        <v>9</v>
      </c>
      <c r="W11" s="17" t="s">
        <v>1469</v>
      </c>
      <c r="X11" s="34">
        <f>IF(ISBLANK(W11),"",VLOOKUP(W11,'Default Rankings'!$AB$3:$AD$77,3,FALSE))</f>
        <v>178</v>
      </c>
      <c r="Y11" s="35">
        <f>IF(ISBLANK(W11),"",INDEX('Default Rankings'!$AA$3:$AD$77,MATCH(W11,'Default Rankings'!$AB$3:$AB$77,0),1))</f>
        <v>9</v>
      </c>
      <c r="AA11" s="12">
        <f t="shared" si="5"/>
        <v>9</v>
      </c>
      <c r="AB11" s="17" t="s">
        <v>1560</v>
      </c>
      <c r="AC11" s="34">
        <f>IF(ISBLANK(AB11),"",VLOOKUP(AB11,'Default Rankings'!$AG$3:$AI$77,3,FALSE))</f>
        <v>226</v>
      </c>
      <c r="AD11" s="35">
        <f>IF(ISBLANK(AB11),"",INDEX('Default Rankings'!$AF$3:$AI$77,MATCH(AB11,'Default Rankings'!$AG$3:$AG$77,0),1))</f>
        <v>14</v>
      </c>
    </row>
    <row r="12" spans="2:30" x14ac:dyDescent="0.35">
      <c r="B12" s="12">
        <f t="shared" si="0"/>
        <v>10</v>
      </c>
      <c r="C12" s="17" t="s">
        <v>1012</v>
      </c>
      <c r="D12" s="34">
        <f>IF(ISBLANK(C12),"",VLOOKUP(C12,'Default Rankings'!$H$3:$J$32,3,FALSE))</f>
        <v>121</v>
      </c>
      <c r="E12" s="35">
        <f>IF(ISBLANK(C12),"",INDEX('Default Rankings'!$G$3:$J$32,MATCH(C12,'Default Rankings'!$H$3:$H$32,0),1))</f>
        <v>12</v>
      </c>
      <c r="G12" s="12">
        <f t="shared" si="1"/>
        <v>10</v>
      </c>
      <c r="H12" s="17" t="s">
        <v>851</v>
      </c>
      <c r="I12" s="34">
        <f>IF(ISBLANK(H12),"",VLOOKUP(H12,'Default Rankings'!$M$3:$O$77,3,FALSE))</f>
        <v>11</v>
      </c>
      <c r="J12" s="35">
        <f>IF(ISBLANK(H12),"",INDEX('Default Rankings'!$L$3:$O$77,MATCH(H12,'Default Rankings'!$M$3:$M$77,0),1))</f>
        <v>10</v>
      </c>
      <c r="L12" s="12">
        <f t="shared" si="2"/>
        <v>10</v>
      </c>
      <c r="M12" s="17" t="s">
        <v>849</v>
      </c>
      <c r="N12" s="34">
        <f>IF(ISBLANK(M12),"",VLOOKUP(M12,'Default Rankings'!$R$3:$T$77,3,FALSE))</f>
        <v>30</v>
      </c>
      <c r="O12" s="35">
        <f>IF(ISBLANK(M12),"",INDEX('Default Rankings'!$Q$3:$T$77,MATCH(M12,'Default Rankings'!$R$3:$R$77,0),1))</f>
        <v>14</v>
      </c>
      <c r="Q12" s="12">
        <f t="shared" si="3"/>
        <v>10</v>
      </c>
      <c r="R12" s="17" t="s">
        <v>870</v>
      </c>
      <c r="S12" s="34">
        <f>IF(ISBLANK(R12),"",VLOOKUP(R12,'Default Rankings'!$W$3:$Y$77,3,FALSE))</f>
        <v>111</v>
      </c>
      <c r="T12" s="35">
        <f>IF(ISBLANK(R12),"",INDEX('Default Rankings'!$V$3:$Y$77,MATCH(R12,'Default Rankings'!$W$3:$W$77,0),1))</f>
        <v>9</v>
      </c>
      <c r="V12" s="12">
        <f t="shared" si="4"/>
        <v>10</v>
      </c>
      <c r="W12" s="17" t="s">
        <v>1468</v>
      </c>
      <c r="X12" s="34">
        <f>IF(ISBLANK(W12),"",VLOOKUP(W12,'Default Rankings'!$AB$3:$AD$77,3,FALSE))</f>
        <v>181</v>
      </c>
      <c r="Y12" s="35">
        <f>IF(ISBLANK(W12),"",INDEX('Default Rankings'!$AA$3:$AD$77,MATCH(W12,'Default Rankings'!$AB$3:$AB$77,0),1))</f>
        <v>12</v>
      </c>
      <c r="AA12" s="12">
        <f t="shared" si="5"/>
        <v>10</v>
      </c>
      <c r="AB12" s="17" t="s">
        <v>894</v>
      </c>
      <c r="AC12" s="34">
        <f>IF(ISBLANK(AB12),"",VLOOKUP(AB12,'Default Rankings'!$AG$3:$AI$77,3,FALSE))</f>
        <v>190</v>
      </c>
      <c r="AD12" s="35">
        <f>IF(ISBLANK(AB12),"",INDEX('Default Rankings'!$AF$3:$AI$77,MATCH(AB12,'Default Rankings'!$AG$3:$AG$77,0),1))</f>
        <v>9</v>
      </c>
    </row>
    <row r="13" spans="2:30" x14ac:dyDescent="0.35">
      <c r="B13" s="12">
        <f t="shared" si="0"/>
        <v>11</v>
      </c>
      <c r="C13" s="17" t="s">
        <v>986</v>
      </c>
      <c r="D13" s="34">
        <f>IF(ISBLANK(C13),"",VLOOKUP(C13,'Default Rankings'!$H$3:$J$32,3,FALSE))</f>
        <v>118</v>
      </c>
      <c r="E13" s="35">
        <f>IF(ISBLANK(C13),"",INDEX('Default Rankings'!$G$3:$J$32,MATCH(C13,'Default Rankings'!$H$3:$H$32,0),1))</f>
        <v>9</v>
      </c>
      <c r="G13" s="12">
        <f t="shared" si="1"/>
        <v>11</v>
      </c>
      <c r="H13" s="17" t="s">
        <v>996</v>
      </c>
      <c r="I13" s="34">
        <f>IF(ISBLANK(H13),"",VLOOKUP(H13,'Default Rankings'!$M$3:$O$77,3,FALSE))</f>
        <v>15</v>
      </c>
      <c r="J13" s="35">
        <f>IF(ISBLANK(H13),"",INDEX('Default Rankings'!$L$3:$O$77,MATCH(H13,'Default Rankings'!$M$3:$M$77,0),1))</f>
        <v>14</v>
      </c>
      <c r="L13" s="12">
        <f t="shared" si="2"/>
        <v>11</v>
      </c>
      <c r="M13" s="17" t="s">
        <v>1455</v>
      </c>
      <c r="N13" s="34">
        <f>IF(ISBLANK(M13),"",VLOOKUP(M13,'Default Rankings'!$R$3:$T$77,3,FALSE))</f>
        <v>25</v>
      </c>
      <c r="O13" s="35">
        <f>IF(ISBLANK(M13),"",INDEX('Default Rankings'!$Q$3:$T$77,MATCH(M13,'Default Rankings'!$R$3:$R$77,0),1))</f>
        <v>9</v>
      </c>
      <c r="Q13" s="12">
        <f t="shared" si="3"/>
        <v>11</v>
      </c>
      <c r="R13" s="17" t="s">
        <v>1347</v>
      </c>
      <c r="S13" s="34">
        <f>IF(ISBLANK(R13),"",VLOOKUP(R13,'Default Rankings'!$W$3:$Y$77,3,FALSE))</f>
        <v>112</v>
      </c>
      <c r="T13" s="35">
        <f>IF(ISBLANK(R13),"",INDEX('Default Rankings'!$V$3:$Y$77,MATCH(R13,'Default Rankings'!$W$3:$W$77,0),1))</f>
        <v>10</v>
      </c>
      <c r="V13" s="12">
        <f t="shared" si="4"/>
        <v>11</v>
      </c>
      <c r="W13" s="17"/>
      <c r="X13" s="34" t="str">
        <f>IF(ISBLANK(W13),"",VLOOKUP(W13,'Default Rankings'!$AB$3:$AD$77,3,FALSE))</f>
        <v/>
      </c>
      <c r="Y13" s="35" t="str">
        <f>IF(ISBLANK(W13),"",INDEX('Default Rankings'!$AA$3:$AD$77,MATCH(W13,'Default Rankings'!$AB$3:$AB$77,0),1))</f>
        <v/>
      </c>
      <c r="AA13" s="12">
        <f t="shared" si="5"/>
        <v>11</v>
      </c>
      <c r="AB13" s="17"/>
      <c r="AC13" s="34" t="str">
        <f>IF(ISBLANK(AB13),"",VLOOKUP(AB13,'Default Rankings'!$AG$3:$AI$77,3,FALSE))</f>
        <v/>
      </c>
      <c r="AD13" s="35" t="str">
        <f>IF(ISBLANK(AB13),"",INDEX('Default Rankings'!$AF$3:$AI$77,MATCH(AB13,'Default Rankings'!$AG$3:$AG$77,0),1))</f>
        <v/>
      </c>
    </row>
    <row r="14" spans="2:30" x14ac:dyDescent="0.35">
      <c r="B14" s="12">
        <f t="shared" si="0"/>
        <v>12</v>
      </c>
      <c r="C14" s="17" t="s">
        <v>1011</v>
      </c>
      <c r="D14" s="34">
        <f>IF(ISBLANK(C14),"",VLOOKUP(C14,'Default Rankings'!$H$3:$J$32,3,FALSE))</f>
        <v>119</v>
      </c>
      <c r="E14" s="35">
        <f>IF(ISBLANK(C14),"",INDEX('Default Rankings'!$G$3:$J$32,MATCH(C14,'Default Rankings'!$H$3:$H$32,0),1))</f>
        <v>10</v>
      </c>
      <c r="G14" s="12">
        <f t="shared" si="1"/>
        <v>12</v>
      </c>
      <c r="H14" s="17" t="s">
        <v>1280</v>
      </c>
      <c r="I14" s="34">
        <f>IF(ISBLANK(H14),"",VLOOKUP(H14,'Default Rankings'!$M$3:$O$77,3,FALSE))</f>
        <v>13</v>
      </c>
      <c r="J14" s="35">
        <f>IF(ISBLANK(H14),"",INDEX('Default Rankings'!$L$3:$O$77,MATCH(H14,'Default Rankings'!$M$3:$M$77,0),1))</f>
        <v>12</v>
      </c>
      <c r="L14" s="12">
        <f t="shared" si="2"/>
        <v>12</v>
      </c>
      <c r="M14" s="17" t="s">
        <v>881</v>
      </c>
      <c r="N14" s="34">
        <f>IF(ISBLANK(M14),"",VLOOKUP(M14,'Default Rankings'!$R$3:$T$77,3,FALSE))</f>
        <v>26</v>
      </c>
      <c r="O14" s="35">
        <f>IF(ISBLANK(M14),"",INDEX('Default Rankings'!$Q$3:$T$77,MATCH(M14,'Default Rankings'!$R$3:$R$77,0),1))</f>
        <v>10</v>
      </c>
      <c r="Q14" s="12">
        <f t="shared" si="3"/>
        <v>12</v>
      </c>
      <c r="R14" s="17" t="s">
        <v>1312</v>
      </c>
      <c r="S14" s="34">
        <f>IF(ISBLANK(R14),"",VLOOKUP(R14,'Default Rankings'!$W$3:$Y$77,3,FALSE))</f>
        <v>134</v>
      </c>
      <c r="T14" s="35">
        <f>IF(ISBLANK(R14),"",INDEX('Default Rankings'!$V$3:$Y$77,MATCH(R14,'Default Rankings'!$W$3:$W$77,0),1))</f>
        <v>14</v>
      </c>
      <c r="V14" s="12">
        <f t="shared" si="4"/>
        <v>12</v>
      </c>
      <c r="W14" s="17"/>
      <c r="X14" s="34" t="str">
        <f>IF(ISBLANK(W14),"",VLOOKUP(W14,'Default Rankings'!$AB$3:$AD$77,3,FALSE))</f>
        <v/>
      </c>
      <c r="Y14" s="35" t="str">
        <f>IF(ISBLANK(W14),"",INDEX('Default Rankings'!$AA$3:$AD$77,MATCH(W14,'Default Rankings'!$AB$3:$AB$77,0),1))</f>
        <v/>
      </c>
      <c r="AA14" s="12">
        <f t="shared" si="5"/>
        <v>12</v>
      </c>
      <c r="AB14" s="17"/>
      <c r="AC14" s="34" t="str">
        <f>IF(ISBLANK(AB14),"",VLOOKUP(AB14,'Default Rankings'!$AG$3:$AI$77,3,FALSE))</f>
        <v/>
      </c>
      <c r="AD14" s="35" t="str">
        <f>IF(ISBLANK(AB14),"",INDEX('Default Rankings'!$AF$3:$AI$77,MATCH(AB14,'Default Rankings'!$AG$3:$AG$77,0),1))</f>
        <v/>
      </c>
    </row>
    <row r="15" spans="2:30" x14ac:dyDescent="0.35">
      <c r="B15" s="12">
        <f t="shared" si="0"/>
        <v>13</v>
      </c>
      <c r="C15" s="17" t="s">
        <v>1338</v>
      </c>
      <c r="D15" s="34">
        <f>IF(ISBLANK(C15),"",VLOOKUP(C15,'Default Rankings'!$H$3:$J$32,3,FALSE))</f>
        <v>221</v>
      </c>
      <c r="E15" s="35">
        <f>IF(ISBLANK(C15),"",INDEX('Default Rankings'!$G$3:$J$32,MATCH(C15,'Default Rankings'!$H$3:$H$32,0),1))</f>
        <v>23</v>
      </c>
      <c r="G15" s="12">
        <f t="shared" si="1"/>
        <v>13</v>
      </c>
      <c r="H15" s="17" t="s">
        <v>995</v>
      </c>
      <c r="I15" s="34">
        <f>IF(ISBLANK(H15),"",VLOOKUP(H15,'Default Rankings'!$M$3:$O$77,3,FALSE))</f>
        <v>9</v>
      </c>
      <c r="J15" s="35">
        <f>IF(ISBLANK(H15),"",INDEX('Default Rankings'!$L$3:$O$77,MATCH(H15,'Default Rankings'!$M$3:$M$77,0),1))</f>
        <v>8</v>
      </c>
      <c r="L15" s="12">
        <f t="shared" si="2"/>
        <v>13</v>
      </c>
      <c r="M15" s="17" t="s">
        <v>880</v>
      </c>
      <c r="N15" s="34">
        <f>IF(ISBLANK(M15),"",VLOOKUP(M15,'Default Rankings'!$R$3:$T$77,3,FALSE))</f>
        <v>27</v>
      </c>
      <c r="O15" s="35">
        <f>IF(ISBLANK(M15),"",INDEX('Default Rankings'!$Q$3:$T$77,MATCH(M15,'Default Rankings'!$R$3:$R$77,0),1))</f>
        <v>11</v>
      </c>
      <c r="Q15" s="12">
        <f t="shared" si="3"/>
        <v>13</v>
      </c>
      <c r="R15" s="17" t="s">
        <v>1556</v>
      </c>
      <c r="S15" s="34">
        <f>IF(ISBLANK(R15),"",VLOOKUP(R15,'Default Rankings'!$W$3:$Y$77,3,FALSE))</f>
        <v>212</v>
      </c>
      <c r="T15" s="35">
        <f>IF(ISBLANK(R15),"",INDEX('Default Rankings'!$V$3:$Y$77,MATCH(R15,'Default Rankings'!$W$3:$W$77,0),1))</f>
        <v>22</v>
      </c>
      <c r="V15" s="12">
        <f t="shared" si="4"/>
        <v>13</v>
      </c>
      <c r="W15" s="17"/>
      <c r="X15" s="34" t="str">
        <f>IF(ISBLANK(W15),"",VLOOKUP(W15,'Default Rankings'!$AB$3:$AD$77,3,FALSE))</f>
        <v/>
      </c>
      <c r="Y15" s="35" t="str">
        <f>IF(ISBLANK(W15),"",INDEX('Default Rankings'!$AA$3:$AD$77,MATCH(W15,'Default Rankings'!$AB$3:$AB$77,0),1))</f>
        <v/>
      </c>
      <c r="AA15" s="12">
        <f t="shared" si="5"/>
        <v>13</v>
      </c>
      <c r="AB15" s="17"/>
      <c r="AC15" s="34" t="str">
        <f>IF(ISBLANK(AB15),"",VLOOKUP(AB15,'Default Rankings'!$AG$3:$AI$77,3,FALSE))</f>
        <v/>
      </c>
      <c r="AD15" s="35" t="str">
        <f>IF(ISBLANK(AB15),"",INDEX('Default Rankings'!$AF$3:$AI$77,MATCH(AB15,'Default Rankings'!$AG$3:$AG$77,0),1))</f>
        <v/>
      </c>
    </row>
    <row r="16" spans="2:30" x14ac:dyDescent="0.35">
      <c r="B16" s="12">
        <f t="shared" si="0"/>
        <v>14</v>
      </c>
      <c r="C16" s="17" t="s">
        <v>988</v>
      </c>
      <c r="D16" s="34">
        <f>IF(ISBLANK(C16),"",VLOOKUP(C16,'Default Rankings'!$H$3:$J$32,3,FALSE))</f>
        <v>165</v>
      </c>
      <c r="E16" s="35">
        <f>IF(ISBLANK(C16),"",INDEX('Default Rankings'!$G$3:$J$32,MATCH(C16,'Default Rankings'!$H$3:$H$32,0),1))</f>
        <v>16</v>
      </c>
      <c r="G16" s="12">
        <f t="shared" si="1"/>
        <v>14</v>
      </c>
      <c r="H16" s="17" t="s">
        <v>876</v>
      </c>
      <c r="I16" s="34">
        <f>IF(ISBLANK(H16),"",VLOOKUP(H16,'Default Rankings'!$M$3:$O$77,3,FALSE))</f>
        <v>14</v>
      </c>
      <c r="J16" s="35">
        <f>IF(ISBLANK(H16),"",INDEX('Default Rankings'!$L$3:$O$77,MATCH(H16,'Default Rankings'!$M$3:$M$77,0),1))</f>
        <v>13</v>
      </c>
      <c r="L16" s="12">
        <f t="shared" si="2"/>
        <v>14</v>
      </c>
      <c r="M16" s="17" t="s">
        <v>853</v>
      </c>
      <c r="N16" s="34">
        <f>IF(ISBLANK(M16),"",VLOOKUP(M16,'Default Rankings'!$R$3:$T$77,3,FALSE))</f>
        <v>29</v>
      </c>
      <c r="O16" s="35">
        <f>IF(ISBLANK(M16),"",INDEX('Default Rankings'!$Q$3:$T$77,MATCH(M16,'Default Rankings'!$R$3:$R$77,0),1))</f>
        <v>13</v>
      </c>
      <c r="Q16" s="12">
        <f t="shared" si="3"/>
        <v>14</v>
      </c>
      <c r="R16" s="17" t="s">
        <v>1211</v>
      </c>
      <c r="S16" s="34">
        <f>IF(ISBLANK(R16),"",VLOOKUP(R16,'Default Rankings'!$W$3:$Y$77,3,FALSE))</f>
        <v>115</v>
      </c>
      <c r="T16" s="35">
        <f>IF(ISBLANK(R16),"",INDEX('Default Rankings'!$V$3:$Y$77,MATCH(R16,'Default Rankings'!$W$3:$W$77,0),1))</f>
        <v>13</v>
      </c>
      <c r="V16" s="12">
        <f t="shared" si="4"/>
        <v>14</v>
      </c>
      <c r="W16" s="17"/>
      <c r="X16" s="34" t="str">
        <f>IF(ISBLANK(W16),"",VLOOKUP(W16,'Default Rankings'!$AB$3:$AD$77,3,FALSE))</f>
        <v/>
      </c>
      <c r="Y16" s="35" t="str">
        <f>IF(ISBLANK(W16),"",INDEX('Default Rankings'!$AA$3:$AD$77,MATCH(W16,'Default Rankings'!$AB$3:$AB$77,0),1))</f>
        <v/>
      </c>
      <c r="AA16" s="12">
        <f t="shared" si="5"/>
        <v>14</v>
      </c>
      <c r="AB16" s="17"/>
      <c r="AC16" s="34" t="str">
        <f>IF(ISBLANK(AB16),"",VLOOKUP(AB16,'Default Rankings'!$AG$3:$AI$77,3,FALSE))</f>
        <v/>
      </c>
      <c r="AD16" s="35" t="str">
        <f>IF(ISBLANK(AB16),"",INDEX('Default Rankings'!$AF$3:$AI$77,MATCH(AB16,'Default Rankings'!$AG$3:$AG$77,0),1))</f>
        <v/>
      </c>
    </row>
    <row r="17" spans="2:30" x14ac:dyDescent="0.35">
      <c r="B17" s="12">
        <f t="shared" si="0"/>
        <v>15</v>
      </c>
      <c r="C17" s="17" t="s">
        <v>1497</v>
      </c>
      <c r="D17" s="34">
        <f>IF(ISBLANK(C17),"",VLOOKUP(C17,'Default Rankings'!$H$3:$J$32,3,FALSE))</f>
        <v>138</v>
      </c>
      <c r="E17" s="35">
        <f>IF(ISBLANK(C17),"",INDEX('Default Rankings'!$G$3:$J$32,MATCH(C17,'Default Rankings'!$H$3:$H$32,0),1))</f>
        <v>15</v>
      </c>
      <c r="G17" s="12">
        <f t="shared" si="1"/>
        <v>15</v>
      </c>
      <c r="H17" s="17" t="s">
        <v>1453</v>
      </c>
      <c r="I17" s="34">
        <f>IF(ISBLANK(H17),"",VLOOKUP(H17,'Default Rankings'!$M$3:$O$77,3,FALSE))</f>
        <v>43</v>
      </c>
      <c r="J17" s="35">
        <f>IF(ISBLANK(H17),"",INDEX('Default Rankings'!$L$3:$O$77,MATCH(H17,'Default Rankings'!$M$3:$M$77,0),1))</f>
        <v>17</v>
      </c>
      <c r="L17" s="12">
        <f t="shared" si="2"/>
        <v>15</v>
      </c>
      <c r="M17" s="17" t="s">
        <v>991</v>
      </c>
      <c r="N17" s="34">
        <f>IF(ISBLANK(M17),"",VLOOKUP(M17,'Default Rankings'!$R$3:$T$77,3,FALSE))</f>
        <v>33</v>
      </c>
      <c r="O17" s="35">
        <f>IF(ISBLANK(M17),"",INDEX('Default Rankings'!$Q$3:$T$77,MATCH(M17,'Default Rankings'!$R$3:$R$77,0),1))</f>
        <v>17</v>
      </c>
      <c r="Q17" s="12">
        <f t="shared" si="3"/>
        <v>15</v>
      </c>
      <c r="R17" s="17" t="s">
        <v>1308</v>
      </c>
      <c r="S17" s="34">
        <f>IF(ISBLANK(R17),"",VLOOKUP(R17,'Default Rankings'!$W$3:$Y$77,3,FALSE))</f>
        <v>136</v>
      </c>
      <c r="T17" s="35">
        <f>IF(ISBLANK(R17),"",INDEX('Default Rankings'!$V$3:$Y$77,MATCH(R17,'Default Rankings'!$W$3:$W$77,0),1))</f>
        <v>16</v>
      </c>
      <c r="V17" s="12">
        <f t="shared" si="4"/>
        <v>15</v>
      </c>
      <c r="W17" s="17"/>
      <c r="X17" s="34" t="str">
        <f>IF(ISBLANK(W17),"",VLOOKUP(W17,'Default Rankings'!$AB$3:$AD$77,3,FALSE))</f>
        <v/>
      </c>
      <c r="Y17" s="35" t="str">
        <f>IF(ISBLANK(W17),"",INDEX('Default Rankings'!$AA$3:$AD$77,MATCH(W17,'Default Rankings'!$AB$3:$AB$77,0),1))</f>
        <v/>
      </c>
      <c r="AA17" s="12">
        <f t="shared" si="5"/>
        <v>15</v>
      </c>
      <c r="AB17" s="17"/>
      <c r="AC17" s="34" t="str">
        <f>IF(ISBLANK(AB17),"",VLOOKUP(AB17,'Default Rankings'!$AG$3:$AI$77,3,FALSE))</f>
        <v/>
      </c>
      <c r="AD17" s="35" t="str">
        <f>IF(ISBLANK(AB17),"",INDEX('Default Rankings'!$AF$3:$AI$77,MATCH(AB17,'Default Rankings'!$AG$3:$AG$77,0),1))</f>
        <v/>
      </c>
    </row>
    <row r="18" spans="2:30" x14ac:dyDescent="0.35">
      <c r="B18" s="12">
        <f t="shared" si="0"/>
        <v>16</v>
      </c>
      <c r="C18" s="17" t="s">
        <v>859</v>
      </c>
      <c r="D18" s="34">
        <f>IF(ISBLANK(C18),"",VLOOKUP(C18,'Default Rankings'!$H$3:$J$32,3,FALSE))</f>
        <v>122</v>
      </c>
      <c r="E18" s="35">
        <f>IF(ISBLANK(C18),"",INDEX('Default Rankings'!$G$3:$J$32,MATCH(C18,'Default Rankings'!$H$3:$H$32,0),1))</f>
        <v>13</v>
      </c>
      <c r="G18" s="12">
        <f t="shared" si="1"/>
        <v>16</v>
      </c>
      <c r="H18" s="17" t="s">
        <v>855</v>
      </c>
      <c r="I18" s="34">
        <f>IF(ISBLANK(H18),"",VLOOKUP(H18,'Default Rankings'!$M$3:$O$77,3,FALSE))</f>
        <v>44</v>
      </c>
      <c r="J18" s="35">
        <f>IF(ISBLANK(H18),"",INDEX('Default Rankings'!$L$3:$O$77,MATCH(H18,'Default Rankings'!$M$3:$M$77,0),1))</f>
        <v>18</v>
      </c>
      <c r="L18" s="12">
        <f t="shared" si="2"/>
        <v>16</v>
      </c>
      <c r="M18" s="17" t="s">
        <v>1290</v>
      </c>
      <c r="N18" s="34">
        <f>IF(ISBLANK(M18),"",VLOOKUP(M18,'Default Rankings'!$R$3:$T$77,3,FALSE))</f>
        <v>32</v>
      </c>
      <c r="O18" s="35">
        <f>IF(ISBLANK(M18),"",INDEX('Default Rankings'!$Q$3:$T$77,MATCH(M18,'Default Rankings'!$R$3:$R$77,0),1))</f>
        <v>16</v>
      </c>
      <c r="Q18" s="12">
        <f t="shared" si="3"/>
        <v>16</v>
      </c>
      <c r="R18" s="17" t="s">
        <v>1311</v>
      </c>
      <c r="S18" s="34">
        <f>IF(ISBLANK(R18),"",VLOOKUP(R18,'Default Rankings'!$W$3:$Y$77,3,FALSE))</f>
        <v>211</v>
      </c>
      <c r="T18" s="35">
        <f>IF(ISBLANK(R18),"",INDEX('Default Rankings'!$V$3:$Y$77,MATCH(R18,'Default Rankings'!$W$3:$W$77,0),1))</f>
        <v>21</v>
      </c>
      <c r="V18" s="12">
        <f t="shared" si="4"/>
        <v>16</v>
      </c>
      <c r="W18" s="17"/>
      <c r="X18" s="34" t="str">
        <f>IF(ISBLANK(W18),"",VLOOKUP(W18,'Default Rankings'!$AB$3:$AD$77,3,FALSE))</f>
        <v/>
      </c>
      <c r="Y18" s="35" t="str">
        <f>IF(ISBLANK(W18),"",INDEX('Default Rankings'!$AA$3:$AD$77,MATCH(W18,'Default Rankings'!$AB$3:$AB$77,0),1))</f>
        <v/>
      </c>
      <c r="AA18" s="12">
        <f t="shared" si="5"/>
        <v>16</v>
      </c>
      <c r="AB18" s="17"/>
      <c r="AC18" s="34" t="str">
        <f>IF(ISBLANK(AB18),"",VLOOKUP(AB18,'Default Rankings'!$AG$3:$AI$77,3,FALSE))</f>
        <v/>
      </c>
      <c r="AD18" s="35" t="str">
        <f>IF(ISBLANK(AB18),"",INDEX('Default Rankings'!$AF$3:$AI$77,MATCH(AB18,'Default Rankings'!$AG$3:$AG$77,0),1))</f>
        <v/>
      </c>
    </row>
    <row r="19" spans="2:30" x14ac:dyDescent="0.35">
      <c r="B19" s="12">
        <f t="shared" si="0"/>
        <v>17</v>
      </c>
      <c r="C19" s="17" t="s">
        <v>987</v>
      </c>
      <c r="D19" s="34">
        <f>IF(ISBLANK(C19),"",VLOOKUP(C19,'Default Rankings'!$H$3:$J$32,3,FALSE))</f>
        <v>167</v>
      </c>
      <c r="E19" s="35">
        <f>IF(ISBLANK(C19),"",INDEX('Default Rankings'!$G$3:$J$32,MATCH(C19,'Default Rankings'!$H$3:$H$32,0),1))</f>
        <v>18</v>
      </c>
      <c r="G19" s="12">
        <f t="shared" si="1"/>
        <v>17</v>
      </c>
      <c r="H19" s="17" t="s">
        <v>878</v>
      </c>
      <c r="I19" s="34">
        <f>IF(ISBLANK(H19),"",VLOOKUP(H19,'Default Rankings'!$M$3:$O$77,3,FALSE))</f>
        <v>39</v>
      </c>
      <c r="J19" s="35">
        <f>IF(ISBLANK(H19),"",INDEX('Default Rankings'!$L$3:$O$77,MATCH(H19,'Default Rankings'!$M$3:$M$77,0),1))</f>
        <v>15</v>
      </c>
      <c r="L19" s="12">
        <f t="shared" si="2"/>
        <v>17</v>
      </c>
      <c r="M19" s="17" t="s">
        <v>1295</v>
      </c>
      <c r="N19" s="34">
        <f>IF(ISBLANK(M19),"",VLOOKUP(M19,'Default Rankings'!$R$3:$T$77,3,FALSE))</f>
        <v>50</v>
      </c>
      <c r="O19" s="35">
        <f>IF(ISBLANK(M19),"",INDEX('Default Rankings'!$Q$3:$T$77,MATCH(M19,'Default Rankings'!$R$3:$R$77,0),1))</f>
        <v>21</v>
      </c>
      <c r="Q19" s="12">
        <f t="shared" si="3"/>
        <v>17</v>
      </c>
      <c r="R19" s="17" t="s">
        <v>1557</v>
      </c>
      <c r="S19" s="34">
        <f>IF(ISBLANK(R19),"",VLOOKUP(R19,'Default Rankings'!$W$3:$Y$77,3,FALSE))</f>
        <v>135</v>
      </c>
      <c r="T19" s="35">
        <f>IF(ISBLANK(R19),"",INDEX('Default Rankings'!$V$3:$Y$77,MATCH(R19,'Default Rankings'!$W$3:$W$77,0),1))</f>
        <v>15</v>
      </c>
      <c r="V19" s="12">
        <f t="shared" si="4"/>
        <v>17</v>
      </c>
      <c r="W19" s="17"/>
      <c r="X19" s="34" t="str">
        <f>IF(ISBLANK(W19),"",VLOOKUP(W19,'Default Rankings'!$AB$3:$AD$77,3,FALSE))</f>
        <v/>
      </c>
      <c r="Y19" s="35" t="str">
        <f>IF(ISBLANK(W19),"",INDEX('Default Rankings'!$AA$3:$AD$77,MATCH(W19,'Default Rankings'!$AB$3:$AB$77,0),1))</f>
        <v/>
      </c>
      <c r="AA19" s="12">
        <f t="shared" si="5"/>
        <v>17</v>
      </c>
      <c r="AB19" s="17"/>
      <c r="AC19" s="34" t="str">
        <f>IF(ISBLANK(AB19),"",VLOOKUP(AB19,'Default Rankings'!$AG$3:$AI$77,3,FALSE))</f>
        <v/>
      </c>
      <c r="AD19" s="35" t="str">
        <f>IF(ISBLANK(AB19),"",INDEX('Default Rankings'!$AF$3:$AI$77,MATCH(AB19,'Default Rankings'!$AG$3:$AG$77,0),1))</f>
        <v/>
      </c>
    </row>
    <row r="20" spans="2:30" x14ac:dyDescent="0.35">
      <c r="B20" s="12">
        <f t="shared" si="0"/>
        <v>18</v>
      </c>
      <c r="C20" s="17" t="s">
        <v>1530</v>
      </c>
      <c r="D20" s="34">
        <f>IF(ISBLANK(C20),"",VLOOKUP(C20,'Default Rankings'!$H$3:$J$32,3,FALSE))</f>
        <v>220</v>
      </c>
      <c r="E20" s="35">
        <f>IF(ISBLANK(C20),"",INDEX('Default Rankings'!$G$3:$J$32,MATCH(C20,'Default Rankings'!$H$3:$H$32,0),1))</f>
        <v>22</v>
      </c>
      <c r="G20" s="12">
        <f t="shared" si="1"/>
        <v>18</v>
      </c>
      <c r="H20" s="17" t="s">
        <v>1340</v>
      </c>
      <c r="I20" s="34">
        <f>IF(ISBLANK(H20),"",VLOOKUP(H20,'Default Rankings'!$M$3:$O$77,3,FALSE))</f>
        <v>45</v>
      </c>
      <c r="J20" s="35">
        <f>IF(ISBLANK(H20),"",INDEX('Default Rankings'!$L$3:$O$77,MATCH(H20,'Default Rankings'!$M$3:$M$77,0),1))</f>
        <v>19</v>
      </c>
      <c r="L20" s="12">
        <f t="shared" si="2"/>
        <v>18</v>
      </c>
      <c r="M20" s="17" t="s">
        <v>883</v>
      </c>
      <c r="N20" s="34">
        <f>IF(ISBLANK(M20),"",VLOOKUP(M20,'Default Rankings'!$R$3:$T$77,3,FALSE))</f>
        <v>37</v>
      </c>
      <c r="O20" s="35">
        <f>IF(ISBLANK(M20),"",INDEX('Default Rankings'!$Q$3:$T$77,MATCH(M20,'Default Rankings'!$R$3:$R$77,0),1))</f>
        <v>19</v>
      </c>
      <c r="Q20" s="12">
        <f t="shared" si="3"/>
        <v>18</v>
      </c>
      <c r="R20" s="17" t="s">
        <v>1558</v>
      </c>
      <c r="S20" s="34">
        <f>IF(ISBLANK(R20),"",VLOOKUP(R20,'Default Rankings'!$W$3:$Y$77,3,FALSE))</f>
        <v>162</v>
      </c>
      <c r="T20" s="35">
        <f>IF(ISBLANK(R20),"",INDEX('Default Rankings'!$V$3:$Y$77,MATCH(R20,'Default Rankings'!$W$3:$W$77,0),1))</f>
        <v>17</v>
      </c>
      <c r="V20" s="12">
        <f t="shared" si="4"/>
        <v>18</v>
      </c>
      <c r="W20" s="17"/>
      <c r="X20" s="34" t="str">
        <f>IF(ISBLANK(W20),"",VLOOKUP(W20,'Default Rankings'!$AB$3:$AD$77,3,FALSE))</f>
        <v/>
      </c>
      <c r="Y20" s="35" t="str">
        <f>IF(ISBLANK(W20),"",INDEX('Default Rankings'!$AA$3:$AD$77,MATCH(W20,'Default Rankings'!$AB$3:$AB$77,0),1))</f>
        <v/>
      </c>
      <c r="AA20" s="12">
        <f t="shared" si="5"/>
        <v>18</v>
      </c>
      <c r="AB20" s="17"/>
      <c r="AC20" s="34" t="str">
        <f>IF(ISBLANK(AB20),"",VLOOKUP(AB20,'Default Rankings'!$AG$3:$AI$77,3,FALSE))</f>
        <v/>
      </c>
      <c r="AD20" s="35" t="str">
        <f>IF(ISBLANK(AB20),"",INDEX('Default Rankings'!$AF$3:$AI$77,MATCH(AB20,'Default Rankings'!$AG$3:$AG$77,0),1))</f>
        <v/>
      </c>
    </row>
    <row r="21" spans="2:30" x14ac:dyDescent="0.35">
      <c r="B21" s="12">
        <f t="shared" si="0"/>
        <v>19</v>
      </c>
      <c r="C21" s="17" t="s">
        <v>1275</v>
      </c>
      <c r="D21" s="34">
        <f>IF(ISBLANK(C21),"",VLOOKUP(C21,'Default Rankings'!$H$3:$J$32,3,FALSE))</f>
        <v>166</v>
      </c>
      <c r="E21" s="35">
        <f>IF(ISBLANK(C21),"",INDEX('Default Rankings'!$G$3:$J$32,MATCH(C21,'Default Rankings'!$H$3:$H$32,0),1))</f>
        <v>17</v>
      </c>
      <c r="G21" s="12">
        <f t="shared" si="1"/>
        <v>19</v>
      </c>
      <c r="H21" s="17" t="s">
        <v>1281</v>
      </c>
      <c r="I21" s="34">
        <f>IF(ISBLANK(H21),"",VLOOKUP(H21,'Default Rankings'!$M$3:$O$77,3,FALSE))</f>
        <v>46</v>
      </c>
      <c r="J21" s="35">
        <f>IF(ISBLANK(H21),"",INDEX('Default Rankings'!$L$3:$O$77,MATCH(H21,'Default Rankings'!$M$3:$M$77,0),1))</f>
        <v>20</v>
      </c>
      <c r="L21" s="12">
        <f t="shared" si="2"/>
        <v>19</v>
      </c>
      <c r="M21" s="17" t="s">
        <v>886</v>
      </c>
      <c r="N21" s="34">
        <f>IF(ISBLANK(M21),"",VLOOKUP(M21,'Default Rankings'!$R$3:$T$77,3,FALSE))</f>
        <v>38</v>
      </c>
      <c r="O21" s="35">
        <f>IF(ISBLANK(M21),"",INDEX('Default Rankings'!$Q$3:$T$77,MATCH(M21,'Default Rankings'!$R$3:$R$77,0),1))</f>
        <v>20</v>
      </c>
      <c r="Q21" s="12">
        <f t="shared" si="3"/>
        <v>19</v>
      </c>
      <c r="R21" s="17" t="s">
        <v>1313</v>
      </c>
      <c r="S21" s="34">
        <f>IF(ISBLANK(R21),"",VLOOKUP(R21,'Default Rankings'!$W$3:$Y$77,3,FALSE))</f>
        <v>164</v>
      </c>
      <c r="T21" s="35">
        <f>IF(ISBLANK(R21),"",INDEX('Default Rankings'!$V$3:$Y$77,MATCH(R21,'Default Rankings'!$W$3:$W$77,0),1))</f>
        <v>19</v>
      </c>
      <c r="V21" s="12">
        <f t="shared" si="4"/>
        <v>19</v>
      </c>
      <c r="W21" s="17"/>
      <c r="X21" s="34" t="str">
        <f>IF(ISBLANK(W21),"",VLOOKUP(W21,'Default Rankings'!$AB$3:$AD$77,3,FALSE))</f>
        <v/>
      </c>
      <c r="Y21" s="35" t="str">
        <f>IF(ISBLANK(W21),"",INDEX('Default Rankings'!$AA$3:$AD$77,MATCH(W21,'Default Rankings'!$AB$3:$AB$77,0),1))</f>
        <v/>
      </c>
      <c r="AA21" s="12">
        <f t="shared" si="5"/>
        <v>19</v>
      </c>
      <c r="AB21" s="17"/>
      <c r="AC21" s="34" t="str">
        <f>IF(ISBLANK(AB21),"",VLOOKUP(AB21,'Default Rankings'!$AG$3:$AI$77,3,FALSE))</f>
        <v/>
      </c>
      <c r="AD21" s="35" t="str">
        <f>IF(ISBLANK(AB21),"",INDEX('Default Rankings'!$AF$3:$AI$77,MATCH(AB21,'Default Rankings'!$AG$3:$AG$77,0),1))</f>
        <v/>
      </c>
    </row>
    <row r="22" spans="2:30" ht="15" thickBot="1" x14ac:dyDescent="0.4">
      <c r="B22" s="12">
        <f t="shared" si="0"/>
        <v>20</v>
      </c>
      <c r="C22" s="17" t="s">
        <v>1276</v>
      </c>
      <c r="D22" s="34">
        <f>IF(ISBLANK(C22),"",VLOOKUP(C22,'Default Rankings'!$H$3:$J$32,3,FALSE))</f>
        <v>137</v>
      </c>
      <c r="E22" s="35">
        <f>IF(ISBLANK(C22),"",INDEX('Default Rankings'!$G$3:$J$32,MATCH(C22,'Default Rankings'!$H$3:$H$32,0),1))</f>
        <v>14</v>
      </c>
      <c r="G22" s="12">
        <f t="shared" si="1"/>
        <v>20</v>
      </c>
      <c r="H22" s="17" t="s">
        <v>820</v>
      </c>
      <c r="I22" s="34">
        <f>IF(ISBLANK(H22),"",VLOOKUP(H22,'Default Rankings'!$M$3:$O$77,3,FALSE))</f>
        <v>47</v>
      </c>
      <c r="J22" s="35">
        <f>IF(ISBLANK(H22),"",INDEX('Default Rankings'!$L$3:$O$77,MATCH(H22,'Default Rankings'!$M$3:$M$77,0),1))</f>
        <v>21</v>
      </c>
      <c r="L22" s="12">
        <f t="shared" si="2"/>
        <v>20</v>
      </c>
      <c r="M22" s="17" t="s">
        <v>1457</v>
      </c>
      <c r="N22" s="34">
        <f>IF(ISBLANK(M22),"",VLOOKUP(M22,'Default Rankings'!$R$3:$T$77,3,FALSE))</f>
        <v>53</v>
      </c>
      <c r="O22" s="35">
        <f>IF(ISBLANK(M22),"",INDEX('Default Rankings'!$Q$3:$T$77,MATCH(M22,'Default Rankings'!$R$3:$R$77,0),1))</f>
        <v>24</v>
      </c>
      <c r="Q22" s="12">
        <f t="shared" si="3"/>
        <v>20</v>
      </c>
      <c r="R22" s="17" t="s">
        <v>1310</v>
      </c>
      <c r="S22" s="34">
        <f>IF(ISBLANK(R22),"",VLOOKUP(R22,'Default Rankings'!$W$3:$Y$77,3,FALSE))</f>
        <v>113</v>
      </c>
      <c r="T22" s="35">
        <f>IF(ISBLANK(R22),"",INDEX('Default Rankings'!$V$3:$Y$77,MATCH(R22,'Default Rankings'!$W$3:$W$77,0),1))</f>
        <v>11</v>
      </c>
      <c r="V22" s="13">
        <f t="shared" si="4"/>
        <v>20</v>
      </c>
      <c r="W22" s="18"/>
      <c r="X22" s="34" t="str">
        <f>IF(ISBLANK(W22),"",VLOOKUP(W22,'Default Rankings'!$AB$3:$AD$77,3,FALSE))</f>
        <v/>
      </c>
      <c r="Y22" s="35" t="str">
        <f>IF(ISBLANK(W22),"",INDEX('Default Rankings'!$AA$3:$AD$77,MATCH(W22,'Default Rankings'!$AB$3:$AB$77,0),1))</f>
        <v/>
      </c>
      <c r="AA22" s="13">
        <f t="shared" si="5"/>
        <v>20</v>
      </c>
      <c r="AB22" s="18"/>
      <c r="AC22" s="34" t="str">
        <f>IF(ISBLANK(AB22),"",VLOOKUP(AB22,'Default Rankings'!$AG$3:$AI$77,3,FALSE))</f>
        <v/>
      </c>
      <c r="AD22" s="35" t="str">
        <f>IF(ISBLANK(AB22),"",INDEX('Default Rankings'!$AF$3:$AI$77,MATCH(AB22,'Default Rankings'!$AG$3:$AG$77,0),1))</f>
        <v/>
      </c>
    </row>
    <row r="23" spans="2:30" x14ac:dyDescent="0.35">
      <c r="B23" s="12">
        <f t="shared" si="0"/>
        <v>21</v>
      </c>
      <c r="C23" s="17" t="s">
        <v>1531</v>
      </c>
      <c r="D23" s="34">
        <f>IF(ISBLANK(C23),"",VLOOKUP(C23,'Default Rankings'!$H$3:$J$32,3,FALSE))</f>
        <v>213</v>
      </c>
      <c r="E23" s="35">
        <f>IF(ISBLANK(C23),"",INDEX('Default Rankings'!$G$3:$J$32,MATCH(C23,'Default Rankings'!$H$3:$H$32,0),1))</f>
        <v>21</v>
      </c>
      <c r="G23" s="12">
        <f t="shared" si="1"/>
        <v>21</v>
      </c>
      <c r="H23" s="17" t="s">
        <v>1282</v>
      </c>
      <c r="I23" s="34">
        <f>IF(ISBLANK(H23),"",VLOOKUP(H23,'Default Rankings'!$M$3:$O$77,3,FALSE))</f>
        <v>40</v>
      </c>
      <c r="J23" s="35">
        <f>IF(ISBLANK(H23),"",INDEX('Default Rankings'!$L$3:$O$77,MATCH(H23,'Default Rankings'!$M$3:$M$77,0),1))</f>
        <v>16</v>
      </c>
      <c r="L23" s="12">
        <f t="shared" si="2"/>
        <v>21</v>
      </c>
      <c r="M23" s="17" t="s">
        <v>896</v>
      </c>
      <c r="N23" s="34">
        <f>IF(ISBLANK(M23),"",VLOOKUP(M23,'Default Rankings'!$R$3:$T$77,3,FALSE))</f>
        <v>36</v>
      </c>
      <c r="O23" s="35">
        <f>IF(ISBLANK(M23),"",INDEX('Default Rankings'!$Q$3:$T$77,MATCH(M23,'Default Rankings'!$R$3:$R$77,0),1))</f>
        <v>18</v>
      </c>
      <c r="Q23" s="12">
        <f t="shared" si="3"/>
        <v>21</v>
      </c>
      <c r="R23" s="17" t="s">
        <v>1559</v>
      </c>
      <c r="S23" s="34">
        <f>IF(ISBLANK(R23),"",VLOOKUP(R23,'Default Rankings'!$W$3:$Y$77,3,FALSE))</f>
        <v>163</v>
      </c>
      <c r="T23" s="35">
        <f>IF(ISBLANK(R23),"",INDEX('Default Rankings'!$V$3:$Y$77,MATCH(R23,'Default Rankings'!$W$3:$W$77,0),1))</f>
        <v>18</v>
      </c>
    </row>
    <row r="24" spans="2:30" x14ac:dyDescent="0.35">
      <c r="B24" s="12">
        <f t="shared" si="0"/>
        <v>22</v>
      </c>
      <c r="C24" s="17" t="s">
        <v>1532</v>
      </c>
      <c r="D24" s="34">
        <f>IF(ISBLANK(C24),"",VLOOKUP(C24,'Default Rankings'!$H$3:$J$32,3,FALSE))</f>
        <v>169</v>
      </c>
      <c r="E24" s="35">
        <f>IF(ISBLANK(C24),"",INDEX('Default Rankings'!$G$3:$J$32,MATCH(C24,'Default Rankings'!$H$3:$H$32,0),1))</f>
        <v>20</v>
      </c>
      <c r="G24" s="12">
        <f t="shared" si="1"/>
        <v>22</v>
      </c>
      <c r="H24" s="17" t="s">
        <v>1283</v>
      </c>
      <c r="I24" s="34">
        <f>IF(ISBLANK(H24),"",VLOOKUP(H24,'Default Rankings'!$M$3:$O$77,3,FALSE))</f>
        <v>59</v>
      </c>
      <c r="J24" s="35">
        <f>IF(ISBLANK(H24),"",INDEX('Default Rankings'!$L$3:$O$77,MATCH(H24,'Default Rankings'!$M$3:$M$77,0),1))</f>
        <v>27</v>
      </c>
      <c r="L24" s="12">
        <f t="shared" si="2"/>
        <v>22</v>
      </c>
      <c r="M24" s="17" t="s">
        <v>1456</v>
      </c>
      <c r="N24" s="34">
        <f>IF(ISBLANK(M24),"",VLOOKUP(M24,'Default Rankings'!$R$3:$T$77,3,FALSE))</f>
        <v>55</v>
      </c>
      <c r="O24" s="35">
        <f>IF(ISBLANK(M24),"",INDEX('Default Rankings'!$Q$3:$T$77,MATCH(M24,'Default Rankings'!$R$3:$R$77,0),1))</f>
        <v>26</v>
      </c>
      <c r="Q24" s="12">
        <f t="shared" si="3"/>
        <v>22</v>
      </c>
      <c r="R24" s="17"/>
      <c r="S24" s="34" t="str">
        <f>IF(ISBLANK(R24),"",VLOOKUP(R24,'Default Rankings'!$W$3:$Y$77,3,FALSE))</f>
        <v/>
      </c>
      <c r="T24" s="35" t="str">
        <f>IF(ISBLANK(R24),"",INDEX('Default Rankings'!$V$3:$Y$77,MATCH(R24,'Default Rankings'!$W$3:$W$77,0),1))</f>
        <v/>
      </c>
    </row>
    <row r="25" spans="2:30" x14ac:dyDescent="0.35">
      <c r="B25" s="12">
        <f t="shared" si="0"/>
        <v>23</v>
      </c>
      <c r="C25" s="17" t="s">
        <v>861</v>
      </c>
      <c r="D25" s="34">
        <f>IF(ISBLANK(C25),"",VLOOKUP(C25,'Default Rankings'!$H$3:$J$32,3,FALSE))</f>
        <v>168</v>
      </c>
      <c r="E25" s="35">
        <f>IF(ISBLANK(C25),"",INDEX('Default Rankings'!$G$3:$J$32,MATCH(C25,'Default Rankings'!$H$3:$H$32,0),1))</f>
        <v>19</v>
      </c>
      <c r="G25" s="12">
        <f t="shared" si="1"/>
        <v>23</v>
      </c>
      <c r="H25" s="17" t="s">
        <v>1285</v>
      </c>
      <c r="I25" s="34">
        <f>IF(ISBLANK(H25),"",VLOOKUP(H25,'Default Rankings'!$M$3:$O$77,3,FALSE))</f>
        <v>56</v>
      </c>
      <c r="J25" s="35">
        <f>IF(ISBLANK(H25),"",INDEX('Default Rankings'!$L$3:$O$77,MATCH(H25,'Default Rankings'!$M$3:$M$77,0),1))</f>
        <v>24</v>
      </c>
      <c r="L25" s="12">
        <f t="shared" si="2"/>
        <v>23</v>
      </c>
      <c r="M25" s="17" t="s">
        <v>1203</v>
      </c>
      <c r="N25" s="34">
        <f>IF(ISBLANK(M25),"",VLOOKUP(M25,'Default Rankings'!$R$3:$T$77,3,FALSE))</f>
        <v>31</v>
      </c>
      <c r="O25" s="35">
        <f>IF(ISBLANK(M25),"",INDEX('Default Rankings'!$Q$3:$T$77,MATCH(M25,'Default Rankings'!$R$3:$R$77,0),1))</f>
        <v>15</v>
      </c>
      <c r="Q25" s="12">
        <f t="shared" si="3"/>
        <v>23</v>
      </c>
      <c r="R25" s="17"/>
      <c r="S25" s="34" t="str">
        <f>IF(ISBLANK(R25),"",VLOOKUP(R25,'Default Rankings'!$W$3:$Y$77,3,FALSE))</f>
        <v/>
      </c>
      <c r="T25" s="35" t="str">
        <f>IF(ISBLANK(R25),"",INDEX('Default Rankings'!$V$3:$Y$77,MATCH(R25,'Default Rankings'!$W$3:$W$77,0),1))</f>
        <v/>
      </c>
    </row>
    <row r="26" spans="2:30" x14ac:dyDescent="0.35">
      <c r="B26" s="12">
        <f t="shared" si="0"/>
        <v>24</v>
      </c>
      <c r="C26" s="17" t="s">
        <v>1533</v>
      </c>
      <c r="D26" s="34">
        <f>IF(ISBLANK(C26),"",VLOOKUP(C26,'Default Rankings'!$H$3:$J$32,3,FALSE))</f>
        <v>246</v>
      </c>
      <c r="E26" s="35">
        <f>IF(ISBLANK(C26),"",INDEX('Default Rankings'!$G$3:$J$32,MATCH(C26,'Default Rankings'!$H$3:$H$32,0),1))</f>
        <v>26</v>
      </c>
      <c r="G26" s="12">
        <f t="shared" si="1"/>
        <v>24</v>
      </c>
      <c r="H26" s="17" t="s">
        <v>1216</v>
      </c>
      <c r="I26" s="34">
        <f>IF(ISBLANK(H26),"",VLOOKUP(H26,'Default Rankings'!$M$3:$O$77,3,FALSE))</f>
        <v>70</v>
      </c>
      <c r="J26" s="35">
        <f>IF(ISBLANK(H26),"",INDEX('Default Rankings'!$L$3:$O$77,MATCH(H26,'Default Rankings'!$M$3:$M$77,0),1))</f>
        <v>29</v>
      </c>
      <c r="L26" s="12">
        <f t="shared" si="2"/>
        <v>24</v>
      </c>
      <c r="M26" s="17" t="s">
        <v>1291</v>
      </c>
      <c r="N26" s="34">
        <f>IF(ISBLANK(M26),"",VLOOKUP(M26,'Default Rankings'!$R$3:$T$77,3,FALSE))</f>
        <v>61</v>
      </c>
      <c r="O26" s="35">
        <f>IF(ISBLANK(M26),"",INDEX('Default Rankings'!$Q$3:$T$77,MATCH(M26,'Default Rankings'!$R$3:$R$77,0),1))</f>
        <v>27</v>
      </c>
      <c r="Q26" s="12">
        <f t="shared" si="3"/>
        <v>24</v>
      </c>
      <c r="R26" s="17"/>
      <c r="S26" s="34" t="str">
        <f>IF(ISBLANK(R26),"",VLOOKUP(R26,'Default Rankings'!$W$3:$Y$77,3,FALSE))</f>
        <v/>
      </c>
      <c r="T26" s="35" t="str">
        <f>IF(ISBLANK(R26),"",INDEX('Default Rankings'!$V$3:$Y$77,MATCH(R26,'Default Rankings'!$W$3:$W$77,0),1))</f>
        <v/>
      </c>
    </row>
    <row r="27" spans="2:30" x14ac:dyDescent="0.35">
      <c r="B27" s="12">
        <f t="shared" si="0"/>
        <v>25</v>
      </c>
      <c r="C27" s="17" t="s">
        <v>1534</v>
      </c>
      <c r="D27" s="34">
        <f>IF(ISBLANK(C27),"",VLOOKUP(C27,'Default Rankings'!$H$3:$J$32,3,FALSE))</f>
        <v>244</v>
      </c>
      <c r="E27" s="35">
        <f>IF(ISBLANK(C27),"",INDEX('Default Rankings'!$G$3:$J$32,MATCH(C27,'Default Rankings'!$H$3:$H$32,0),1))</f>
        <v>24</v>
      </c>
      <c r="G27" s="12">
        <f t="shared" si="1"/>
        <v>25</v>
      </c>
      <c r="H27" s="17" t="s">
        <v>990</v>
      </c>
      <c r="I27" s="34">
        <f>IF(ISBLANK(H27),"",VLOOKUP(H27,'Default Rankings'!$M$3:$O$77,3,FALSE))</f>
        <v>57</v>
      </c>
      <c r="J27" s="35">
        <f>IF(ISBLANK(H27),"",INDEX('Default Rankings'!$L$3:$O$77,MATCH(H27,'Default Rankings'!$M$3:$M$77,0),1))</f>
        <v>25</v>
      </c>
      <c r="L27" s="12">
        <f t="shared" si="2"/>
        <v>25</v>
      </c>
      <c r="M27" s="17" t="s">
        <v>879</v>
      </c>
      <c r="N27" s="34">
        <f>IF(ISBLANK(M27),"",VLOOKUP(M27,'Default Rankings'!$R$3:$T$77,3,FALSE))</f>
        <v>52</v>
      </c>
      <c r="O27" s="35">
        <f>IF(ISBLANK(M27),"",INDEX('Default Rankings'!$Q$3:$T$77,MATCH(M27,'Default Rankings'!$R$3:$R$77,0),1))</f>
        <v>23</v>
      </c>
      <c r="Q27" s="12">
        <f t="shared" si="3"/>
        <v>25</v>
      </c>
      <c r="R27" s="17"/>
      <c r="S27" s="34" t="str">
        <f>IF(ISBLANK(R27),"",VLOOKUP(R27,'Default Rankings'!$W$3:$Y$77,3,FALSE))</f>
        <v/>
      </c>
      <c r="T27" s="35" t="str">
        <f>IF(ISBLANK(R27),"",INDEX('Default Rankings'!$V$3:$Y$77,MATCH(R27,'Default Rankings'!$W$3:$W$77,0),1))</f>
        <v/>
      </c>
    </row>
    <row r="28" spans="2:30" x14ac:dyDescent="0.35">
      <c r="B28" s="12">
        <f t="shared" si="0"/>
        <v>26</v>
      </c>
      <c r="C28" s="17"/>
      <c r="D28" s="34" t="str">
        <f>IF(ISBLANK(C28),"",VLOOKUP(C28,'Default Rankings'!$H$3:$J$32,3,FALSE))</f>
        <v/>
      </c>
      <c r="E28" s="35" t="str">
        <f>IF(ISBLANK(C28),"",INDEX('Default Rankings'!$G$3:$J$32,MATCH(C28,'Default Rankings'!$H$3:$H$32,0),1))</f>
        <v/>
      </c>
      <c r="G28" s="12">
        <f t="shared" si="1"/>
        <v>26</v>
      </c>
      <c r="H28" s="17" t="s">
        <v>875</v>
      </c>
      <c r="I28" s="34">
        <f>IF(ISBLANK(H28),"",VLOOKUP(H28,'Default Rankings'!$M$3:$O$77,3,FALSE))</f>
        <v>85</v>
      </c>
      <c r="J28" s="35">
        <f>IF(ISBLANK(H28),"",INDEX('Default Rankings'!$L$3:$O$77,MATCH(H28,'Default Rankings'!$M$3:$M$77,0),1))</f>
        <v>32</v>
      </c>
      <c r="L28" s="12">
        <f t="shared" si="2"/>
        <v>26</v>
      </c>
      <c r="M28" s="17" t="s">
        <v>1292</v>
      </c>
      <c r="N28" s="34">
        <f>IF(ISBLANK(M28),"",VLOOKUP(M28,'Default Rankings'!$R$3:$T$77,3,FALSE))</f>
        <v>64</v>
      </c>
      <c r="O28" s="35">
        <f>IF(ISBLANK(M28),"",INDEX('Default Rankings'!$Q$3:$T$77,MATCH(M28,'Default Rankings'!$R$3:$R$77,0),1))</f>
        <v>30</v>
      </c>
      <c r="Q28" s="12">
        <f t="shared" si="3"/>
        <v>26</v>
      </c>
      <c r="R28" s="17"/>
      <c r="S28" s="34" t="str">
        <f>IF(ISBLANK(R28),"",VLOOKUP(R28,'Default Rankings'!$W$3:$Y$77,3,FALSE))</f>
        <v/>
      </c>
      <c r="T28" s="35" t="str">
        <f>IF(ISBLANK(R28),"",INDEX('Default Rankings'!$V$3:$Y$77,MATCH(R28,'Default Rankings'!$W$3:$W$77,0),1))</f>
        <v/>
      </c>
    </row>
    <row r="29" spans="2:30" x14ac:dyDescent="0.35">
      <c r="B29" s="12">
        <f t="shared" si="0"/>
        <v>27</v>
      </c>
      <c r="C29" s="17"/>
      <c r="D29" s="34" t="str">
        <f>IF(ISBLANK(C29),"",VLOOKUP(C29,'Default Rankings'!$H$3:$J$32,3,FALSE))</f>
        <v/>
      </c>
      <c r="E29" s="35" t="str">
        <f>IF(ISBLANK(C29),"",INDEX('Default Rankings'!$G$3:$J$32,MATCH(C29,'Default Rankings'!$H$3:$H$32,0),1))</f>
        <v/>
      </c>
      <c r="G29" s="12">
        <f t="shared" si="1"/>
        <v>27</v>
      </c>
      <c r="H29" s="17" t="s">
        <v>1510</v>
      </c>
      <c r="I29" s="34">
        <f>IF(ISBLANK(H29),"",VLOOKUP(H29,'Default Rankings'!$M$3:$O$77,3,FALSE))</f>
        <v>60</v>
      </c>
      <c r="J29" s="35">
        <f>IF(ISBLANK(H29),"",INDEX('Default Rankings'!$L$3:$O$77,MATCH(H29,'Default Rankings'!$M$3:$M$77,0),1))</f>
        <v>28</v>
      </c>
      <c r="L29" s="12">
        <f t="shared" si="2"/>
        <v>27</v>
      </c>
      <c r="M29" s="17" t="s">
        <v>993</v>
      </c>
      <c r="N29" s="34">
        <f>IF(ISBLANK(M29),"",VLOOKUP(M29,'Default Rankings'!$R$3:$T$77,3,FALSE))</f>
        <v>65</v>
      </c>
      <c r="O29" s="35">
        <f>IF(ISBLANK(M29),"",INDEX('Default Rankings'!$Q$3:$T$77,MATCH(M29,'Default Rankings'!$R$3:$R$77,0),1))</f>
        <v>31</v>
      </c>
      <c r="Q29" s="12">
        <f t="shared" si="3"/>
        <v>27</v>
      </c>
      <c r="R29" s="17"/>
      <c r="S29" s="34" t="str">
        <f>IF(ISBLANK(R29),"",VLOOKUP(R29,'Default Rankings'!$W$3:$Y$77,3,FALSE))</f>
        <v/>
      </c>
      <c r="T29" s="35" t="str">
        <f>IF(ISBLANK(R29),"",INDEX('Default Rankings'!$V$3:$Y$77,MATCH(R29,'Default Rankings'!$W$3:$W$77,0),1))</f>
        <v/>
      </c>
    </row>
    <row r="30" spans="2:30" x14ac:dyDescent="0.35">
      <c r="B30" s="12">
        <f t="shared" si="0"/>
        <v>28</v>
      </c>
      <c r="C30" s="17"/>
      <c r="D30" s="34" t="str">
        <f>IF(ISBLANK(C30),"",VLOOKUP(C30,'Default Rankings'!$H$3:$J$32,3,FALSE))</f>
        <v/>
      </c>
      <c r="E30" s="35" t="str">
        <f>IF(ISBLANK(C30),"",INDEX('Default Rankings'!$G$3:$J$32,MATCH(C30,'Default Rankings'!$H$3:$H$32,0),1))</f>
        <v/>
      </c>
      <c r="G30" s="12">
        <f t="shared" si="1"/>
        <v>28</v>
      </c>
      <c r="H30" s="17" t="s">
        <v>1499</v>
      </c>
      <c r="I30" s="34">
        <f>IF(ISBLANK(H30),"",VLOOKUP(H30,'Default Rankings'!$M$3:$O$77,3,FALSE))</f>
        <v>48</v>
      </c>
      <c r="J30" s="35">
        <f>IF(ISBLANK(H30),"",INDEX('Default Rankings'!$L$3:$O$77,MATCH(H30,'Default Rankings'!$M$3:$M$77,0),1))</f>
        <v>22</v>
      </c>
      <c r="L30" s="12">
        <f t="shared" si="2"/>
        <v>28</v>
      </c>
      <c r="M30" s="17" t="s">
        <v>1206</v>
      </c>
      <c r="N30" s="34">
        <f>IF(ISBLANK(M30),"",VLOOKUP(M30,'Default Rankings'!$R$3:$T$77,3,FALSE))</f>
        <v>62</v>
      </c>
      <c r="O30" s="35">
        <f>IF(ISBLANK(M30),"",INDEX('Default Rankings'!$Q$3:$T$77,MATCH(M30,'Default Rankings'!$R$3:$R$77,0),1))</f>
        <v>28</v>
      </c>
      <c r="Q30" s="12">
        <f t="shared" si="3"/>
        <v>28</v>
      </c>
      <c r="R30" s="17"/>
      <c r="S30" s="34" t="str">
        <f>IF(ISBLANK(R30),"",VLOOKUP(R30,'Default Rankings'!$W$3:$Y$77,3,FALSE))</f>
        <v/>
      </c>
      <c r="T30" s="35" t="str">
        <f>IF(ISBLANK(R30),"",INDEX('Default Rankings'!$V$3:$Y$77,MATCH(R30,'Default Rankings'!$W$3:$W$77,0),1))</f>
        <v/>
      </c>
    </row>
    <row r="31" spans="2:30" x14ac:dyDescent="0.35">
      <c r="B31" s="12">
        <f t="shared" si="0"/>
        <v>29</v>
      </c>
      <c r="C31" s="17"/>
      <c r="D31" s="34" t="str">
        <f>IF(ISBLANK(C31),"",VLOOKUP(C31,'Default Rankings'!$H$3:$J$32,3,FALSE))</f>
        <v/>
      </c>
      <c r="E31" s="35" t="str">
        <f>IF(ISBLANK(C31),"",INDEX('Default Rankings'!$G$3:$J$32,MATCH(C31,'Default Rankings'!$H$3:$H$32,0),1))</f>
        <v/>
      </c>
      <c r="G31" s="12">
        <f t="shared" si="1"/>
        <v>29</v>
      </c>
      <c r="H31" s="17" t="s">
        <v>1498</v>
      </c>
      <c r="I31" s="34">
        <f>IF(ISBLANK(H31),"",VLOOKUP(H31,'Default Rankings'!$M$3:$O$77,3,FALSE))</f>
        <v>49</v>
      </c>
      <c r="J31" s="35">
        <f>IF(ISBLANK(H31),"",INDEX('Default Rankings'!$L$3:$O$77,MATCH(H31,'Default Rankings'!$M$3:$M$77,0),1))</f>
        <v>23</v>
      </c>
      <c r="L31" s="12">
        <f t="shared" si="2"/>
        <v>29</v>
      </c>
      <c r="M31" s="17" t="s">
        <v>865</v>
      </c>
      <c r="N31" s="34">
        <f>IF(ISBLANK(M31),"",VLOOKUP(M31,'Default Rankings'!$R$3:$T$77,3,FALSE))</f>
        <v>51</v>
      </c>
      <c r="O31" s="35">
        <f>IF(ISBLANK(M31),"",INDEX('Default Rankings'!$Q$3:$T$77,MATCH(M31,'Default Rankings'!$R$3:$R$77,0),1))</f>
        <v>22</v>
      </c>
      <c r="Q31" s="12">
        <f t="shared" si="3"/>
        <v>29</v>
      </c>
      <c r="R31" s="17"/>
      <c r="S31" s="34" t="str">
        <f>IF(ISBLANK(R31),"",VLOOKUP(R31,'Default Rankings'!$W$3:$Y$77,3,FALSE))</f>
        <v/>
      </c>
      <c r="T31" s="35" t="str">
        <f>IF(ISBLANK(R31),"",INDEX('Default Rankings'!$V$3:$Y$77,MATCH(R31,'Default Rankings'!$W$3:$W$77,0),1))</f>
        <v/>
      </c>
    </row>
    <row r="32" spans="2:30" ht="15" thickBot="1" x14ac:dyDescent="0.4">
      <c r="B32" s="13">
        <f t="shared" si="0"/>
        <v>30</v>
      </c>
      <c r="C32" s="18"/>
      <c r="D32" s="34" t="str">
        <f>IF(ISBLANK(C32),"",VLOOKUP(C32,'Default Rankings'!$H$3:$J$32,3,FALSE))</f>
        <v/>
      </c>
      <c r="E32" s="35" t="str">
        <f>IF(ISBLANK(C32),"",INDEX('Default Rankings'!$G$3:$J$32,MATCH(C32,'Default Rankings'!$H$3:$H$32,0),1))</f>
        <v/>
      </c>
      <c r="G32" s="12">
        <f t="shared" si="1"/>
        <v>30</v>
      </c>
      <c r="H32" s="17" t="s">
        <v>1218</v>
      </c>
      <c r="I32" s="34">
        <f>IF(ISBLANK(H32),"",VLOOKUP(H32,'Default Rankings'!$M$3:$O$77,3,FALSE))</f>
        <v>58</v>
      </c>
      <c r="J32" s="35">
        <f>IF(ISBLANK(H32),"",INDEX('Default Rankings'!$L$3:$O$77,MATCH(H32,'Default Rankings'!$M$3:$M$77,0),1))</f>
        <v>26</v>
      </c>
      <c r="L32" s="12">
        <f t="shared" si="2"/>
        <v>30</v>
      </c>
      <c r="M32" s="17" t="s">
        <v>1458</v>
      </c>
      <c r="N32" s="34">
        <f>IF(ISBLANK(M32),"",VLOOKUP(M32,'Default Rankings'!$R$3:$T$77,3,FALSE))</f>
        <v>66</v>
      </c>
      <c r="O32" s="35">
        <f>IF(ISBLANK(M32),"",INDEX('Default Rankings'!$Q$3:$T$77,MATCH(M32,'Default Rankings'!$R$3:$R$77,0),1))</f>
        <v>32</v>
      </c>
      <c r="Q32" s="13">
        <f t="shared" si="3"/>
        <v>30</v>
      </c>
      <c r="R32" s="18"/>
      <c r="S32" s="34" t="str">
        <f>IF(ISBLANK(R32),"",VLOOKUP(R32,'Default Rankings'!$W$3:$Y$77,3,FALSE))</f>
        <v/>
      </c>
      <c r="T32" s="35" t="str">
        <f>IF(ISBLANK(R32),"",INDEX('Default Rankings'!$V$3:$Y$77,MATCH(R32,'Default Rankings'!$W$3:$W$77,0),1))</f>
        <v/>
      </c>
    </row>
    <row r="33" spans="3:15" x14ac:dyDescent="0.35">
      <c r="G33" s="12">
        <f t="shared" si="1"/>
        <v>31</v>
      </c>
      <c r="H33" s="17" t="s">
        <v>1286</v>
      </c>
      <c r="I33" s="34">
        <f>IF(ISBLANK(H33),"",VLOOKUP(H33,'Default Rankings'!$M$3:$O$77,3,FALSE))</f>
        <v>87</v>
      </c>
      <c r="J33" s="35">
        <f>IF(ISBLANK(H33),"",INDEX('Default Rankings'!$L$3:$O$77,MATCH(H33,'Default Rankings'!$M$3:$M$77,0),1))</f>
        <v>34</v>
      </c>
      <c r="L33" s="12">
        <f t="shared" si="2"/>
        <v>31</v>
      </c>
      <c r="M33" s="17" t="s">
        <v>1297</v>
      </c>
      <c r="N33" s="34">
        <f>IF(ISBLANK(M33),"",VLOOKUP(M33,'Default Rankings'!$R$3:$T$77,3,FALSE))</f>
        <v>67</v>
      </c>
      <c r="O33" s="35">
        <f>IF(ISBLANK(M33),"",INDEX('Default Rankings'!$Q$3:$T$77,MATCH(M33,'Default Rankings'!$R$3:$R$77,0),1))</f>
        <v>33</v>
      </c>
    </row>
    <row r="34" spans="3:15" x14ac:dyDescent="0.35">
      <c r="G34" s="12">
        <f t="shared" si="1"/>
        <v>32</v>
      </c>
      <c r="H34" s="17" t="s">
        <v>1500</v>
      </c>
      <c r="I34" s="34">
        <f>IF(ISBLANK(H34),"",VLOOKUP(H34,'Default Rankings'!$M$3:$O$77,3,FALSE))</f>
        <v>88</v>
      </c>
      <c r="J34" s="35">
        <f>IF(ISBLANK(H34),"",INDEX('Default Rankings'!$L$3:$O$77,MATCH(H34,'Default Rankings'!$M$3:$M$77,0),1))</f>
        <v>35</v>
      </c>
      <c r="L34" s="12">
        <f t="shared" si="2"/>
        <v>32</v>
      </c>
      <c r="M34" s="17" t="s">
        <v>1304</v>
      </c>
      <c r="N34" s="34">
        <f>IF(ISBLANK(M34),"",VLOOKUP(M34,'Default Rankings'!$R$3:$T$77,3,FALSE))</f>
        <v>81</v>
      </c>
      <c r="O34" s="35">
        <f>IF(ISBLANK(M34),"",INDEX('Default Rankings'!$Q$3:$T$77,MATCH(M34,'Default Rankings'!$R$3:$R$77,0),1))</f>
        <v>39</v>
      </c>
    </row>
    <row r="35" spans="3:15" x14ac:dyDescent="0.35">
      <c r="G35" s="12">
        <f t="shared" si="1"/>
        <v>33</v>
      </c>
      <c r="H35" s="17" t="s">
        <v>1502</v>
      </c>
      <c r="I35" s="34">
        <f>IF(ISBLANK(H35),"",VLOOKUP(H35,'Default Rankings'!$M$3:$O$77,3,FALSE))</f>
        <v>90</v>
      </c>
      <c r="J35" s="35">
        <f>IF(ISBLANK(H35),"",INDEX('Default Rankings'!$L$3:$O$77,MATCH(H35,'Default Rankings'!$M$3:$M$77,0),1))</f>
        <v>37</v>
      </c>
      <c r="L35" s="12">
        <f t="shared" si="2"/>
        <v>33</v>
      </c>
      <c r="M35" s="17" t="s">
        <v>1459</v>
      </c>
      <c r="N35" s="34">
        <f>IF(ISBLANK(M35),"",VLOOKUP(M35,'Default Rankings'!$R$3:$T$77,3,FALSE))</f>
        <v>77</v>
      </c>
      <c r="O35" s="35">
        <f>IF(ISBLANK(M35),"",INDEX('Default Rankings'!$Q$3:$T$77,MATCH(M35,'Default Rankings'!$R$3:$R$77,0),1))</f>
        <v>35</v>
      </c>
    </row>
    <row r="36" spans="3:15" x14ac:dyDescent="0.35">
      <c r="G36" s="12">
        <f t="shared" si="1"/>
        <v>34</v>
      </c>
      <c r="H36" s="17" t="s">
        <v>889</v>
      </c>
      <c r="I36" s="34">
        <f>IF(ISBLANK(H36),"",VLOOKUP(H36,'Default Rankings'!$M$3:$O$77,3,FALSE))</f>
        <v>86</v>
      </c>
      <c r="J36" s="35">
        <f>IF(ISBLANK(H36),"",INDEX('Default Rankings'!$L$3:$O$77,MATCH(H36,'Default Rankings'!$M$3:$M$77,0),1))</f>
        <v>33</v>
      </c>
      <c r="L36" s="12">
        <f t="shared" si="2"/>
        <v>34</v>
      </c>
      <c r="M36" s="17" t="s">
        <v>1341</v>
      </c>
      <c r="N36" s="34">
        <f>IF(ISBLANK(M36),"",VLOOKUP(M36,'Default Rankings'!$R$3:$T$77,3,FALSE))</f>
        <v>80</v>
      </c>
      <c r="O36" s="35">
        <f>IF(ISBLANK(M36),"",INDEX('Default Rankings'!$Q$3:$T$77,MATCH(M36,'Default Rankings'!$R$3:$R$77,0),1))</f>
        <v>38</v>
      </c>
    </row>
    <row r="37" spans="3:15" x14ac:dyDescent="0.35">
      <c r="G37" s="12">
        <f t="shared" si="1"/>
        <v>35</v>
      </c>
      <c r="H37" s="17" t="s">
        <v>900</v>
      </c>
      <c r="I37" s="34">
        <f>IF(ISBLANK(H37),"",VLOOKUP(H37,'Default Rankings'!$M$3:$O$77,3,FALSE))</f>
        <v>93</v>
      </c>
      <c r="J37" s="35">
        <f>IF(ISBLANK(H37),"",INDEX('Default Rankings'!$L$3:$O$77,MATCH(H37,'Default Rankings'!$M$3:$M$77,0),1))</f>
        <v>40</v>
      </c>
      <c r="L37" s="12">
        <f t="shared" si="2"/>
        <v>35</v>
      </c>
      <c r="M37" s="17" t="s">
        <v>866</v>
      </c>
      <c r="N37" s="34">
        <f>IF(ISBLANK(M37),"",VLOOKUP(M37,'Default Rankings'!$R$3:$T$77,3,FALSE))</f>
        <v>63</v>
      </c>
      <c r="O37" s="35">
        <f>IF(ISBLANK(M37),"",INDEX('Default Rankings'!$Q$3:$T$77,MATCH(M37,'Default Rankings'!$R$3:$R$77,0),1))</f>
        <v>29</v>
      </c>
    </row>
    <row r="38" spans="3:15" x14ac:dyDescent="0.35">
      <c r="G38" s="12">
        <f t="shared" si="1"/>
        <v>36</v>
      </c>
      <c r="H38" s="17" t="s">
        <v>1506</v>
      </c>
      <c r="I38" s="34">
        <f>IF(ISBLANK(H38),"",VLOOKUP(H38,'Default Rankings'!$M$3:$O$77,3,FALSE))</f>
        <v>89</v>
      </c>
      <c r="J38" s="35">
        <f>IF(ISBLANK(H38),"",INDEX('Default Rankings'!$L$3:$O$77,MATCH(H38,'Default Rankings'!$M$3:$M$77,0),1))</f>
        <v>36</v>
      </c>
      <c r="L38" s="12">
        <f t="shared" si="2"/>
        <v>36</v>
      </c>
      <c r="M38" s="17" t="s">
        <v>994</v>
      </c>
      <c r="N38" s="34">
        <f>IF(ISBLANK(M38),"",VLOOKUP(M38,'Default Rankings'!$R$3:$T$77,3,FALSE))</f>
        <v>54</v>
      </c>
      <c r="O38" s="35">
        <f>IF(ISBLANK(M38),"",INDEX('Default Rankings'!$Q$3:$T$77,MATCH(M38,'Default Rankings'!$R$3:$R$77,0),1))</f>
        <v>25</v>
      </c>
    </row>
    <row r="39" spans="3:15" x14ac:dyDescent="0.35">
      <c r="G39" s="12">
        <f t="shared" si="1"/>
        <v>37</v>
      </c>
      <c r="H39" s="17" t="s">
        <v>899</v>
      </c>
      <c r="I39" s="34">
        <f>IF(ISBLANK(H39),"",VLOOKUP(H39,'Default Rankings'!$M$3:$O$77,3,FALSE))</f>
        <v>105</v>
      </c>
      <c r="J39" s="35">
        <f>IF(ISBLANK(H39),"",INDEX('Default Rankings'!$L$3:$O$77,MATCH(H39,'Default Rankings'!$M$3:$M$77,0),1))</f>
        <v>43</v>
      </c>
      <c r="L39" s="12">
        <f t="shared" si="2"/>
        <v>37</v>
      </c>
      <c r="M39" s="17" t="s">
        <v>885</v>
      </c>
      <c r="N39" s="34">
        <f>IF(ISBLANK(M39),"",VLOOKUP(M39,'Default Rankings'!$R$3:$T$77,3,FALSE))</f>
        <v>78</v>
      </c>
      <c r="O39" s="35">
        <f>IF(ISBLANK(M39),"",INDEX('Default Rankings'!$Q$3:$T$77,MATCH(M39,'Default Rankings'!$R$3:$R$77,0),1))</f>
        <v>36</v>
      </c>
    </row>
    <row r="40" spans="3:15" x14ac:dyDescent="0.35">
      <c r="G40" s="12">
        <f t="shared" si="1"/>
        <v>38</v>
      </c>
      <c r="H40" s="17" t="s">
        <v>873</v>
      </c>
      <c r="I40" s="34">
        <f>IF(ISBLANK(H40),"",VLOOKUP(H40,'Default Rankings'!$M$3:$O$77,3,FALSE))</f>
        <v>131</v>
      </c>
      <c r="J40" s="35">
        <f>IF(ISBLANK(H40),"",INDEX('Default Rankings'!$L$3:$O$77,MATCH(H40,'Default Rankings'!$M$3:$M$77,0),1))</f>
        <v>47</v>
      </c>
      <c r="L40" s="12">
        <f t="shared" si="2"/>
        <v>38</v>
      </c>
      <c r="M40" s="17" t="s">
        <v>1344</v>
      </c>
      <c r="N40" s="34">
        <f>IF(ISBLANK(M40),"",VLOOKUP(M40,'Default Rankings'!$R$3:$T$77,3,FALSE))</f>
        <v>109</v>
      </c>
      <c r="O40" s="35">
        <f>IF(ISBLANK(M40),"",INDEX('Default Rankings'!$Q$3:$T$77,MATCH(M40,'Default Rankings'!$R$3:$R$77,0),1))</f>
        <v>53</v>
      </c>
    </row>
    <row r="41" spans="3:15" x14ac:dyDescent="0.35">
      <c r="G41" s="12">
        <f t="shared" si="1"/>
        <v>39</v>
      </c>
      <c r="H41" s="17" t="s">
        <v>1501</v>
      </c>
      <c r="I41" s="34">
        <f>IF(ISBLANK(H41),"",VLOOKUP(H41,'Default Rankings'!$M$3:$O$77,3,FALSE))</f>
        <v>91</v>
      </c>
      <c r="J41" s="35">
        <f>IF(ISBLANK(H41),"",INDEX('Default Rankings'!$L$3:$O$77,MATCH(H41,'Default Rankings'!$M$3:$M$77,0),1))</f>
        <v>38</v>
      </c>
      <c r="L41" s="12">
        <f t="shared" si="2"/>
        <v>39</v>
      </c>
      <c r="M41" s="17" t="s">
        <v>1210</v>
      </c>
      <c r="N41" s="34">
        <f>IF(ISBLANK(M41),"",VLOOKUP(M41,'Default Rankings'!$R$3:$T$77,3,FALSE))</f>
        <v>95</v>
      </c>
      <c r="O41" s="35">
        <f>IF(ISBLANK(M41),"",INDEX('Default Rankings'!$Q$3:$T$77,MATCH(M41,'Default Rankings'!$R$3:$R$77,0),1))</f>
        <v>42</v>
      </c>
    </row>
    <row r="42" spans="3:15" x14ac:dyDescent="0.35">
      <c r="G42" s="12">
        <f t="shared" si="1"/>
        <v>40</v>
      </c>
      <c r="H42" s="17" t="s">
        <v>872</v>
      </c>
      <c r="I42" s="34">
        <f>IF(ISBLANK(H42),"",VLOOKUP(H42,'Default Rankings'!$M$3:$O$77,3,FALSE))</f>
        <v>129</v>
      </c>
      <c r="J42" s="35">
        <f>IF(ISBLANK(H42),"",INDEX('Default Rankings'!$L$3:$O$77,MATCH(H42,'Default Rankings'!$M$3:$M$77,0),1))</f>
        <v>45</v>
      </c>
      <c r="L42" s="12">
        <f t="shared" si="2"/>
        <v>40</v>
      </c>
      <c r="M42" s="17" t="s">
        <v>997</v>
      </c>
      <c r="N42" s="34">
        <f>IF(ISBLANK(M42),"",VLOOKUP(M42,'Default Rankings'!$R$3:$T$77,3,FALSE))</f>
        <v>84</v>
      </c>
      <c r="O42" s="35">
        <f>IF(ISBLANK(M42),"",INDEX('Default Rankings'!$Q$3:$T$77,MATCH(M42,'Default Rankings'!$R$3:$R$77,0),1))</f>
        <v>40</v>
      </c>
    </row>
    <row r="43" spans="3:15" x14ac:dyDescent="0.35">
      <c r="C43" s="17"/>
      <c r="G43" s="12">
        <f t="shared" si="1"/>
        <v>41</v>
      </c>
      <c r="H43" s="17" t="s">
        <v>1284</v>
      </c>
      <c r="I43" s="34">
        <f>IF(ISBLANK(H43),"",VLOOKUP(H43,'Default Rankings'!$M$3:$O$77,3,FALSE))</f>
        <v>72</v>
      </c>
      <c r="J43" s="35">
        <f>IF(ISBLANK(H43),"",INDEX('Default Rankings'!$L$3:$O$77,MATCH(H43,'Default Rankings'!$M$3:$M$77,0),1))</f>
        <v>31</v>
      </c>
      <c r="L43" s="12">
        <f t="shared" si="2"/>
        <v>41</v>
      </c>
      <c r="M43" s="17" t="s">
        <v>1205</v>
      </c>
      <c r="N43" s="34">
        <f>IF(ISBLANK(M43),"",VLOOKUP(M43,'Default Rankings'!$R$3:$T$77,3,FALSE))</f>
        <v>127</v>
      </c>
      <c r="O43" s="35">
        <f>IF(ISBLANK(M43),"",INDEX('Default Rankings'!$Q$3:$T$77,MATCH(M43,'Default Rankings'!$R$3:$R$77,0),1))</f>
        <v>58</v>
      </c>
    </row>
    <row r="44" spans="3:15" x14ac:dyDescent="0.35">
      <c r="G44" s="12">
        <f t="shared" si="1"/>
        <v>42</v>
      </c>
      <c r="H44" s="17" t="s">
        <v>1508</v>
      </c>
      <c r="I44" s="34">
        <f>IF(ISBLANK(H44),"",VLOOKUP(H44,'Default Rankings'!$M$3:$O$77,3,FALSE))</f>
        <v>143</v>
      </c>
      <c r="J44" s="35">
        <f>IF(ISBLANK(H44),"",INDEX('Default Rankings'!$L$3:$O$77,MATCH(H44,'Default Rankings'!$M$3:$M$77,0),1))</f>
        <v>54</v>
      </c>
      <c r="L44" s="12">
        <f t="shared" si="2"/>
        <v>42</v>
      </c>
      <c r="M44" s="17" t="s">
        <v>1345</v>
      </c>
      <c r="N44" s="34">
        <f>IF(ISBLANK(M44),"",VLOOKUP(M44,'Default Rankings'!$R$3:$T$77,3,FALSE))</f>
        <v>101</v>
      </c>
      <c r="O44" s="35">
        <f>IF(ISBLANK(M44),"",INDEX('Default Rankings'!$Q$3:$T$77,MATCH(M44,'Default Rankings'!$R$3:$R$77,0),1))</f>
        <v>48</v>
      </c>
    </row>
    <row r="45" spans="3:15" x14ac:dyDescent="0.35">
      <c r="G45" s="12">
        <f t="shared" si="1"/>
        <v>43</v>
      </c>
      <c r="H45" s="17" t="s">
        <v>891</v>
      </c>
      <c r="I45" s="34">
        <f>IF(ISBLANK(H45),"",VLOOKUP(H45,'Default Rankings'!$M$3:$O$77,3,FALSE))</f>
        <v>92</v>
      </c>
      <c r="J45" s="35">
        <f>IF(ISBLANK(H45),"",INDEX('Default Rankings'!$L$3:$O$77,MATCH(H45,'Default Rankings'!$M$3:$M$77,0),1))</f>
        <v>39</v>
      </c>
      <c r="L45" s="12">
        <f t="shared" si="2"/>
        <v>43</v>
      </c>
      <c r="M45" s="17" t="s">
        <v>1204</v>
      </c>
      <c r="N45" s="34">
        <f>IF(ISBLANK(M45),"",VLOOKUP(M45,'Default Rankings'!$R$3:$T$77,3,FALSE))</f>
        <v>79</v>
      </c>
      <c r="O45" s="35">
        <f>IF(ISBLANK(M45),"",INDEX('Default Rankings'!$Q$3:$T$77,MATCH(M45,'Default Rankings'!$R$3:$R$77,0),1))</f>
        <v>37</v>
      </c>
    </row>
    <row r="46" spans="3:15" x14ac:dyDescent="0.35">
      <c r="G46" s="12">
        <f t="shared" si="1"/>
        <v>44</v>
      </c>
      <c r="H46" s="17" t="s">
        <v>888</v>
      </c>
      <c r="I46" s="34">
        <f>IF(ISBLANK(H46),"",VLOOKUP(H46,'Default Rankings'!$M$3:$O$77,3,FALSE))</f>
        <v>71</v>
      </c>
      <c r="J46" s="35">
        <f>IF(ISBLANK(H46),"",INDEX('Default Rankings'!$L$3:$O$77,MATCH(H46,'Default Rankings'!$M$3:$M$77,0),1))</f>
        <v>30</v>
      </c>
      <c r="L46" s="12">
        <f t="shared" si="2"/>
        <v>44</v>
      </c>
      <c r="M46" s="17" t="s">
        <v>1208</v>
      </c>
      <c r="N46" s="34">
        <f>IF(ISBLANK(M46),"",VLOOKUP(M46,'Default Rankings'!$R$3:$T$77,3,FALSE))</f>
        <v>99</v>
      </c>
      <c r="O46" s="35">
        <f>IF(ISBLANK(M46),"",INDEX('Default Rankings'!$Q$3:$T$77,MATCH(M46,'Default Rankings'!$R$3:$R$77,0),1))</f>
        <v>46</v>
      </c>
    </row>
    <row r="47" spans="3:15" x14ac:dyDescent="0.35">
      <c r="G47" s="12">
        <f t="shared" si="1"/>
        <v>45</v>
      </c>
      <c r="H47" s="17" t="s">
        <v>1526</v>
      </c>
      <c r="I47" s="34">
        <f>IF(ISBLANK(H47),"",VLOOKUP(H47,'Default Rankings'!$M$3:$O$77,3,FALSE))</f>
        <v>140</v>
      </c>
      <c r="J47" s="35">
        <f>IF(ISBLANK(H47),"",INDEX('Default Rankings'!$L$3:$O$77,MATCH(H47,'Default Rankings'!$M$3:$M$77,0),1))</f>
        <v>51</v>
      </c>
      <c r="L47" s="12">
        <f t="shared" si="2"/>
        <v>45</v>
      </c>
      <c r="M47" s="17" t="s">
        <v>1296</v>
      </c>
      <c r="N47" s="34">
        <f>IF(ISBLANK(M47),"",VLOOKUP(M47,'Default Rankings'!$R$3:$T$77,3,FALSE))</f>
        <v>68</v>
      </c>
      <c r="O47" s="35">
        <f>IF(ISBLANK(M47),"",INDEX('Default Rankings'!$Q$3:$T$77,MATCH(M47,'Default Rankings'!$R$3:$R$77,0),1))</f>
        <v>34</v>
      </c>
    </row>
    <row r="48" spans="3:15" x14ac:dyDescent="0.35">
      <c r="G48" s="12">
        <f t="shared" si="1"/>
        <v>46</v>
      </c>
      <c r="H48" s="17" t="s">
        <v>1505</v>
      </c>
      <c r="I48" s="34">
        <f>IF(ISBLANK(H48),"",VLOOKUP(H48,'Default Rankings'!$M$3:$O$77,3,FALSE))</f>
        <v>103</v>
      </c>
      <c r="J48" s="35">
        <f>IF(ISBLANK(H48),"",INDEX('Default Rankings'!$L$3:$O$77,MATCH(H48,'Default Rankings'!$M$3:$M$77,0),1))</f>
        <v>41</v>
      </c>
      <c r="L48" s="12">
        <f t="shared" si="2"/>
        <v>46</v>
      </c>
      <c r="M48" s="17" t="s">
        <v>1302</v>
      </c>
      <c r="N48" s="34">
        <f>IF(ISBLANK(M48),"",VLOOKUP(M48,'Default Rankings'!$R$3:$T$77,3,FALSE))</f>
        <v>96</v>
      </c>
      <c r="O48" s="35">
        <f>IF(ISBLANK(M48),"",INDEX('Default Rankings'!$Q$3:$T$77,MATCH(M48,'Default Rankings'!$R$3:$R$77,0),1))</f>
        <v>43</v>
      </c>
    </row>
    <row r="49" spans="7:15" x14ac:dyDescent="0.35">
      <c r="G49" s="12">
        <f t="shared" si="1"/>
        <v>47</v>
      </c>
      <c r="H49" s="17" t="s">
        <v>1507</v>
      </c>
      <c r="I49" s="34">
        <f>IF(ISBLANK(H49),"",VLOOKUP(H49,'Default Rankings'!$M$3:$O$77,3,FALSE))</f>
        <v>132</v>
      </c>
      <c r="J49" s="35">
        <f>IF(ISBLANK(H49),"",INDEX('Default Rankings'!$L$3:$O$77,MATCH(H49,'Default Rankings'!$M$3:$M$77,0),1))</f>
        <v>48</v>
      </c>
      <c r="L49" s="12">
        <f t="shared" si="2"/>
        <v>47</v>
      </c>
      <c r="M49" s="17" t="s">
        <v>1343</v>
      </c>
      <c r="N49" s="34">
        <f>IF(ISBLANK(M49),"",VLOOKUP(M49,'Default Rankings'!$R$3:$T$77,3,FALSE))</f>
        <v>107</v>
      </c>
      <c r="O49" s="35">
        <f>IF(ISBLANK(M49),"",INDEX('Default Rankings'!$Q$3:$T$77,MATCH(M49,'Default Rankings'!$R$3:$R$77,0),1))</f>
        <v>51</v>
      </c>
    </row>
    <row r="50" spans="7:15" x14ac:dyDescent="0.35">
      <c r="G50" s="12">
        <f t="shared" si="1"/>
        <v>48</v>
      </c>
      <c r="H50" s="17" t="s">
        <v>1504</v>
      </c>
      <c r="I50" s="34">
        <f>IF(ISBLANK(H50),"",VLOOKUP(H50,'Default Rankings'!$M$3:$O$77,3,FALSE))</f>
        <v>128</v>
      </c>
      <c r="J50" s="35">
        <f>IF(ISBLANK(H50),"",INDEX('Default Rankings'!$L$3:$O$77,MATCH(H50,'Default Rankings'!$M$3:$M$77,0),1))</f>
        <v>44</v>
      </c>
      <c r="L50" s="12">
        <f t="shared" si="2"/>
        <v>48</v>
      </c>
      <c r="M50" s="17" t="s">
        <v>1209</v>
      </c>
      <c r="N50" s="34">
        <f>IF(ISBLANK(M50),"",VLOOKUP(M50,'Default Rankings'!$R$3:$T$77,3,FALSE))</f>
        <v>97</v>
      </c>
      <c r="O50" s="35">
        <f>IF(ISBLANK(M50),"",INDEX('Default Rankings'!$Q$3:$T$77,MATCH(M50,'Default Rankings'!$R$3:$R$77,0),1))</f>
        <v>44</v>
      </c>
    </row>
    <row r="51" spans="7:15" x14ac:dyDescent="0.35">
      <c r="G51" s="12">
        <f t="shared" si="1"/>
        <v>49</v>
      </c>
      <c r="H51" s="17" t="s">
        <v>1528</v>
      </c>
      <c r="I51" s="34">
        <f>IF(ISBLANK(H51),"",VLOOKUP(H51,'Default Rankings'!$M$3:$O$77,3,FALSE))</f>
        <v>142</v>
      </c>
      <c r="J51" s="35">
        <f>IF(ISBLANK(H51),"",INDEX('Default Rankings'!$L$3:$O$77,MATCH(H51,'Default Rankings'!$M$3:$M$77,0),1))</f>
        <v>53</v>
      </c>
      <c r="L51" s="12">
        <f t="shared" si="2"/>
        <v>49</v>
      </c>
      <c r="M51" s="17" t="s">
        <v>1301</v>
      </c>
      <c r="N51" s="34">
        <f>IF(ISBLANK(M51),"",VLOOKUP(M51,'Default Rankings'!$R$3:$T$77,3,FALSE))</f>
        <v>100</v>
      </c>
      <c r="O51" s="35">
        <f>IF(ISBLANK(M51),"",INDEX('Default Rankings'!$Q$3:$T$77,MATCH(M51,'Default Rankings'!$R$3:$R$77,0),1))</f>
        <v>47</v>
      </c>
    </row>
    <row r="52" spans="7:15" x14ac:dyDescent="0.35">
      <c r="G52" s="12">
        <f t="shared" si="1"/>
        <v>50</v>
      </c>
      <c r="H52" s="17" t="s">
        <v>1513</v>
      </c>
      <c r="I52" s="34">
        <f>IF(ISBLANK(H52),"",VLOOKUP(H52,'Default Rankings'!$M$3:$O$77,3,FALSE))</f>
        <v>133</v>
      </c>
      <c r="J52" s="35">
        <f>IF(ISBLANK(H52),"",INDEX('Default Rankings'!$L$3:$O$77,MATCH(H52,'Default Rankings'!$M$3:$M$77,0),1))</f>
        <v>49</v>
      </c>
      <c r="L52" s="12">
        <f t="shared" si="2"/>
        <v>50</v>
      </c>
      <c r="M52" s="17" t="s">
        <v>1303</v>
      </c>
      <c r="N52" s="34">
        <f>IF(ISBLANK(M52),"",VLOOKUP(M52,'Default Rankings'!$R$3:$T$77,3,FALSE))</f>
        <v>94</v>
      </c>
      <c r="O52" s="35">
        <f>IF(ISBLANK(M52),"",INDEX('Default Rankings'!$Q$3:$T$77,MATCH(M52,'Default Rankings'!$R$3:$R$77,0),1))</f>
        <v>41</v>
      </c>
    </row>
    <row r="53" spans="7:15" x14ac:dyDescent="0.35">
      <c r="G53" s="12">
        <f t="shared" si="1"/>
        <v>51</v>
      </c>
      <c r="H53" s="150" t="s">
        <v>1503</v>
      </c>
      <c r="I53" s="34">
        <f>IF(ISBLANK(H53),"",VLOOKUP(H53,'Default Rankings'!$M$3:$O$77,3,FALSE))</f>
        <v>104</v>
      </c>
      <c r="J53" s="35">
        <f>IF(ISBLANK(H53),"",INDEX('Default Rankings'!$L$3:$O$77,MATCH(H53,'Default Rankings'!$M$3:$M$77,0),1))</f>
        <v>42</v>
      </c>
      <c r="L53" s="12">
        <f t="shared" si="2"/>
        <v>51</v>
      </c>
      <c r="M53" s="17" t="s">
        <v>1342</v>
      </c>
      <c r="N53" s="34">
        <f>IF(ISBLANK(M53),"",VLOOKUP(M53,'Default Rankings'!$R$3:$T$77,3,FALSE))</f>
        <v>145</v>
      </c>
      <c r="O53" s="35">
        <f>IF(ISBLANK(M53),"",INDEX('Default Rankings'!$Q$3:$T$77,MATCH(M53,'Default Rankings'!$R$3:$R$77,0),1))</f>
        <v>59</v>
      </c>
    </row>
    <row r="54" spans="7:15" x14ac:dyDescent="0.35">
      <c r="G54" s="12">
        <f t="shared" si="1"/>
        <v>52</v>
      </c>
      <c r="H54" s="17" t="s">
        <v>1509</v>
      </c>
      <c r="I54" s="34">
        <f>IF(ISBLANK(H54),"",VLOOKUP(H54,'Default Rankings'!$M$3:$O$77,3,FALSE))</f>
        <v>130</v>
      </c>
      <c r="J54" s="35">
        <f>IF(ISBLANK(H54),"",INDEX('Default Rankings'!$L$3:$O$77,MATCH(H54,'Default Rankings'!$M$3:$M$77,0),1))</f>
        <v>46</v>
      </c>
      <c r="L54" s="12">
        <f t="shared" si="2"/>
        <v>52</v>
      </c>
      <c r="M54" s="17" t="s">
        <v>1207</v>
      </c>
      <c r="N54" s="34">
        <f>IF(ISBLANK(M54),"",VLOOKUP(M54,'Default Rankings'!$R$3:$T$77,3,FALSE))</f>
        <v>102</v>
      </c>
      <c r="O54" s="35">
        <f>IF(ISBLANK(M54),"",INDEX('Default Rankings'!$Q$3:$T$77,MATCH(M54,'Default Rankings'!$R$3:$R$77,0),1))</f>
        <v>49</v>
      </c>
    </row>
    <row r="55" spans="7:15" x14ac:dyDescent="0.35">
      <c r="G55" s="12">
        <f t="shared" si="1"/>
        <v>53</v>
      </c>
      <c r="H55" s="17" t="s">
        <v>1514</v>
      </c>
      <c r="I55" s="34">
        <f>IF(ISBLANK(H55),"",VLOOKUP(H55,'Default Rankings'!$M$3:$O$77,3,FALSE))</f>
        <v>199</v>
      </c>
      <c r="J55" s="35">
        <f>IF(ISBLANK(H55),"",INDEX('Default Rankings'!$L$3:$O$77,MATCH(H55,'Default Rankings'!$M$3:$M$77,0),1))</f>
        <v>62</v>
      </c>
      <c r="L55" s="12">
        <f t="shared" si="2"/>
        <v>53</v>
      </c>
      <c r="M55" s="17" t="s">
        <v>1521</v>
      </c>
      <c r="N55" s="34">
        <f>IF(ISBLANK(M55),"",VLOOKUP(M55,'Default Rankings'!$R$3:$T$77,3,FALSE))</f>
        <v>153</v>
      </c>
      <c r="O55" s="35">
        <f>IF(ISBLANK(M55),"",INDEX('Default Rankings'!$Q$3:$T$77,MATCH(M55,'Default Rankings'!$R$3:$R$77,0),1))</f>
        <v>67</v>
      </c>
    </row>
    <row r="56" spans="7:15" x14ac:dyDescent="0.35">
      <c r="G56" s="12">
        <f t="shared" si="1"/>
        <v>54</v>
      </c>
      <c r="H56" s="17" t="s">
        <v>1518</v>
      </c>
      <c r="I56" s="34">
        <f>IF(ISBLANK(H56),"",VLOOKUP(H56,'Default Rankings'!$M$3:$O$77,3,FALSE))</f>
        <v>158</v>
      </c>
      <c r="J56" s="35">
        <f>IF(ISBLANK(H56),"",INDEX('Default Rankings'!$L$3:$O$77,MATCH(H56,'Default Rankings'!$M$3:$M$77,0),1))</f>
        <v>58</v>
      </c>
      <c r="L56" s="12">
        <f t="shared" si="2"/>
        <v>54</v>
      </c>
      <c r="M56" s="17" t="s">
        <v>1346</v>
      </c>
      <c r="N56" s="34">
        <f>IF(ISBLANK(M56),"",VLOOKUP(M56,'Default Rankings'!$R$3:$T$77,3,FALSE))</f>
        <v>150</v>
      </c>
      <c r="O56" s="35">
        <f>IF(ISBLANK(M56),"",INDEX('Default Rankings'!$Q$3:$T$77,MATCH(M56,'Default Rankings'!$R$3:$R$77,0),1))</f>
        <v>64</v>
      </c>
    </row>
    <row r="57" spans="7:15" x14ac:dyDescent="0.35">
      <c r="G57" s="12">
        <f t="shared" si="1"/>
        <v>55</v>
      </c>
      <c r="H57" s="17" t="s">
        <v>1511</v>
      </c>
      <c r="I57" s="34">
        <f>IF(ISBLANK(H57),"",VLOOKUP(H57,'Default Rankings'!$M$3:$O$77,3,FALSE))</f>
        <v>144</v>
      </c>
      <c r="J57" s="35">
        <f>IF(ISBLANK(H57),"",INDEX('Default Rankings'!$L$3:$O$77,MATCH(H57,'Default Rankings'!$M$3:$M$77,0),1))</f>
        <v>55</v>
      </c>
      <c r="L57" s="12">
        <f t="shared" si="2"/>
        <v>55</v>
      </c>
      <c r="M57" s="17" t="s">
        <v>1522</v>
      </c>
      <c r="N57" s="34">
        <f>IF(ISBLANK(M57),"",VLOOKUP(M57,'Default Rankings'!$R$3:$T$77,3,FALSE))</f>
        <v>146</v>
      </c>
      <c r="O57" s="35">
        <f>IF(ISBLANK(M57),"",INDEX('Default Rankings'!$Q$3:$T$77,MATCH(M57,'Default Rankings'!$R$3:$R$77,0),1))</f>
        <v>60</v>
      </c>
    </row>
    <row r="58" spans="7:15" x14ac:dyDescent="0.35">
      <c r="G58" s="12">
        <f t="shared" si="1"/>
        <v>56</v>
      </c>
      <c r="H58" s="17" t="s">
        <v>1516</v>
      </c>
      <c r="I58" s="34">
        <f>IF(ISBLANK(H58),"",VLOOKUP(H58,'Default Rankings'!$M$3:$O$77,3,FALSE))</f>
        <v>207</v>
      </c>
      <c r="J58" s="35">
        <f>IF(ISBLANK(H58),"",INDEX('Default Rankings'!$L$3:$O$77,MATCH(H58,'Default Rankings'!$M$3:$M$77,0),1))</f>
        <v>70</v>
      </c>
      <c r="L58" s="12">
        <f t="shared" si="2"/>
        <v>56</v>
      </c>
      <c r="M58" s="17" t="s">
        <v>992</v>
      </c>
      <c r="N58" s="34">
        <f>IF(ISBLANK(M58),"",VLOOKUP(M58,'Default Rankings'!$R$3:$T$77,3,FALSE))</f>
        <v>108</v>
      </c>
      <c r="O58" s="35">
        <f>IF(ISBLANK(M58),"",INDEX('Default Rankings'!$Q$3:$T$77,MATCH(M58,'Default Rankings'!$R$3:$R$77,0),1))</f>
        <v>52</v>
      </c>
    </row>
    <row r="59" spans="7:15" x14ac:dyDescent="0.35">
      <c r="G59" s="12">
        <f t="shared" si="1"/>
        <v>57</v>
      </c>
      <c r="H59" s="17" t="s">
        <v>1527</v>
      </c>
      <c r="I59" s="34">
        <f>IF(ISBLANK(H59),"",VLOOKUP(H59,'Default Rankings'!$M$3:$O$77,3,FALSE))</f>
        <v>201</v>
      </c>
      <c r="J59" s="35">
        <f>IF(ISBLANK(H59),"",INDEX('Default Rankings'!$L$3:$O$77,MATCH(H59,'Default Rankings'!$M$3:$M$77,0),1))</f>
        <v>64</v>
      </c>
      <c r="L59" s="12">
        <f t="shared" si="2"/>
        <v>57</v>
      </c>
      <c r="M59" s="17" t="s">
        <v>898</v>
      </c>
      <c r="N59" s="34">
        <f>IF(ISBLANK(M59),"",VLOOKUP(M59,'Default Rankings'!$R$3:$T$77,3,FALSE))</f>
        <v>147</v>
      </c>
      <c r="O59" s="35">
        <f>IF(ISBLANK(M59),"",INDEX('Default Rankings'!$Q$3:$T$77,MATCH(M59,'Default Rankings'!$R$3:$R$77,0),1))</f>
        <v>61</v>
      </c>
    </row>
    <row r="60" spans="7:15" x14ac:dyDescent="0.35">
      <c r="G60" s="12">
        <f t="shared" si="1"/>
        <v>58</v>
      </c>
      <c r="H60" s="17" t="s">
        <v>1529</v>
      </c>
      <c r="I60" s="34">
        <f>IF(ISBLANK(H60),"",VLOOKUP(H60,'Default Rankings'!$M$3:$O$77,3,FALSE))</f>
        <v>200</v>
      </c>
      <c r="J60" s="35">
        <f>IF(ISBLANK(H60),"",INDEX('Default Rankings'!$L$3:$O$77,MATCH(H60,'Default Rankings'!$M$3:$M$77,0),1))</f>
        <v>63</v>
      </c>
      <c r="L60" s="12">
        <f t="shared" si="2"/>
        <v>58</v>
      </c>
      <c r="M60" s="17" t="s">
        <v>1523</v>
      </c>
      <c r="N60" s="34">
        <f>IF(ISBLANK(M60),"",VLOOKUP(M60,'Default Rankings'!$R$3:$T$77,3,FALSE))</f>
        <v>126</v>
      </c>
      <c r="O60" s="35">
        <f>IF(ISBLANK(M60),"",INDEX('Default Rankings'!$Q$3:$T$77,MATCH(M60,'Default Rankings'!$R$3:$R$77,0),1))</f>
        <v>57</v>
      </c>
    </row>
    <row r="61" spans="7:15" x14ac:dyDescent="0.35">
      <c r="G61" s="12">
        <f t="shared" si="1"/>
        <v>59</v>
      </c>
      <c r="H61" s="17" t="s">
        <v>1517</v>
      </c>
      <c r="I61" s="34">
        <f>IF(ISBLANK(H61),"",VLOOKUP(H61,'Default Rankings'!$M$3:$O$77,3,FALSE))</f>
        <v>156</v>
      </c>
      <c r="J61" s="35">
        <f>IF(ISBLANK(H61),"",INDEX('Default Rankings'!$L$3:$O$77,MATCH(H61,'Default Rankings'!$M$3:$M$77,0),1))</f>
        <v>56</v>
      </c>
      <c r="L61" s="12">
        <f t="shared" si="2"/>
        <v>59</v>
      </c>
      <c r="M61" s="17" t="s">
        <v>1305</v>
      </c>
      <c r="N61" s="34">
        <f>IF(ISBLANK(M61),"",VLOOKUP(M61,'Default Rankings'!$R$3:$T$77,3,FALSE))</f>
        <v>123</v>
      </c>
      <c r="O61" s="35">
        <f>IF(ISBLANK(M61),"",INDEX('Default Rankings'!$Q$3:$T$77,MATCH(M61,'Default Rankings'!$R$3:$R$77,0),1))</f>
        <v>54</v>
      </c>
    </row>
    <row r="62" spans="7:15" x14ac:dyDescent="0.35">
      <c r="G62" s="12">
        <f t="shared" si="1"/>
        <v>60</v>
      </c>
      <c r="H62" s="17" t="s">
        <v>1515</v>
      </c>
      <c r="I62" s="34">
        <f>IF(ISBLANK(H62),"",VLOOKUP(H62,'Default Rankings'!$M$3:$O$77,3,FALSE))</f>
        <v>161</v>
      </c>
      <c r="J62" s="35">
        <f>IF(ISBLANK(H62),"",INDEX('Default Rankings'!$L$3:$O$77,MATCH(H62,'Default Rankings'!$M$3:$M$77,0),1))</f>
        <v>61</v>
      </c>
      <c r="L62" s="12">
        <f t="shared" si="2"/>
        <v>60</v>
      </c>
      <c r="M62" s="17" t="s">
        <v>1520</v>
      </c>
      <c r="N62" s="34">
        <f>IF(ISBLANK(M62),"",VLOOKUP(M62,'Default Rankings'!$R$3:$T$77,3,FALSE))</f>
        <v>124</v>
      </c>
      <c r="O62" s="35">
        <f>IF(ISBLANK(M62),"",INDEX('Default Rankings'!$Q$3:$T$77,MATCH(M62,'Default Rankings'!$R$3:$R$77,0),1))</f>
        <v>55</v>
      </c>
    </row>
    <row r="63" spans="7:15" x14ac:dyDescent="0.35">
      <c r="G63" s="12">
        <f t="shared" si="1"/>
        <v>61</v>
      </c>
      <c r="H63" s="17" t="s">
        <v>1512</v>
      </c>
      <c r="I63" s="34">
        <f>IF(ISBLANK(H63),"",VLOOKUP(H63,'Default Rankings'!$M$3:$O$77,3,FALSE))</f>
        <v>139</v>
      </c>
      <c r="J63" s="35">
        <f>IF(ISBLANK(H63),"",INDEX('Default Rankings'!$L$3:$O$77,MATCH(H63,'Default Rankings'!$M$3:$M$77,0),1))</f>
        <v>50</v>
      </c>
      <c r="L63" s="12">
        <f t="shared" si="2"/>
        <v>61</v>
      </c>
      <c r="M63" s="17" t="s">
        <v>1306</v>
      </c>
      <c r="N63" s="34">
        <f>IF(ISBLANK(M63),"",VLOOKUP(M63,'Default Rankings'!$R$3:$T$77,3,FALSE))</f>
        <v>106</v>
      </c>
      <c r="O63" s="35">
        <f>IF(ISBLANK(M63),"",INDEX('Default Rankings'!$Q$3:$T$77,MATCH(M63,'Default Rankings'!$R$3:$R$77,0),1))</f>
        <v>50</v>
      </c>
    </row>
    <row r="64" spans="7:15" x14ac:dyDescent="0.35">
      <c r="G64" s="12">
        <f t="shared" si="1"/>
        <v>62</v>
      </c>
      <c r="H64" s="17" t="s">
        <v>1519</v>
      </c>
      <c r="I64" s="34">
        <f>IF(ISBLANK(H64),"",VLOOKUP(H64,'Default Rankings'!$M$3:$O$77,3,FALSE))</f>
        <v>159</v>
      </c>
      <c r="J64" s="35">
        <f>IF(ISBLANK(H64),"",INDEX('Default Rankings'!$L$3:$O$77,MATCH(H64,'Default Rankings'!$M$3:$M$77,0),1))</f>
        <v>59</v>
      </c>
      <c r="L64" s="12">
        <f t="shared" si="2"/>
        <v>62</v>
      </c>
      <c r="M64" s="17" t="s">
        <v>1299</v>
      </c>
      <c r="N64" s="34">
        <f>IF(ISBLANK(M64),"",VLOOKUP(M64,'Default Rankings'!$R$3:$T$77,3,FALSE))</f>
        <v>98</v>
      </c>
      <c r="O64" s="35">
        <f>IF(ISBLANK(M64),"",INDEX('Default Rankings'!$Q$3:$T$77,MATCH(M64,'Default Rankings'!$R$3:$R$77,0),1))</f>
        <v>45</v>
      </c>
    </row>
    <row r="65" spans="7:15" x14ac:dyDescent="0.35">
      <c r="G65" s="12">
        <f t="shared" si="1"/>
        <v>63</v>
      </c>
      <c r="H65" s="17"/>
      <c r="I65" s="34" t="str">
        <f>IF(ISBLANK(H65),"",VLOOKUP(H65,'Default Rankings'!$M$3:$O$77,3,FALSE))</f>
        <v/>
      </c>
      <c r="J65" s="35" t="str">
        <f>IF(ISBLANK(H65),"",INDEX('Default Rankings'!$L$3:$O$77,MATCH(H65,'Default Rankings'!$M$3:$M$77,0),1))</f>
        <v/>
      </c>
      <c r="L65" s="12">
        <f t="shared" si="2"/>
        <v>63</v>
      </c>
      <c r="M65" s="17" t="s">
        <v>998</v>
      </c>
      <c r="N65" s="34">
        <f>IF(ISBLANK(M65),"",VLOOKUP(M65,'Default Rankings'!$R$3:$T$77,3,FALSE))</f>
        <v>125</v>
      </c>
      <c r="O65" s="35">
        <f>IF(ISBLANK(M65),"",INDEX('Default Rankings'!$Q$3:$T$77,MATCH(M65,'Default Rankings'!$R$3:$R$77,0),1))</f>
        <v>56</v>
      </c>
    </row>
    <row r="66" spans="7:15" x14ac:dyDescent="0.35">
      <c r="G66" s="12">
        <f t="shared" si="1"/>
        <v>64</v>
      </c>
      <c r="H66" s="17"/>
      <c r="I66" s="34" t="str">
        <f>IF(ISBLANK(H66),"",VLOOKUP(H66,'Default Rankings'!$M$3:$O$77,3,FALSE))</f>
        <v/>
      </c>
      <c r="J66" s="35" t="str">
        <f>IF(ISBLANK(H66),"",INDEX('Default Rankings'!$L$3:$O$77,MATCH(H66,'Default Rankings'!$M$3:$M$77,0),1))</f>
        <v/>
      </c>
      <c r="L66" s="12">
        <f t="shared" si="2"/>
        <v>64</v>
      </c>
      <c r="M66" s="17"/>
      <c r="N66" s="34" t="str">
        <f>IF(ISBLANK(M66),"",VLOOKUP(M66,'Default Rankings'!$R$3:$T$77,3,FALSE))</f>
        <v/>
      </c>
      <c r="O66" s="35" t="str">
        <f>IF(ISBLANK(M66),"",INDEX('Default Rankings'!$Q$3:$T$77,MATCH(M66,'Default Rankings'!$R$3:$R$77,0),1))</f>
        <v/>
      </c>
    </row>
    <row r="67" spans="7:15" x14ac:dyDescent="0.35">
      <c r="G67" s="12">
        <f t="shared" si="1"/>
        <v>65</v>
      </c>
      <c r="H67" s="17"/>
      <c r="I67" s="34" t="str">
        <f>IF(ISBLANK(H67),"",VLOOKUP(H67,'Default Rankings'!$M$3:$O$77,3,FALSE))</f>
        <v/>
      </c>
      <c r="J67" s="35" t="str">
        <f>IF(ISBLANK(H67),"",INDEX('Default Rankings'!$L$3:$O$77,MATCH(H67,'Default Rankings'!$M$3:$M$77,0),1))</f>
        <v/>
      </c>
      <c r="L67" s="12">
        <f t="shared" si="2"/>
        <v>65</v>
      </c>
      <c r="M67" s="17"/>
      <c r="N67" s="34" t="str">
        <f>IF(ISBLANK(M67),"",VLOOKUP(M67,'Default Rankings'!$R$3:$T$77,3,FALSE))</f>
        <v/>
      </c>
      <c r="O67" s="35" t="str">
        <f>IF(ISBLANK(M67),"",INDEX('Default Rankings'!$Q$3:$T$77,MATCH(M67,'Default Rankings'!$R$3:$R$77,0),1))</f>
        <v/>
      </c>
    </row>
    <row r="68" spans="7:15" x14ac:dyDescent="0.35">
      <c r="G68" s="12">
        <f t="shared" si="1"/>
        <v>66</v>
      </c>
      <c r="H68" s="17"/>
      <c r="I68" s="34" t="str">
        <f>IF(ISBLANK(H68),"",VLOOKUP(H68,'Default Rankings'!$M$3:$O$77,3,FALSE))</f>
        <v/>
      </c>
      <c r="J68" s="35" t="str">
        <f>IF(ISBLANK(H68),"",INDEX('Default Rankings'!$L$3:$O$77,MATCH(H68,'Default Rankings'!$M$3:$M$77,0),1))</f>
        <v/>
      </c>
      <c r="L68" s="12">
        <f t="shared" si="2"/>
        <v>66</v>
      </c>
      <c r="M68" s="17"/>
      <c r="N68" s="34" t="str">
        <f>IF(ISBLANK(M68),"",VLOOKUP(M68,'Default Rankings'!$R$3:$T$77,3,FALSE))</f>
        <v/>
      </c>
      <c r="O68" s="35" t="str">
        <f>IF(ISBLANK(M68),"",INDEX('Default Rankings'!$Q$3:$T$77,MATCH(M68,'Default Rankings'!$R$3:$R$77,0),1))</f>
        <v/>
      </c>
    </row>
    <row r="69" spans="7:15" x14ac:dyDescent="0.35">
      <c r="G69" s="12">
        <f t="shared" ref="G69:G76" si="6">G68+1</f>
        <v>67</v>
      </c>
      <c r="H69" s="17"/>
      <c r="I69" s="34" t="str">
        <f>IF(ISBLANK(H69),"",VLOOKUP(H69,'Default Rankings'!$M$3:$O$77,3,FALSE))</f>
        <v/>
      </c>
      <c r="J69" s="35" t="str">
        <f>IF(ISBLANK(H69),"",INDEX('Default Rankings'!$L$3:$O$77,MATCH(H69,'Default Rankings'!$M$3:$M$77,0),1))</f>
        <v/>
      </c>
      <c r="L69" s="12">
        <f t="shared" ref="L69:L77" si="7">L68+1</f>
        <v>67</v>
      </c>
      <c r="M69" s="17"/>
      <c r="N69" s="34" t="str">
        <f>IF(ISBLANK(M69),"",VLOOKUP(M69,'Default Rankings'!$R$3:$T$77,3,FALSE))</f>
        <v/>
      </c>
      <c r="O69" s="35" t="str">
        <f>IF(ISBLANK(M69),"",INDEX('Default Rankings'!$Q$3:$T$77,MATCH(M69,'Default Rankings'!$R$3:$R$77,0),1))</f>
        <v/>
      </c>
    </row>
    <row r="70" spans="7:15" x14ac:dyDescent="0.35">
      <c r="G70" s="12">
        <f t="shared" si="6"/>
        <v>68</v>
      </c>
      <c r="H70" s="17"/>
      <c r="I70" s="34" t="str">
        <f>IF(ISBLANK(H70),"",VLOOKUP(H70,'Default Rankings'!$M$3:$O$77,3,FALSE))</f>
        <v/>
      </c>
      <c r="J70" s="35" t="str">
        <f>IF(ISBLANK(H70),"",INDEX('Default Rankings'!$L$3:$O$77,MATCH(H70,'Default Rankings'!$M$3:$M$77,0),1))</f>
        <v/>
      </c>
      <c r="L70" s="12">
        <f t="shared" si="7"/>
        <v>68</v>
      </c>
      <c r="M70" s="17"/>
      <c r="N70" s="34" t="str">
        <f>IF(ISBLANK(M70),"",VLOOKUP(M70,'Default Rankings'!$R$3:$T$77,3,FALSE))</f>
        <v/>
      </c>
      <c r="O70" s="35" t="str">
        <f>IF(ISBLANK(M70),"",INDEX('Default Rankings'!$Q$3:$T$77,MATCH(M70,'Default Rankings'!$R$3:$R$77,0),1))</f>
        <v/>
      </c>
    </row>
    <row r="71" spans="7:15" x14ac:dyDescent="0.35">
      <c r="G71" s="12">
        <f t="shared" si="6"/>
        <v>69</v>
      </c>
      <c r="H71" s="17"/>
      <c r="I71" s="34" t="str">
        <f>IF(ISBLANK(H71),"",VLOOKUP(H71,'Default Rankings'!$M$3:$O$77,3,FALSE))</f>
        <v/>
      </c>
      <c r="J71" s="35" t="str">
        <f>IF(ISBLANK(H71),"",INDEX('Default Rankings'!$L$3:$O$77,MATCH(H71,'Default Rankings'!$M$3:$M$77,0),1))</f>
        <v/>
      </c>
      <c r="L71" s="12">
        <f t="shared" si="7"/>
        <v>69</v>
      </c>
      <c r="M71" s="17"/>
      <c r="N71" s="34" t="str">
        <f>IF(ISBLANK(M71),"",VLOOKUP(M71,'Default Rankings'!$R$3:$T$77,3,FALSE))</f>
        <v/>
      </c>
      <c r="O71" s="35" t="str">
        <f>IF(ISBLANK(M71),"",INDEX('Default Rankings'!$Q$3:$T$77,MATCH(M71,'Default Rankings'!$R$3:$R$77,0),1))</f>
        <v/>
      </c>
    </row>
    <row r="72" spans="7:15" x14ac:dyDescent="0.35">
      <c r="G72" s="12">
        <f t="shared" si="6"/>
        <v>70</v>
      </c>
      <c r="H72" s="17"/>
      <c r="I72" s="34" t="str">
        <f>IF(ISBLANK(H72),"",VLOOKUP(H72,'Default Rankings'!$M$3:$O$77,3,FALSE))</f>
        <v/>
      </c>
      <c r="J72" s="35" t="str">
        <f>IF(ISBLANK(H72),"",INDEX('Default Rankings'!$L$3:$O$77,MATCH(H72,'Default Rankings'!$M$3:$M$77,0),1))</f>
        <v/>
      </c>
      <c r="L72" s="12">
        <f t="shared" si="7"/>
        <v>70</v>
      </c>
      <c r="M72" s="17"/>
      <c r="N72" s="34" t="str">
        <f>IF(ISBLANK(M72),"",VLOOKUP(M72,'Default Rankings'!$R$3:$T$77,3,FALSE))</f>
        <v/>
      </c>
      <c r="O72" s="35" t="str">
        <f>IF(ISBLANK(M72),"",INDEX('Default Rankings'!$Q$3:$T$77,MATCH(M72,'Default Rankings'!$R$3:$R$77,0),1))</f>
        <v/>
      </c>
    </row>
    <row r="73" spans="7:15" x14ac:dyDescent="0.35">
      <c r="G73" s="12">
        <f t="shared" si="6"/>
        <v>71</v>
      </c>
      <c r="H73" s="17"/>
      <c r="I73" s="34" t="str">
        <f>IF(ISBLANK(H73),"",VLOOKUP(H73,'Default Rankings'!$M$3:$O$77,3,FALSE))</f>
        <v/>
      </c>
      <c r="J73" s="35" t="str">
        <f>IF(ISBLANK(H73),"",INDEX('Default Rankings'!$L$3:$O$77,MATCH(H73,'Default Rankings'!$M$3:$M$77,0),1))</f>
        <v/>
      </c>
      <c r="L73" s="12">
        <f t="shared" si="7"/>
        <v>71</v>
      </c>
      <c r="M73" s="17"/>
      <c r="N73" s="34" t="str">
        <f>IF(ISBLANK(M73),"",VLOOKUP(M73,'Default Rankings'!$R$3:$T$77,3,FALSE))</f>
        <v/>
      </c>
      <c r="O73" s="35" t="str">
        <f>IF(ISBLANK(M73),"",INDEX('Default Rankings'!$Q$3:$T$77,MATCH(M73,'Default Rankings'!$R$3:$R$77,0),1))</f>
        <v/>
      </c>
    </row>
    <row r="74" spans="7:15" x14ac:dyDescent="0.35">
      <c r="G74" s="12">
        <f t="shared" si="6"/>
        <v>72</v>
      </c>
      <c r="H74" s="17"/>
      <c r="I74" s="34" t="str">
        <f>IF(ISBLANK(H74),"",VLOOKUP(H74,'Default Rankings'!$M$3:$O$77,3,FALSE))</f>
        <v/>
      </c>
      <c r="J74" s="35" t="str">
        <f>IF(ISBLANK(H74),"",INDEX('Default Rankings'!$L$3:$O$77,MATCH(H74,'Default Rankings'!$M$3:$M$77,0),1))</f>
        <v/>
      </c>
      <c r="L74" s="12">
        <f t="shared" si="7"/>
        <v>72</v>
      </c>
      <c r="M74" s="17"/>
      <c r="N74" s="34" t="str">
        <f>IF(ISBLANK(M74),"",VLOOKUP(M74,'Default Rankings'!$R$3:$T$77,3,FALSE))</f>
        <v/>
      </c>
      <c r="O74" s="35" t="str">
        <f>IF(ISBLANK(M74),"",INDEX('Default Rankings'!$Q$3:$T$77,MATCH(M74,'Default Rankings'!$R$3:$R$77,0),1))</f>
        <v/>
      </c>
    </row>
    <row r="75" spans="7:15" x14ac:dyDescent="0.35">
      <c r="G75" s="12">
        <f t="shared" si="6"/>
        <v>73</v>
      </c>
      <c r="H75" s="17"/>
      <c r="I75" s="34" t="str">
        <f>IF(ISBLANK(H75),"",VLOOKUP(H75,'Default Rankings'!$M$3:$O$77,3,FALSE))</f>
        <v/>
      </c>
      <c r="J75" s="35" t="str">
        <f>IF(ISBLANK(H75),"",INDEX('Default Rankings'!$L$3:$O$77,MATCH(H75,'Default Rankings'!$M$3:$M$77,0),1))</f>
        <v/>
      </c>
      <c r="L75" s="12">
        <f t="shared" si="7"/>
        <v>73</v>
      </c>
      <c r="M75" s="17"/>
      <c r="N75" s="34" t="str">
        <f>IF(ISBLANK(M75),"",VLOOKUP(M75,'Default Rankings'!$R$3:$T$77,3,FALSE))</f>
        <v/>
      </c>
      <c r="O75" s="35" t="str">
        <f>IF(ISBLANK(M75),"",INDEX('Default Rankings'!$Q$3:$T$77,MATCH(M75,'Default Rankings'!$R$3:$R$77,0),1))</f>
        <v/>
      </c>
    </row>
    <row r="76" spans="7:15" ht="15" thickBot="1" x14ac:dyDescent="0.4">
      <c r="G76" s="12">
        <f t="shared" si="6"/>
        <v>74</v>
      </c>
      <c r="H76" s="18"/>
      <c r="I76" s="34" t="str">
        <f>IF(ISBLANK(H76),"",VLOOKUP(H76,'Default Rankings'!$M$3:$O$77,3,FALSE))</f>
        <v/>
      </c>
      <c r="J76" s="35" t="str">
        <f>IF(ISBLANK(H76),"",INDEX('Default Rankings'!$L$3:$O$77,MATCH(H76,'Default Rankings'!$M$3:$M$77,0),1))</f>
        <v/>
      </c>
      <c r="L76" s="12">
        <f t="shared" si="7"/>
        <v>74</v>
      </c>
      <c r="M76" s="17"/>
      <c r="N76" s="34" t="str">
        <f>IF(ISBLANK(M76),"",VLOOKUP(M76,'Default Rankings'!$R$3:$T$77,3,FALSE))</f>
        <v/>
      </c>
      <c r="O76" s="35" t="str">
        <f>IF(ISBLANK(M76),"",INDEX('Default Rankings'!$Q$3:$T$77,MATCH(M76,'Default Rankings'!$R$3:$R$77,0),1))</f>
        <v/>
      </c>
    </row>
    <row r="77" spans="7:15" ht="15" thickBot="1" x14ac:dyDescent="0.4">
      <c r="G77" s="13">
        <f t="shared" ref="G77" si="8">G76+1</f>
        <v>75</v>
      </c>
      <c r="H77" s="18"/>
      <c r="I77" s="34" t="str">
        <f>IF(ISBLANK(H77),"",VLOOKUP(H77,'Default Rankings'!$M$3:$O$77,3,FALSE))</f>
        <v/>
      </c>
      <c r="J77" s="35" t="str">
        <f>IF(ISBLANK(H77),"",INDEX('Default Rankings'!$L$3:$O$77,MATCH(H77,'Default Rankings'!$M$3:$M$77,0),1))</f>
        <v/>
      </c>
      <c r="L77" s="13">
        <f t="shared" si="7"/>
        <v>75</v>
      </c>
      <c r="M77" s="18"/>
      <c r="N77" s="34" t="str">
        <f>IF(ISBLANK(M77),"",VLOOKUP(M77,'Default Rankings'!$R$3:$T$77,3,FALSE))</f>
        <v/>
      </c>
      <c r="O77" s="35" t="str">
        <f>IF(ISBLANK(M77),"",INDEX('Default Rankings'!$Q$3:$T$77,MATCH(M77,'Default Rankings'!$R$3:$R$77,0),1))</f>
        <v/>
      </c>
    </row>
  </sheetData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B08232CA-11D0-4F62-A3B5-FE45563E2CCE}">
          <x14:formula1>
            <xm:f>'Default Rankings'!$H$3:$H$32</xm:f>
          </x14:formula1>
          <xm:sqref>C3:C32</xm:sqref>
        </x14:dataValidation>
        <x14:dataValidation type="list" allowBlank="1" showInputMessage="1" showErrorMessage="1" xr:uid="{6BE1CCB0-9E5D-4E23-BB1F-182F96A22445}">
          <x14:formula1>
            <xm:f>'Default Rankings'!$AG$3:$AG$22</xm:f>
          </x14:formula1>
          <xm:sqref>AB3:AB22</xm:sqref>
        </x14:dataValidation>
        <x14:dataValidation type="list" allowBlank="1" showInputMessage="1" showErrorMessage="1" xr:uid="{4F32E376-4857-4AC0-B6CD-AB1EE715CB9D}">
          <x14:formula1>
            <xm:f>'Default Rankings'!$M$3:$M$77</xm:f>
          </x14:formula1>
          <xm:sqref>C43 H3:H77</xm:sqref>
        </x14:dataValidation>
        <x14:dataValidation type="list" allowBlank="1" showInputMessage="1" showErrorMessage="1" xr:uid="{D0CBB99C-9035-424D-8394-579CEA5DDFA1}">
          <x14:formula1>
            <xm:f>'Default Rankings'!$R$3:$R$77</xm:f>
          </x14:formula1>
          <xm:sqref>M3:M77</xm:sqref>
        </x14:dataValidation>
        <x14:dataValidation type="list" allowBlank="1" showInputMessage="1" showErrorMessage="1" xr:uid="{3EFB5560-E5A6-462E-83F6-87FB098C4953}">
          <x14:formula1>
            <xm:f>'Default Rankings'!$W$3:$W$32</xm:f>
          </x14:formula1>
          <xm:sqref>R3:R32</xm:sqref>
        </x14:dataValidation>
        <x14:dataValidation type="list" allowBlank="1" showInputMessage="1" showErrorMessage="1" xr:uid="{24DA7B2C-ACC1-4618-A5FE-F810DDAF0EDB}">
          <x14:formula1>
            <xm:f>'Default Rankings'!$AB$3:$AB$22</xm:f>
          </x14:formula1>
          <xm:sqref>W3:W22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8A2AAA-6C22-4802-B699-7E35D3D4A549}">
  <sheetPr codeName="Sheet5"/>
  <dimension ref="A1:BR20"/>
  <sheetViews>
    <sheetView workbookViewId="0">
      <selection activeCell="C20" sqref="C20"/>
    </sheetView>
  </sheetViews>
  <sheetFormatPr defaultRowHeight="14.5" x14ac:dyDescent="0.35"/>
  <cols>
    <col min="1" max="1" width="2.36328125" style="1" customWidth="1" collapsed="1"/>
    <col min="2" max="2" width="5.90625" style="1" bestFit="1" customWidth="1" collapsed="1"/>
    <col min="3" max="3" width="25.36328125" style="1" bestFit="1" customWidth="1" collapsed="1"/>
    <col min="4" max="4" width="3.7265625" style="1" bestFit="1" customWidth="1" collapsed="1"/>
    <col min="5" max="5" width="4.36328125" style="1" bestFit="1" customWidth="1" collapsed="1"/>
    <col min="6" max="6" width="1.36328125" style="1" bestFit="1" customWidth="1" collapsed="1"/>
    <col min="7" max="7" width="5.90625" style="1" bestFit="1" customWidth="1" collapsed="1"/>
    <col min="8" max="8" width="26" style="1" bestFit="1" customWidth="1" collapsed="1"/>
    <col min="9" max="9" width="3.7265625" style="1" bestFit="1" customWidth="1" collapsed="1"/>
    <col min="10" max="10" width="4.36328125" style="1" bestFit="1" customWidth="1" collapsed="1"/>
    <col min="11" max="11" width="1.36328125" style="1" bestFit="1" customWidth="1" collapsed="1"/>
    <col min="12" max="12" width="5.90625" style="1" bestFit="1" customWidth="1" collapsed="1"/>
    <col min="13" max="13" width="26" style="1" bestFit="1" customWidth="1" collapsed="1"/>
    <col min="14" max="14" width="3.7265625" style="1" bestFit="1" customWidth="1" collapsed="1"/>
    <col min="15" max="15" width="4.36328125" style="1" bestFit="1" customWidth="1" collapsed="1"/>
    <col min="16" max="16" width="1.36328125" style="1" bestFit="1" customWidth="1" collapsed="1"/>
    <col min="17" max="17" width="5.90625" style="1" bestFit="1" customWidth="1" collapsed="1"/>
    <col min="18" max="18" width="26" style="1" bestFit="1" customWidth="1" collapsed="1"/>
    <col min="19" max="19" width="3.7265625" style="1" bestFit="1" customWidth="1" collapsed="1"/>
    <col min="20" max="20" width="4.36328125" style="1" bestFit="1" customWidth="1" collapsed="1"/>
    <col min="21" max="21" width="1.36328125" style="1" bestFit="1" customWidth="1" collapsed="1"/>
    <col min="22" max="22" width="5.90625" style="1" bestFit="1" customWidth="1" collapsed="1"/>
    <col min="23" max="23" width="26" style="1" bestFit="1" customWidth="1" collapsed="1"/>
    <col min="24" max="24" width="3.7265625" style="1" bestFit="1" customWidth="1" collapsed="1"/>
    <col min="25" max="25" width="4.36328125" style="1" bestFit="1" customWidth="1" collapsed="1"/>
    <col min="26" max="26" width="1.36328125" style="1" bestFit="1" customWidth="1" collapsed="1"/>
    <col min="27" max="27" width="5.90625" style="1" bestFit="1" customWidth="1" collapsed="1"/>
    <col min="28" max="28" width="26" style="1" bestFit="1" customWidth="1" collapsed="1"/>
    <col min="29" max="29" width="3.7265625" style="1" bestFit="1" customWidth="1" collapsed="1"/>
    <col min="30" max="30" width="4.36328125" style="1" bestFit="1" customWidth="1" collapsed="1"/>
    <col min="31" max="31" width="1.36328125" style="1" bestFit="1" customWidth="1" collapsed="1"/>
    <col min="32" max="32" width="5.90625" style="1" bestFit="1" customWidth="1" collapsed="1"/>
    <col min="33" max="33" width="26" style="1" bestFit="1" customWidth="1" collapsed="1"/>
    <col min="34" max="34" width="3.7265625" style="1" bestFit="1" customWidth="1" collapsed="1"/>
    <col min="35" max="35" width="4.36328125" style="1" bestFit="1" customWidth="1" collapsed="1"/>
    <col min="36" max="36" width="1.36328125" style="1" bestFit="1" customWidth="1" collapsed="1"/>
    <col min="37" max="37" width="5.90625" style="1" bestFit="1" customWidth="1" collapsed="1"/>
    <col min="38" max="38" width="26" style="1" bestFit="1" customWidth="1" collapsed="1"/>
    <col min="39" max="39" width="3.7265625" style="1" bestFit="1" customWidth="1" collapsed="1"/>
    <col min="40" max="40" width="4.36328125" style="1" bestFit="1" customWidth="1" collapsed="1"/>
    <col min="41" max="41" width="1.36328125" style="1" bestFit="1" customWidth="1" collapsed="1"/>
    <col min="42" max="42" width="5.90625" style="1" bestFit="1" customWidth="1" collapsed="1"/>
    <col min="43" max="43" width="26" style="1" bestFit="1" customWidth="1" collapsed="1"/>
    <col min="44" max="44" width="3.7265625" style="1" bestFit="1" customWidth="1" collapsed="1"/>
    <col min="45" max="45" width="4.36328125" style="1" bestFit="1" customWidth="1" collapsed="1"/>
    <col min="46" max="46" width="1.36328125" style="1" bestFit="1" customWidth="1" collapsed="1"/>
    <col min="47" max="47" width="5.90625" style="1" bestFit="1" customWidth="1" collapsed="1"/>
    <col min="48" max="48" width="26" style="1" bestFit="1" customWidth="1" collapsed="1"/>
    <col min="49" max="49" width="3.7265625" style="1" bestFit="1" customWidth="1" collapsed="1"/>
    <col min="50" max="50" width="4.36328125" style="1" bestFit="1" customWidth="1" collapsed="1"/>
    <col min="51" max="51" width="1.36328125" style="1" bestFit="1" customWidth="1" collapsed="1"/>
    <col min="52" max="52" width="5.90625" style="1" bestFit="1" customWidth="1" collapsed="1"/>
    <col min="53" max="53" width="26" style="1" bestFit="1" customWidth="1" collapsed="1"/>
    <col min="54" max="54" width="3.7265625" style="1" bestFit="1" customWidth="1" collapsed="1"/>
    <col min="55" max="55" width="4.36328125" style="1" bestFit="1" customWidth="1" collapsed="1"/>
    <col min="56" max="56" width="1.36328125" style="1" bestFit="1" customWidth="1" collapsed="1"/>
    <col min="57" max="57" width="5.90625" style="1" bestFit="1" customWidth="1" collapsed="1"/>
    <col min="58" max="58" width="26" style="1" bestFit="1" customWidth="1" collapsed="1"/>
    <col min="59" max="59" width="3.7265625" style="1" bestFit="1" customWidth="1" collapsed="1"/>
    <col min="60" max="60" width="4.36328125" style="1" bestFit="1" customWidth="1" collapsed="1"/>
    <col min="61" max="61" width="1.36328125" style="1" bestFit="1" customWidth="1" collapsed="1"/>
    <col min="62" max="62" width="5.90625" style="1" bestFit="1" customWidth="1" collapsed="1"/>
    <col min="63" max="63" width="26" style="1" bestFit="1" customWidth="1" collapsed="1"/>
    <col min="64" max="64" width="3.7265625" style="1" bestFit="1" customWidth="1" collapsed="1"/>
    <col min="65" max="65" width="4.36328125" style="1" bestFit="1" customWidth="1" collapsed="1"/>
    <col min="66" max="66" width="1.36328125" style="1" bestFit="1" customWidth="1" collapsed="1"/>
    <col min="67" max="67" width="5.90625" style="1" bestFit="1" customWidth="1" collapsed="1"/>
    <col min="68" max="68" width="26" style="1" bestFit="1" customWidth="1" collapsed="1"/>
    <col min="69" max="69" width="3.7265625" style="1" bestFit="1" customWidth="1" collapsed="1"/>
    <col min="70" max="70" width="4.36328125" style="1" bestFit="1" customWidth="1" collapsed="1"/>
    <col min="71" max="16384" width="8.7265625" style="1" collapsed="1"/>
  </cols>
  <sheetData>
    <row r="1" spans="1:70" ht="8.5" customHeight="1" thickBot="1" x14ac:dyDescent="0.4">
      <c r="B1" s="26"/>
      <c r="G1" s="26"/>
      <c r="L1" s="26"/>
      <c r="Q1" s="26"/>
      <c r="V1" s="26"/>
      <c r="AA1" s="26"/>
      <c r="AZ1" s="26"/>
      <c r="BJ1" s="26"/>
    </row>
    <row r="2" spans="1:70" ht="15" thickBot="1" x14ac:dyDescent="0.4">
      <c r="A2" s="26"/>
      <c r="B2" s="28"/>
      <c r="C2" s="32" t="str">
        <f>'League Settings'!H5</f>
        <v>1st</v>
      </c>
      <c r="D2" s="46" t="s">
        <v>32</v>
      </c>
      <c r="E2" s="15" t="s">
        <v>813</v>
      </c>
      <c r="F2" s="27"/>
      <c r="G2" s="28"/>
      <c r="H2" s="32" t="str">
        <f>'League Settings'!H6</f>
        <v>2nd</v>
      </c>
      <c r="I2" s="46" t="s">
        <v>32</v>
      </c>
      <c r="J2" s="15" t="s">
        <v>813</v>
      </c>
      <c r="K2" s="27"/>
      <c r="L2" s="28"/>
      <c r="M2" s="32" t="str">
        <f>'League Settings'!H7</f>
        <v>3rd</v>
      </c>
      <c r="N2" s="46" t="s">
        <v>32</v>
      </c>
      <c r="O2" s="15" t="s">
        <v>813</v>
      </c>
      <c r="P2" s="27"/>
      <c r="Q2" s="28"/>
      <c r="R2" s="32" t="str">
        <f>'League Settings'!H8</f>
        <v>4th</v>
      </c>
      <c r="S2" s="46" t="s">
        <v>32</v>
      </c>
      <c r="T2" s="15" t="s">
        <v>813</v>
      </c>
      <c r="U2" s="27"/>
      <c r="V2" s="28"/>
      <c r="W2" s="32" t="str">
        <f>'League Settings'!H9</f>
        <v>5th</v>
      </c>
      <c r="X2" s="46" t="s">
        <v>32</v>
      </c>
      <c r="Y2" s="15" t="s">
        <v>813</v>
      </c>
      <c r="Z2" s="27"/>
      <c r="AA2" s="28"/>
      <c r="AB2" s="32" t="str">
        <f>'League Settings'!H10</f>
        <v>6th</v>
      </c>
      <c r="AC2" s="46" t="s">
        <v>32</v>
      </c>
      <c r="AD2" s="15" t="s">
        <v>813</v>
      </c>
      <c r="AF2" s="28"/>
      <c r="AG2" s="32" t="str">
        <f>'League Settings'!H11</f>
        <v>7th</v>
      </c>
      <c r="AH2" s="46" t="s">
        <v>32</v>
      </c>
      <c r="AI2" s="15" t="s">
        <v>813</v>
      </c>
      <c r="AK2" s="28"/>
      <c r="AL2" s="32" t="str">
        <f>'League Settings'!H12</f>
        <v>8th</v>
      </c>
      <c r="AM2" s="46" t="s">
        <v>32</v>
      </c>
      <c r="AN2" s="15" t="s">
        <v>813</v>
      </c>
      <c r="AP2" s="28"/>
      <c r="AQ2" s="32" t="str">
        <f>'League Settings'!H13</f>
        <v>9th</v>
      </c>
      <c r="AR2" s="46" t="s">
        <v>32</v>
      </c>
      <c r="AS2" s="15" t="s">
        <v>813</v>
      </c>
      <c r="AU2" s="28"/>
      <c r="AV2" s="32" t="str">
        <f>'League Settings'!H14</f>
        <v>10th</v>
      </c>
      <c r="AW2" s="46" t="s">
        <v>32</v>
      </c>
      <c r="AX2" s="15" t="s">
        <v>813</v>
      </c>
      <c r="AZ2" s="28"/>
      <c r="BA2" s="32" t="str">
        <f>'League Settings'!H15</f>
        <v>11th</v>
      </c>
      <c r="BB2" s="46" t="s">
        <v>32</v>
      </c>
      <c r="BC2" s="15" t="s">
        <v>813</v>
      </c>
      <c r="BE2" s="28"/>
      <c r="BF2" s="32" t="str">
        <f>'League Settings'!H16</f>
        <v>12th</v>
      </c>
      <c r="BG2" s="46" t="s">
        <v>32</v>
      </c>
      <c r="BH2" s="15" t="s">
        <v>813</v>
      </c>
      <c r="BJ2" s="28"/>
      <c r="BK2" s="32" t="str">
        <f>'League Settings'!H17</f>
        <v>13th</v>
      </c>
      <c r="BL2" s="46" t="s">
        <v>32</v>
      </c>
      <c r="BM2" s="15" t="s">
        <v>813</v>
      </c>
      <c r="BO2" s="28"/>
      <c r="BP2" s="32" t="str">
        <f>'League Settings'!H18</f>
        <v>14th</v>
      </c>
      <c r="BQ2" s="46" t="s">
        <v>32</v>
      </c>
      <c r="BR2" s="15" t="s">
        <v>813</v>
      </c>
    </row>
    <row r="3" spans="1:70" x14ac:dyDescent="0.35">
      <c r="B3" s="33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QB</v>
      </c>
      <c r="C3" s="34" t="s">
        <v>989</v>
      </c>
      <c r="D3" s="47" t="s">
        <v>3</v>
      </c>
      <c r="E3" s="44">
        <v>61</v>
      </c>
      <c r="G3" s="33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QB</v>
      </c>
      <c r="H3" s="34" t="s">
        <v>1010</v>
      </c>
      <c r="I3" s="47" t="s">
        <v>3</v>
      </c>
      <c r="J3" s="35">
        <v>22</v>
      </c>
      <c r="L3" s="33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QB</v>
      </c>
      <c r="M3" s="34" t="s">
        <v>1009</v>
      </c>
      <c r="N3" s="47" t="s">
        <v>3</v>
      </c>
      <c r="O3" s="35">
        <v>58</v>
      </c>
      <c r="Q3" s="33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QB</v>
      </c>
      <c r="R3" s="34" t="s">
        <v>859</v>
      </c>
      <c r="S3" s="47" t="s">
        <v>3</v>
      </c>
      <c r="T3" s="35">
        <v>84</v>
      </c>
      <c r="V3" s="33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QB</v>
      </c>
      <c r="W3" s="34" t="s">
        <v>1011</v>
      </c>
      <c r="X3" s="47" t="s">
        <v>3</v>
      </c>
      <c r="Y3" s="35">
        <v>75</v>
      </c>
      <c r="AA3" s="33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QB</v>
      </c>
      <c r="AB3" s="34" t="s">
        <v>863</v>
      </c>
      <c r="AC3" s="47" t="s">
        <v>3</v>
      </c>
      <c r="AD3" s="35">
        <v>86</v>
      </c>
      <c r="AF3" s="33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QB</v>
      </c>
      <c r="AG3" s="34" t="s">
        <v>815</v>
      </c>
      <c r="AH3" s="47" t="s">
        <v>3</v>
      </c>
      <c r="AI3" s="35">
        <v>33</v>
      </c>
      <c r="AK3" s="33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QB</v>
      </c>
      <c r="AL3" s="34" t="s">
        <v>817</v>
      </c>
      <c r="AM3" s="47" t="s">
        <v>3</v>
      </c>
      <c r="AN3" s="35">
        <v>54</v>
      </c>
      <c r="AP3" s="33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QB</v>
      </c>
      <c r="AQ3" s="34" t="s">
        <v>863</v>
      </c>
      <c r="AR3" s="47" t="s">
        <v>3</v>
      </c>
      <c r="AS3" s="35">
        <v>86</v>
      </c>
      <c r="AU3" s="33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QB</v>
      </c>
      <c r="AV3" s="34" t="s">
        <v>862</v>
      </c>
      <c r="AW3" s="47" t="s">
        <v>3</v>
      </c>
      <c r="AX3" s="35">
        <v>89</v>
      </c>
      <c r="AZ3" s="33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QB</v>
      </c>
      <c r="BA3" s="34"/>
      <c r="BB3" s="47"/>
      <c r="BC3" s="35"/>
      <c r="BE3" s="33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QB</v>
      </c>
      <c r="BF3" s="34"/>
      <c r="BG3" s="47"/>
      <c r="BH3" s="35"/>
      <c r="BJ3" s="33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QB</v>
      </c>
      <c r="BK3" s="34"/>
      <c r="BL3" s="47"/>
      <c r="BM3" s="35"/>
      <c r="BO3" s="33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QB</v>
      </c>
      <c r="BP3" s="34"/>
      <c r="BQ3" s="47"/>
      <c r="BR3" s="35"/>
    </row>
    <row r="4" spans="1:70" x14ac:dyDescent="0.35">
      <c r="B4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RB</v>
      </c>
      <c r="C4" s="34" t="s">
        <v>819</v>
      </c>
      <c r="D4" s="47" t="s">
        <v>4</v>
      </c>
      <c r="E4" s="44">
        <v>1</v>
      </c>
      <c r="G4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RB</v>
      </c>
      <c r="H4" s="34" t="s">
        <v>818</v>
      </c>
      <c r="I4" s="47" t="s">
        <v>4</v>
      </c>
      <c r="J4" s="35">
        <v>2</v>
      </c>
      <c r="L4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RB</v>
      </c>
      <c r="M4" s="34" t="s">
        <v>890</v>
      </c>
      <c r="N4" s="47" t="s">
        <v>4</v>
      </c>
      <c r="O4" s="35">
        <v>78</v>
      </c>
      <c r="Q4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RB</v>
      </c>
      <c r="R4" s="34" t="s">
        <v>847</v>
      </c>
      <c r="S4" s="47" t="s">
        <v>4</v>
      </c>
      <c r="T4" s="35">
        <v>4</v>
      </c>
      <c r="V4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RB</v>
      </c>
      <c r="W4" s="34" t="s">
        <v>871</v>
      </c>
      <c r="X4" s="47" t="s">
        <v>4</v>
      </c>
      <c r="Y4" s="35">
        <v>5</v>
      </c>
      <c r="AA4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RB</v>
      </c>
      <c r="AB4" s="34" t="s">
        <v>874</v>
      </c>
      <c r="AC4" s="47" t="s">
        <v>4</v>
      </c>
      <c r="AD4" s="35">
        <v>6</v>
      </c>
      <c r="AF4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RB</v>
      </c>
      <c r="AG4" s="34" t="s">
        <v>850</v>
      </c>
      <c r="AH4" s="47" t="s">
        <v>4</v>
      </c>
      <c r="AI4" s="35">
        <v>7</v>
      </c>
      <c r="AK4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RB</v>
      </c>
      <c r="AL4" s="34" t="s">
        <v>876</v>
      </c>
      <c r="AM4" s="47" t="s">
        <v>4</v>
      </c>
      <c r="AN4" s="35">
        <v>11</v>
      </c>
      <c r="AP4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RB</v>
      </c>
      <c r="AQ4" s="34" t="s">
        <v>854</v>
      </c>
      <c r="AR4" s="47" t="s">
        <v>4</v>
      </c>
      <c r="AS4" s="35">
        <v>12</v>
      </c>
      <c r="AU4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RB</v>
      </c>
      <c r="AV4" s="34" t="s">
        <v>889</v>
      </c>
      <c r="AW4" s="47" t="s">
        <v>4</v>
      </c>
      <c r="AX4" s="35">
        <v>70</v>
      </c>
      <c r="AZ4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RB</v>
      </c>
      <c r="BA4" s="34"/>
      <c r="BB4" s="47"/>
      <c r="BC4" s="35"/>
      <c r="BE4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RB</v>
      </c>
      <c r="BF4" s="34"/>
      <c r="BG4" s="47"/>
      <c r="BH4" s="35"/>
      <c r="BJ4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RB</v>
      </c>
      <c r="BK4" s="34"/>
      <c r="BL4" s="47"/>
      <c r="BM4" s="35"/>
      <c r="BO4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RB</v>
      </c>
      <c r="BP4" s="34"/>
      <c r="BQ4" s="47"/>
      <c r="BR4" s="35"/>
    </row>
    <row r="5" spans="1:70" x14ac:dyDescent="0.35">
      <c r="B5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RB</v>
      </c>
      <c r="C5" s="34" t="s">
        <v>1278</v>
      </c>
      <c r="D5" s="47" t="s">
        <v>4</v>
      </c>
      <c r="E5" s="44">
        <v>20</v>
      </c>
      <c r="G5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RB</v>
      </c>
      <c r="H5" s="34" t="s">
        <v>875</v>
      </c>
      <c r="I5" s="47" t="s">
        <v>4</v>
      </c>
      <c r="J5" s="35">
        <v>19</v>
      </c>
      <c r="L5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RB</v>
      </c>
      <c r="M5" s="34" t="s">
        <v>1284</v>
      </c>
      <c r="N5" s="47" t="s">
        <v>4</v>
      </c>
      <c r="O5" s="35">
        <v>83</v>
      </c>
      <c r="Q5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RB</v>
      </c>
      <c r="R5" s="34" t="s">
        <v>855</v>
      </c>
      <c r="S5" s="47" t="s">
        <v>4</v>
      </c>
      <c r="T5" s="35">
        <v>57</v>
      </c>
      <c r="V5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RB</v>
      </c>
      <c r="W5" s="34" t="s">
        <v>1286</v>
      </c>
      <c r="X5" s="47" t="s">
        <v>4</v>
      </c>
      <c r="Y5" s="35">
        <v>103</v>
      </c>
      <c r="AA5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RB</v>
      </c>
      <c r="AB5" s="34" t="s">
        <v>996</v>
      </c>
      <c r="AC5" s="47" t="s">
        <v>4</v>
      </c>
      <c r="AD5" s="35">
        <v>26</v>
      </c>
      <c r="AF5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RB</v>
      </c>
      <c r="AG5" s="34" t="s">
        <v>851</v>
      </c>
      <c r="AH5" s="47" t="s">
        <v>4</v>
      </c>
      <c r="AI5" s="35">
        <v>13</v>
      </c>
      <c r="AK5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RB</v>
      </c>
      <c r="AL5" s="34" t="s">
        <v>995</v>
      </c>
      <c r="AM5" s="47" t="s">
        <v>4</v>
      </c>
      <c r="AN5" s="35">
        <v>30</v>
      </c>
      <c r="AP5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RB</v>
      </c>
      <c r="AQ5" s="34" t="s">
        <v>878</v>
      </c>
      <c r="AR5" s="47" t="s">
        <v>4</v>
      </c>
      <c r="AS5" s="35">
        <v>32</v>
      </c>
      <c r="AU5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RB</v>
      </c>
      <c r="AV5" s="34" t="s">
        <v>1280</v>
      </c>
      <c r="AW5" s="47" t="s">
        <v>4</v>
      </c>
      <c r="AX5" s="35">
        <v>34</v>
      </c>
      <c r="AZ5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RB</v>
      </c>
      <c r="BA5" s="34"/>
      <c r="BB5" s="47"/>
      <c r="BC5" s="35"/>
      <c r="BE5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RB</v>
      </c>
      <c r="BF5" s="34"/>
      <c r="BG5" s="47"/>
      <c r="BH5" s="35"/>
      <c r="BJ5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RB</v>
      </c>
      <c r="BK5" s="34"/>
      <c r="BL5" s="47"/>
      <c r="BM5" s="35"/>
      <c r="BO5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RB</v>
      </c>
      <c r="BP5" s="34"/>
      <c r="BQ5" s="47"/>
      <c r="BR5" s="35"/>
    </row>
    <row r="6" spans="1:70" x14ac:dyDescent="0.35">
      <c r="B6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WR</v>
      </c>
      <c r="C6" s="34" t="s">
        <v>880</v>
      </c>
      <c r="D6" s="47" t="s">
        <v>5</v>
      </c>
      <c r="E6" s="44">
        <v>21</v>
      </c>
      <c r="G6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WR</v>
      </c>
      <c r="H6" s="34" t="s">
        <v>1295</v>
      </c>
      <c r="I6" s="47" t="s">
        <v>5</v>
      </c>
      <c r="J6" s="35">
        <v>62</v>
      </c>
      <c r="L6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WR</v>
      </c>
      <c r="M6" s="34" t="s">
        <v>852</v>
      </c>
      <c r="N6" s="47" t="s">
        <v>5</v>
      </c>
      <c r="O6" s="35">
        <v>3</v>
      </c>
      <c r="Q6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WR</v>
      </c>
      <c r="R6" s="34" t="s">
        <v>853</v>
      </c>
      <c r="S6" s="47" t="s">
        <v>5</v>
      </c>
      <c r="T6" s="35">
        <v>24</v>
      </c>
      <c r="V6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WR</v>
      </c>
      <c r="W6" s="34" t="s">
        <v>1289</v>
      </c>
      <c r="X6" s="47" t="s">
        <v>5</v>
      </c>
      <c r="Y6" s="35">
        <v>25</v>
      </c>
      <c r="AA6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WR</v>
      </c>
      <c r="AB6" s="34" t="s">
        <v>895</v>
      </c>
      <c r="AC6" s="47" t="s">
        <v>5</v>
      </c>
      <c r="AD6" s="35">
        <v>15</v>
      </c>
      <c r="AF6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WR</v>
      </c>
      <c r="AG6" s="34" t="s">
        <v>865</v>
      </c>
      <c r="AH6" s="47" t="s">
        <v>5</v>
      </c>
      <c r="AI6" s="35">
        <v>52</v>
      </c>
      <c r="AK6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WR</v>
      </c>
      <c r="AL6" s="34" t="s">
        <v>856</v>
      </c>
      <c r="AM6" s="47" t="s">
        <v>5</v>
      </c>
      <c r="AN6" s="35">
        <v>14</v>
      </c>
      <c r="AP6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WR</v>
      </c>
      <c r="AQ6" s="34" t="s">
        <v>1202</v>
      </c>
      <c r="AR6" s="47" t="s">
        <v>5</v>
      </c>
      <c r="AS6" s="35">
        <v>8</v>
      </c>
      <c r="AU6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WR</v>
      </c>
      <c r="AV6" s="34" t="s">
        <v>821</v>
      </c>
      <c r="AW6" s="47" t="s">
        <v>5</v>
      </c>
      <c r="AX6" s="35">
        <v>9</v>
      </c>
      <c r="AZ6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WR</v>
      </c>
      <c r="BA6" s="34"/>
      <c r="BB6" s="47"/>
      <c r="BC6" s="35"/>
      <c r="BE6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WR</v>
      </c>
      <c r="BF6" s="34"/>
      <c r="BG6" s="47"/>
      <c r="BH6" s="35"/>
      <c r="BJ6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WR</v>
      </c>
      <c r="BK6" s="34"/>
      <c r="BL6" s="47"/>
      <c r="BM6" s="35"/>
      <c r="BO6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WR</v>
      </c>
      <c r="BP6" s="34"/>
      <c r="BQ6" s="47"/>
      <c r="BR6" s="35"/>
    </row>
    <row r="7" spans="1:70" x14ac:dyDescent="0.35">
      <c r="B7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WR</v>
      </c>
      <c r="C7" s="34" t="s">
        <v>1291</v>
      </c>
      <c r="D7" s="47" t="s">
        <v>5</v>
      </c>
      <c r="E7" s="44">
        <v>41</v>
      </c>
      <c r="G7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WR</v>
      </c>
      <c r="H7" s="34" t="s">
        <v>1297</v>
      </c>
      <c r="I7" s="47" t="s">
        <v>5</v>
      </c>
      <c r="J7" s="35">
        <v>82</v>
      </c>
      <c r="L7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WR</v>
      </c>
      <c r="M7" s="34" t="s">
        <v>864</v>
      </c>
      <c r="N7" s="47" t="s">
        <v>5</v>
      </c>
      <c r="O7" s="35">
        <v>18</v>
      </c>
      <c r="Q7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WR</v>
      </c>
      <c r="R7" s="34" t="s">
        <v>879</v>
      </c>
      <c r="S7" s="47" t="s">
        <v>5</v>
      </c>
      <c r="T7" s="35">
        <v>37</v>
      </c>
      <c r="V7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WR</v>
      </c>
      <c r="W7" s="34" t="s">
        <v>849</v>
      </c>
      <c r="X7" s="47" t="s">
        <v>5</v>
      </c>
      <c r="Y7" s="35">
        <v>36</v>
      </c>
      <c r="AA7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WR</v>
      </c>
      <c r="AB7" s="34" t="s">
        <v>866</v>
      </c>
      <c r="AC7" s="47" t="s">
        <v>5</v>
      </c>
      <c r="AD7" s="35">
        <v>55</v>
      </c>
      <c r="AF7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WR</v>
      </c>
      <c r="AG7" s="34" t="s">
        <v>994</v>
      </c>
      <c r="AH7" s="47" t="s">
        <v>5</v>
      </c>
      <c r="AI7" s="35">
        <v>67</v>
      </c>
      <c r="AK7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WR</v>
      </c>
      <c r="AL7" s="34" t="s">
        <v>1290</v>
      </c>
      <c r="AM7" s="47" t="s">
        <v>5</v>
      </c>
      <c r="AN7" s="35">
        <v>35</v>
      </c>
      <c r="AP7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WR</v>
      </c>
      <c r="AQ7" s="34" t="s">
        <v>881</v>
      </c>
      <c r="AR7" s="47" t="s">
        <v>5</v>
      </c>
      <c r="AS7" s="35">
        <v>51</v>
      </c>
      <c r="AU7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WR</v>
      </c>
      <c r="AV7" s="34" t="s">
        <v>1288</v>
      </c>
      <c r="AW7" s="47" t="s">
        <v>5</v>
      </c>
      <c r="AX7" s="35">
        <v>10</v>
      </c>
      <c r="AZ7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WR</v>
      </c>
      <c r="BA7" s="34"/>
      <c r="BB7" s="47"/>
      <c r="BC7" s="35"/>
      <c r="BE7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WR</v>
      </c>
      <c r="BF7" s="34"/>
      <c r="BG7" s="47"/>
      <c r="BH7" s="35"/>
      <c r="BJ7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WR</v>
      </c>
      <c r="BK7" s="34"/>
      <c r="BL7" s="47"/>
      <c r="BM7" s="35"/>
      <c r="BO7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WR</v>
      </c>
      <c r="BP7" s="34"/>
      <c r="BQ7" s="47"/>
      <c r="BR7" s="35"/>
    </row>
    <row r="8" spans="1:70" x14ac:dyDescent="0.35">
      <c r="B8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TE</v>
      </c>
      <c r="C8" s="34" t="s">
        <v>822</v>
      </c>
      <c r="D8" s="47" t="s">
        <v>7</v>
      </c>
      <c r="E8" s="44">
        <v>16</v>
      </c>
      <c r="G8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TE</v>
      </c>
      <c r="H8" s="34" t="s">
        <v>1309</v>
      </c>
      <c r="I8" s="47" t="s">
        <v>7</v>
      </c>
      <c r="J8" s="35">
        <v>93</v>
      </c>
      <c r="L8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TE</v>
      </c>
      <c r="M8" s="34" t="s">
        <v>1310</v>
      </c>
      <c r="N8" s="47" t="s">
        <v>7</v>
      </c>
      <c r="O8" s="35">
        <v>101</v>
      </c>
      <c r="Q8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TE</v>
      </c>
      <c r="R8" s="34" t="s">
        <v>848</v>
      </c>
      <c r="S8" s="47" t="s">
        <v>7</v>
      </c>
      <c r="T8" s="35">
        <v>17</v>
      </c>
      <c r="V8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TE</v>
      </c>
      <c r="W8" s="34" t="s">
        <v>822</v>
      </c>
      <c r="X8" s="47" t="s">
        <v>7</v>
      </c>
      <c r="Y8" s="35">
        <v>16</v>
      </c>
      <c r="AA8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TE</v>
      </c>
      <c r="AB8" s="34" t="s">
        <v>867</v>
      </c>
      <c r="AC8" s="47" t="s">
        <v>7</v>
      </c>
      <c r="AD8" s="35">
        <v>46</v>
      </c>
      <c r="AF8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TE</v>
      </c>
      <c r="AG8" s="34" t="s">
        <v>848</v>
      </c>
      <c r="AH8" s="47" t="s">
        <v>7</v>
      </c>
      <c r="AI8" s="35">
        <v>17</v>
      </c>
      <c r="AK8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TE</v>
      </c>
      <c r="AL8" s="34" t="s">
        <v>1307</v>
      </c>
      <c r="AM8" s="47" t="s">
        <v>7</v>
      </c>
      <c r="AN8" s="35">
        <v>53</v>
      </c>
      <c r="AP8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TE</v>
      </c>
      <c r="AQ8" s="34" t="s">
        <v>1212</v>
      </c>
      <c r="AR8" s="47" t="s">
        <v>7</v>
      </c>
      <c r="AS8" s="35">
        <v>28</v>
      </c>
      <c r="AU8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TE</v>
      </c>
      <c r="AV8" s="34" t="s">
        <v>869</v>
      </c>
      <c r="AW8" s="47" t="s">
        <v>7</v>
      </c>
      <c r="AX8" s="35">
        <v>71</v>
      </c>
      <c r="AZ8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TE</v>
      </c>
      <c r="BA8" s="34"/>
      <c r="BB8" s="47"/>
      <c r="BC8" s="35"/>
      <c r="BE8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TE</v>
      </c>
      <c r="BF8" s="34"/>
      <c r="BG8" s="47"/>
      <c r="BH8" s="35"/>
      <c r="BJ8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TE</v>
      </c>
      <c r="BK8" s="34"/>
      <c r="BL8" s="47"/>
      <c r="BM8" s="35"/>
      <c r="BO8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TE</v>
      </c>
      <c r="BP8" s="34"/>
      <c r="BQ8" s="47"/>
      <c r="BR8" s="35"/>
    </row>
    <row r="9" spans="1:70" x14ac:dyDescent="0.35">
      <c r="B9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FLEX</v>
      </c>
      <c r="C9" s="34" t="s">
        <v>1281</v>
      </c>
      <c r="D9" s="47" t="s">
        <v>4</v>
      </c>
      <c r="E9" s="44">
        <v>40</v>
      </c>
      <c r="G9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FLEX</v>
      </c>
      <c r="H9" s="34" t="s">
        <v>1216</v>
      </c>
      <c r="I9" s="47" t="s">
        <v>4</v>
      </c>
      <c r="J9" s="35">
        <v>39</v>
      </c>
      <c r="L9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FLEX</v>
      </c>
      <c r="M9" s="34" t="s">
        <v>884</v>
      </c>
      <c r="N9" s="47" t="s">
        <v>5</v>
      </c>
      <c r="O9" s="35">
        <v>23</v>
      </c>
      <c r="Q9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FLEX</v>
      </c>
      <c r="R9" s="34" t="s">
        <v>896</v>
      </c>
      <c r="S9" s="47" t="s">
        <v>5</v>
      </c>
      <c r="T9" s="35">
        <v>44</v>
      </c>
      <c r="V9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FLEX</v>
      </c>
      <c r="W9" s="34" t="s">
        <v>1292</v>
      </c>
      <c r="X9" s="47" t="s">
        <v>5</v>
      </c>
      <c r="Y9" s="35">
        <v>45</v>
      </c>
      <c r="AA9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FLEX</v>
      </c>
      <c r="AB9" s="34" t="s">
        <v>1280</v>
      </c>
      <c r="AC9" s="47" t="s">
        <v>4</v>
      </c>
      <c r="AD9" s="35">
        <v>34</v>
      </c>
      <c r="AF9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FLEX</v>
      </c>
      <c r="AG9" s="34" t="s">
        <v>1279</v>
      </c>
      <c r="AH9" s="47" t="s">
        <v>4</v>
      </c>
      <c r="AI9" s="35">
        <v>27</v>
      </c>
      <c r="AK9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FLEX</v>
      </c>
      <c r="AL9" s="34" t="s">
        <v>1282</v>
      </c>
      <c r="AM9" s="47" t="s">
        <v>4</v>
      </c>
      <c r="AN9" s="35">
        <v>69</v>
      </c>
      <c r="AP9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FLEX</v>
      </c>
      <c r="AQ9" s="34" t="s">
        <v>820</v>
      </c>
      <c r="AR9" s="47" t="s">
        <v>4</v>
      </c>
      <c r="AS9" s="35">
        <v>48</v>
      </c>
      <c r="AU9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FLEX</v>
      </c>
      <c r="AV9" s="34" t="s">
        <v>897</v>
      </c>
      <c r="AW9" s="47" t="s">
        <v>5</v>
      </c>
      <c r="AX9" s="35">
        <v>29</v>
      </c>
      <c r="AZ9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FLEX</v>
      </c>
      <c r="BA9" s="34"/>
      <c r="BB9" s="47"/>
      <c r="BC9" s="35"/>
      <c r="BE9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FLEX</v>
      </c>
      <c r="BF9" s="34"/>
      <c r="BG9" s="47"/>
      <c r="BH9" s="35"/>
      <c r="BJ9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FLEX</v>
      </c>
      <c r="BK9" s="34"/>
      <c r="BL9" s="47"/>
      <c r="BM9" s="35"/>
      <c r="BO9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FLEX</v>
      </c>
      <c r="BP9" s="34"/>
      <c r="BQ9" s="47"/>
      <c r="BR9" s="35"/>
    </row>
    <row r="10" spans="1:70" x14ac:dyDescent="0.35">
      <c r="B10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DST</v>
      </c>
      <c r="C10" s="34"/>
      <c r="D10" s="47"/>
      <c r="E10" s="44"/>
      <c r="G10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DST</v>
      </c>
      <c r="H10" s="34"/>
      <c r="I10" s="47"/>
      <c r="J10" s="35"/>
      <c r="L10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DST</v>
      </c>
      <c r="M10" s="34"/>
      <c r="N10" s="47"/>
      <c r="O10" s="35"/>
      <c r="Q10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DST</v>
      </c>
      <c r="R10" s="34"/>
      <c r="S10" s="47"/>
      <c r="T10" s="35"/>
      <c r="V10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DST</v>
      </c>
      <c r="W10" s="34" t="s">
        <v>1314</v>
      </c>
      <c r="X10" s="47" t="s">
        <v>8</v>
      </c>
      <c r="Y10" s="35">
        <v>146</v>
      </c>
      <c r="AA10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DST</v>
      </c>
      <c r="AB10" s="34"/>
      <c r="AC10" s="47"/>
      <c r="AD10" s="35"/>
      <c r="AF10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DST</v>
      </c>
      <c r="AG10" s="34"/>
      <c r="AH10" s="47"/>
      <c r="AI10" s="35"/>
      <c r="AK10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DST</v>
      </c>
      <c r="AL10" s="34" t="s">
        <v>1314</v>
      </c>
      <c r="AM10" s="47" t="s">
        <v>8</v>
      </c>
      <c r="AN10" s="35">
        <v>146</v>
      </c>
      <c r="AP10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DST</v>
      </c>
      <c r="AQ10" s="34"/>
      <c r="AR10" s="47"/>
      <c r="AS10" s="35"/>
      <c r="AU10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DST</v>
      </c>
      <c r="AV10" s="34" t="s">
        <v>1315</v>
      </c>
      <c r="AW10" s="47" t="s">
        <v>8</v>
      </c>
      <c r="AX10" s="35">
        <v>147</v>
      </c>
      <c r="AZ10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DST</v>
      </c>
      <c r="BA10" s="34"/>
      <c r="BB10" s="47"/>
      <c r="BC10" s="35"/>
      <c r="BE10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DST</v>
      </c>
      <c r="BF10" s="34"/>
      <c r="BG10" s="47"/>
      <c r="BH10" s="35"/>
      <c r="BJ10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DST</v>
      </c>
      <c r="BK10" s="34"/>
      <c r="BL10" s="47"/>
      <c r="BM10" s="35"/>
      <c r="BO10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DST</v>
      </c>
      <c r="BP10" s="34"/>
      <c r="BQ10" s="47"/>
      <c r="BR10" s="35"/>
    </row>
    <row r="11" spans="1:70" x14ac:dyDescent="0.35">
      <c r="B11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K</v>
      </c>
      <c r="C11" s="34"/>
      <c r="D11" s="47"/>
      <c r="E11" s="44"/>
      <c r="G11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K</v>
      </c>
      <c r="H11" s="34"/>
      <c r="I11" s="47"/>
      <c r="J11" s="35"/>
      <c r="L11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K</v>
      </c>
      <c r="M11" s="34"/>
      <c r="N11" s="47"/>
      <c r="O11" s="35"/>
      <c r="Q11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K</v>
      </c>
      <c r="R11" s="34"/>
      <c r="S11" s="47"/>
      <c r="T11" s="35"/>
      <c r="V11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K</v>
      </c>
      <c r="W11" s="34"/>
      <c r="X11" s="47"/>
      <c r="Y11" s="35"/>
      <c r="AA11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K</v>
      </c>
      <c r="AB11" s="34"/>
      <c r="AC11" s="47"/>
      <c r="AD11" s="35"/>
      <c r="AF11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K</v>
      </c>
      <c r="AG11" s="34"/>
      <c r="AH11" s="47"/>
      <c r="AI11" s="35"/>
      <c r="AK11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K</v>
      </c>
      <c r="AL11" s="34" t="s">
        <v>823</v>
      </c>
      <c r="AM11" s="47" t="s">
        <v>9</v>
      </c>
      <c r="AN11" s="35">
        <v>173</v>
      </c>
      <c r="AP11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K</v>
      </c>
      <c r="AQ11" s="34" t="s">
        <v>823</v>
      </c>
      <c r="AR11" s="47" t="s">
        <v>9</v>
      </c>
      <c r="AS11" s="35">
        <v>173</v>
      </c>
      <c r="AU11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K</v>
      </c>
      <c r="AV11" s="34" t="s">
        <v>892</v>
      </c>
      <c r="AW11" s="47" t="s">
        <v>9</v>
      </c>
      <c r="AX11" s="35">
        <v>174</v>
      </c>
      <c r="AZ11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K</v>
      </c>
      <c r="BA11" s="34"/>
      <c r="BB11" s="47"/>
      <c r="BC11" s="35"/>
      <c r="BE11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K</v>
      </c>
      <c r="BF11" s="34"/>
      <c r="BG11" s="47"/>
      <c r="BH11" s="35"/>
      <c r="BJ11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K</v>
      </c>
      <c r="BK11" s="34"/>
      <c r="BL11" s="47"/>
      <c r="BM11" s="35"/>
      <c r="BO11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K</v>
      </c>
      <c r="BP11" s="34"/>
      <c r="BQ11" s="47"/>
      <c r="BR11" s="35"/>
    </row>
    <row r="12" spans="1:70" x14ac:dyDescent="0.35">
      <c r="B12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Bench</v>
      </c>
      <c r="C12" s="34" t="s">
        <v>888</v>
      </c>
      <c r="D12" s="47" t="s">
        <v>4</v>
      </c>
      <c r="E12" s="44">
        <v>60</v>
      </c>
      <c r="G12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Bench</v>
      </c>
      <c r="H12" s="34" t="s">
        <v>872</v>
      </c>
      <c r="I12" s="47" t="s">
        <v>4</v>
      </c>
      <c r="J12" s="35">
        <v>42</v>
      </c>
      <c r="L12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Bench</v>
      </c>
      <c r="M12" s="34" t="s">
        <v>886</v>
      </c>
      <c r="N12" s="47" t="s">
        <v>5</v>
      </c>
      <c r="O12" s="35">
        <v>38</v>
      </c>
      <c r="Q12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Bench</v>
      </c>
      <c r="R12" s="34" t="s">
        <v>990</v>
      </c>
      <c r="S12" s="47" t="s">
        <v>4</v>
      </c>
      <c r="T12" s="35">
        <v>64</v>
      </c>
      <c r="V12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Bench</v>
      </c>
      <c r="W12" s="34" t="s">
        <v>1294</v>
      </c>
      <c r="X12" s="47" t="s">
        <v>5</v>
      </c>
      <c r="Y12" s="35">
        <v>56</v>
      </c>
      <c r="AA12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Bench</v>
      </c>
      <c r="AB12" s="34" t="s">
        <v>877</v>
      </c>
      <c r="AC12" s="47" t="s">
        <v>4</v>
      </c>
      <c r="AD12" s="35">
        <v>66</v>
      </c>
      <c r="AF12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Bench</v>
      </c>
      <c r="AG12" s="34" t="s">
        <v>1218</v>
      </c>
      <c r="AH12" s="47" t="s">
        <v>4</v>
      </c>
      <c r="AI12" s="35">
        <v>47</v>
      </c>
      <c r="AK12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Bench</v>
      </c>
      <c r="AL12" s="34" t="s">
        <v>1208</v>
      </c>
      <c r="AM12" s="47" t="s">
        <v>5</v>
      </c>
      <c r="AN12" s="35">
        <v>76</v>
      </c>
      <c r="AP12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Bench</v>
      </c>
      <c r="AQ12" s="34" t="s">
        <v>868</v>
      </c>
      <c r="AR12" s="47" t="s">
        <v>7</v>
      </c>
      <c r="AS12" s="35">
        <v>68</v>
      </c>
      <c r="AU12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Bench</v>
      </c>
      <c r="AV12" s="34" t="s">
        <v>1203</v>
      </c>
      <c r="AW12" s="47" t="s">
        <v>5</v>
      </c>
      <c r="AX12" s="35">
        <v>31</v>
      </c>
      <c r="AZ12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Bench</v>
      </c>
      <c r="BA12" s="34"/>
      <c r="BB12" s="47"/>
      <c r="BC12" s="35"/>
      <c r="BE12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Bench</v>
      </c>
      <c r="BF12" s="34"/>
      <c r="BG12" s="47"/>
      <c r="BH12" s="35"/>
      <c r="BJ12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Bench</v>
      </c>
      <c r="BK12" s="34"/>
      <c r="BL12" s="47"/>
      <c r="BM12" s="35"/>
      <c r="BO12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Bench</v>
      </c>
      <c r="BP12" s="34"/>
      <c r="BQ12" s="47"/>
      <c r="BR12" s="35"/>
    </row>
    <row r="13" spans="1:70" x14ac:dyDescent="0.35">
      <c r="B13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Bench</v>
      </c>
      <c r="C13" s="34" t="s">
        <v>997</v>
      </c>
      <c r="D13" s="47" t="s">
        <v>5</v>
      </c>
      <c r="E13" s="44">
        <v>80</v>
      </c>
      <c r="G13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Bench</v>
      </c>
      <c r="H13" s="34" t="s">
        <v>860</v>
      </c>
      <c r="I13" s="47" t="s">
        <v>3</v>
      </c>
      <c r="J13" s="35">
        <v>59</v>
      </c>
      <c r="L13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Bench</v>
      </c>
      <c r="M13" s="34" t="s">
        <v>991</v>
      </c>
      <c r="N13" s="47" t="s">
        <v>5</v>
      </c>
      <c r="O13" s="35">
        <v>43</v>
      </c>
      <c r="Q13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Bench</v>
      </c>
      <c r="R13" s="34" t="s">
        <v>993</v>
      </c>
      <c r="S13" s="47" t="s">
        <v>5</v>
      </c>
      <c r="T13" s="35">
        <v>77</v>
      </c>
      <c r="V13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Bench</v>
      </c>
      <c r="W13" s="34" t="s">
        <v>885</v>
      </c>
      <c r="X13" s="47" t="s">
        <v>5</v>
      </c>
      <c r="Y13" s="35">
        <v>65</v>
      </c>
      <c r="AA13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Bench</v>
      </c>
      <c r="AB13" s="34" t="s">
        <v>1308</v>
      </c>
      <c r="AC13" s="47" t="s">
        <v>7</v>
      </c>
      <c r="AD13" s="35">
        <v>74</v>
      </c>
      <c r="AF13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Bench</v>
      </c>
      <c r="AG13" s="34" t="s">
        <v>1283</v>
      </c>
      <c r="AH13" s="47" t="s">
        <v>4</v>
      </c>
      <c r="AI13" s="35">
        <v>73</v>
      </c>
      <c r="AK13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Bench</v>
      </c>
      <c r="AL13" s="34" t="s">
        <v>891</v>
      </c>
      <c r="AM13" s="47" t="s">
        <v>4</v>
      </c>
      <c r="AN13" s="35">
        <v>108</v>
      </c>
      <c r="AP13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Bench</v>
      </c>
      <c r="AQ13" s="34" t="s">
        <v>1296</v>
      </c>
      <c r="AR13" s="47" t="s">
        <v>5</v>
      </c>
      <c r="AS13" s="35">
        <v>72</v>
      </c>
      <c r="AU13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Bench</v>
      </c>
      <c r="AV13" s="34" t="s">
        <v>883</v>
      </c>
      <c r="AW13" s="47" t="s">
        <v>5</v>
      </c>
      <c r="AX13" s="35">
        <v>49</v>
      </c>
      <c r="AZ13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Bench</v>
      </c>
      <c r="BA13" s="34"/>
      <c r="BB13" s="47"/>
      <c r="BC13" s="35"/>
      <c r="BE13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Bench</v>
      </c>
      <c r="BF13" s="34"/>
      <c r="BG13" s="47"/>
      <c r="BH13" s="35"/>
      <c r="BJ13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Bench</v>
      </c>
      <c r="BK13" s="34"/>
      <c r="BL13" s="47"/>
      <c r="BM13" s="35"/>
      <c r="BO13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Bench</v>
      </c>
      <c r="BP13" s="34"/>
      <c r="BQ13" s="47"/>
      <c r="BR13" s="35"/>
    </row>
    <row r="14" spans="1:70" x14ac:dyDescent="0.35">
      <c r="B14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Bench</v>
      </c>
      <c r="C14" s="34" t="s">
        <v>992</v>
      </c>
      <c r="D14" s="47" t="s">
        <v>5</v>
      </c>
      <c r="E14" s="44">
        <v>81</v>
      </c>
      <c r="G14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Bench</v>
      </c>
      <c r="H14" s="34" t="s">
        <v>873</v>
      </c>
      <c r="I14" s="47" t="s">
        <v>4</v>
      </c>
      <c r="J14" s="35">
        <v>79</v>
      </c>
      <c r="L14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Bench</v>
      </c>
      <c r="M14" s="34" t="s">
        <v>1206</v>
      </c>
      <c r="N14" s="47" t="s">
        <v>5</v>
      </c>
      <c r="O14" s="35">
        <v>63</v>
      </c>
      <c r="Q14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Bench</v>
      </c>
      <c r="R14" s="34" t="s">
        <v>887</v>
      </c>
      <c r="S14" s="47" t="s">
        <v>5</v>
      </c>
      <c r="T14" s="35">
        <v>95</v>
      </c>
      <c r="V14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Bench</v>
      </c>
      <c r="W14" s="34" t="s">
        <v>1298</v>
      </c>
      <c r="X14" s="47" t="s">
        <v>5</v>
      </c>
      <c r="Y14" s="35">
        <v>85</v>
      </c>
      <c r="AA14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Bench</v>
      </c>
      <c r="AB14" s="34" t="s">
        <v>1309</v>
      </c>
      <c r="AC14" s="47" t="s">
        <v>7</v>
      </c>
      <c r="AD14" s="35">
        <v>93</v>
      </c>
      <c r="AF14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Bench</v>
      </c>
      <c r="AG14" s="34" t="s">
        <v>1299</v>
      </c>
      <c r="AH14" s="47" t="s">
        <v>5</v>
      </c>
      <c r="AI14" s="35">
        <v>87</v>
      </c>
      <c r="AK14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Bench</v>
      </c>
      <c r="AL14" s="34"/>
      <c r="AM14" s="47"/>
      <c r="AN14" s="35"/>
      <c r="AP14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Bench</v>
      </c>
      <c r="AQ14" s="34" t="s">
        <v>870</v>
      </c>
      <c r="AR14" s="47" t="s">
        <v>7</v>
      </c>
      <c r="AS14" s="35">
        <v>88</v>
      </c>
      <c r="AU14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Bench</v>
      </c>
      <c r="AV14" s="34" t="s">
        <v>1293</v>
      </c>
      <c r="AW14" s="47" t="s">
        <v>5</v>
      </c>
      <c r="AX14" s="35">
        <v>50</v>
      </c>
      <c r="AZ14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Bench</v>
      </c>
      <c r="BA14" s="34"/>
      <c r="BB14" s="47"/>
      <c r="BC14" s="35"/>
      <c r="BE14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Bench</v>
      </c>
      <c r="BF14" s="34"/>
      <c r="BG14" s="47"/>
      <c r="BH14" s="35"/>
      <c r="BJ14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Bench</v>
      </c>
      <c r="BK14" s="34"/>
      <c r="BL14" s="47"/>
      <c r="BM14" s="35"/>
      <c r="BO14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Bench</v>
      </c>
      <c r="BP14" s="34"/>
      <c r="BQ14" s="47"/>
      <c r="BR14" s="35"/>
    </row>
    <row r="15" spans="1:70" x14ac:dyDescent="0.35">
      <c r="B15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Bench</v>
      </c>
      <c r="C15" s="34" t="s">
        <v>900</v>
      </c>
      <c r="D15" s="47" t="s">
        <v>4</v>
      </c>
      <c r="E15" s="44">
        <v>98</v>
      </c>
      <c r="G15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Bench</v>
      </c>
      <c r="H15" s="34" t="s">
        <v>1205</v>
      </c>
      <c r="I15" s="47" t="s">
        <v>5</v>
      </c>
      <c r="J15" s="35">
        <v>97</v>
      </c>
      <c r="L15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Bench</v>
      </c>
      <c r="M15" s="34" t="s">
        <v>899</v>
      </c>
      <c r="N15" s="47" t="s">
        <v>4</v>
      </c>
      <c r="O15" s="35">
        <v>96</v>
      </c>
      <c r="Q15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Bench</v>
      </c>
      <c r="R15" s="34" t="s">
        <v>1302</v>
      </c>
      <c r="S15" s="47" t="s">
        <v>5</v>
      </c>
      <c r="T15" s="35">
        <v>102</v>
      </c>
      <c r="V15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Bench</v>
      </c>
      <c r="W15" s="34" t="s">
        <v>1204</v>
      </c>
      <c r="X15" s="47" t="s">
        <v>5</v>
      </c>
      <c r="Y15" s="35">
        <v>94</v>
      </c>
      <c r="AA15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Bench</v>
      </c>
      <c r="AB15" s="34" t="s">
        <v>1287</v>
      </c>
      <c r="AC15" s="47" t="s">
        <v>4</v>
      </c>
      <c r="AD15" s="35">
        <v>104</v>
      </c>
      <c r="AF15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Bench</v>
      </c>
      <c r="AG15" s="34" t="s">
        <v>1300</v>
      </c>
      <c r="AH15" s="47" t="s">
        <v>5</v>
      </c>
      <c r="AI15" s="35">
        <v>92</v>
      </c>
      <c r="AK15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Bench</v>
      </c>
      <c r="AL15" s="34"/>
      <c r="AM15" s="47"/>
      <c r="AN15" s="35"/>
      <c r="AP15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Bench</v>
      </c>
      <c r="AQ15" s="34" t="s">
        <v>1285</v>
      </c>
      <c r="AR15" s="47" t="s">
        <v>4</v>
      </c>
      <c r="AS15" s="35">
        <v>91</v>
      </c>
      <c r="AU15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Bench</v>
      </c>
      <c r="AV15" s="34" t="s">
        <v>986</v>
      </c>
      <c r="AW15" s="47" t="s">
        <v>3</v>
      </c>
      <c r="AX15" s="35">
        <v>90</v>
      </c>
      <c r="AZ15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Bench</v>
      </c>
      <c r="BA15" s="34"/>
      <c r="BB15" s="47"/>
      <c r="BC15" s="35"/>
      <c r="BE15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Bench</v>
      </c>
      <c r="BF15" s="34"/>
      <c r="BG15" s="47"/>
      <c r="BH15" s="35"/>
      <c r="BJ15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Bench</v>
      </c>
      <c r="BK15" s="34"/>
      <c r="BL15" s="47"/>
      <c r="BM15" s="35"/>
      <c r="BO15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Bench</v>
      </c>
      <c r="BP15" s="34"/>
      <c r="BQ15" s="47"/>
      <c r="BR15" s="35"/>
    </row>
    <row r="16" spans="1:70" x14ac:dyDescent="0.35">
      <c r="B16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Bench</v>
      </c>
      <c r="C16" s="34" t="s">
        <v>1301</v>
      </c>
      <c r="D16" s="47" t="s">
        <v>5</v>
      </c>
      <c r="E16" s="44">
        <v>99</v>
      </c>
      <c r="G16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Bench</v>
      </c>
      <c r="H16" s="34" t="s">
        <v>1012</v>
      </c>
      <c r="I16" s="47" t="s">
        <v>3</v>
      </c>
      <c r="J16" s="35">
        <v>100</v>
      </c>
      <c r="L16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Bench</v>
      </c>
      <c r="M16" s="34"/>
      <c r="N16" s="47"/>
      <c r="O16" s="35"/>
      <c r="Q16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Bench</v>
      </c>
      <c r="R16" s="34"/>
      <c r="S16" s="47"/>
      <c r="T16" s="35"/>
      <c r="V16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Bench</v>
      </c>
      <c r="W16" s="34"/>
      <c r="X16" s="47"/>
      <c r="Y16" s="35"/>
      <c r="AA16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Bench</v>
      </c>
      <c r="AB16" s="34"/>
      <c r="AC16" s="47"/>
      <c r="AD16" s="35"/>
      <c r="AF16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Bench</v>
      </c>
      <c r="AG16" s="34" t="s">
        <v>882</v>
      </c>
      <c r="AH16" s="47" t="s">
        <v>5</v>
      </c>
      <c r="AI16" s="35">
        <v>105</v>
      </c>
      <c r="AK16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Bench</v>
      </c>
      <c r="AL16" s="34"/>
      <c r="AM16" s="47"/>
      <c r="AN16" s="35"/>
      <c r="AP16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Bench</v>
      </c>
      <c r="AQ16" s="34"/>
      <c r="AR16" s="47"/>
      <c r="AS16" s="35"/>
      <c r="AU16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Bench</v>
      </c>
      <c r="AV16" s="34"/>
      <c r="AW16" s="47"/>
      <c r="AX16" s="35"/>
      <c r="AZ16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Bench</v>
      </c>
      <c r="BA16" s="34"/>
      <c r="BB16" s="47"/>
      <c r="BC16" s="35"/>
      <c r="BE16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Bench</v>
      </c>
      <c r="BF16" s="34"/>
      <c r="BG16" s="47"/>
      <c r="BH16" s="35"/>
      <c r="BJ16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Bench</v>
      </c>
      <c r="BK16" s="34"/>
      <c r="BL16" s="47"/>
      <c r="BM16" s="35"/>
      <c r="BO16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Bench</v>
      </c>
      <c r="BP16" s="34"/>
      <c r="BQ16" s="47"/>
      <c r="BR16" s="35"/>
    </row>
    <row r="17" spans="2:70" x14ac:dyDescent="0.35">
      <c r="B17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Bench</v>
      </c>
      <c r="C17" s="34"/>
      <c r="D17" s="47"/>
      <c r="E17" s="44"/>
      <c r="G17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Bench</v>
      </c>
      <c r="H17" s="34"/>
      <c r="I17" s="47"/>
      <c r="J17" s="35"/>
      <c r="L17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Bench</v>
      </c>
      <c r="M17" s="34"/>
      <c r="N17" s="47"/>
      <c r="O17" s="35"/>
      <c r="Q17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Bench</v>
      </c>
      <c r="R17" s="34"/>
      <c r="S17" s="47"/>
      <c r="T17" s="35"/>
      <c r="V17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Bench</v>
      </c>
      <c r="W17" s="34"/>
      <c r="X17" s="47"/>
      <c r="Y17" s="35"/>
      <c r="AA17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Bench</v>
      </c>
      <c r="AB17" s="34"/>
      <c r="AC17" s="47"/>
      <c r="AD17" s="35"/>
      <c r="AF17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Bench</v>
      </c>
      <c r="AG17" s="34"/>
      <c r="AH17" s="47"/>
      <c r="AI17" s="35"/>
      <c r="AK17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Bench</v>
      </c>
      <c r="AL17" s="34"/>
      <c r="AM17" s="47"/>
      <c r="AN17" s="35"/>
      <c r="AP17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Bench</v>
      </c>
      <c r="AQ17" s="34"/>
      <c r="AR17" s="47"/>
      <c r="AS17" s="35"/>
      <c r="AU17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Bench</v>
      </c>
      <c r="AV17" s="34"/>
      <c r="AW17" s="47"/>
      <c r="AX17" s="35"/>
      <c r="AZ17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Bench</v>
      </c>
      <c r="BA17" s="34"/>
      <c r="BB17" s="47"/>
      <c r="BC17" s="35"/>
      <c r="BE17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Bench</v>
      </c>
      <c r="BF17" s="34"/>
      <c r="BG17" s="47"/>
      <c r="BH17" s="35"/>
      <c r="BJ17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Bench</v>
      </c>
      <c r="BK17" s="34"/>
      <c r="BL17" s="47"/>
      <c r="BM17" s="35"/>
      <c r="BO17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Bench</v>
      </c>
      <c r="BP17" s="34"/>
      <c r="BQ17" s="47"/>
      <c r="BR17" s="35"/>
    </row>
    <row r="18" spans="2:70" x14ac:dyDescent="0.35">
      <c r="B18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Bench</v>
      </c>
      <c r="C18" s="34"/>
      <c r="D18" s="47"/>
      <c r="E18" s="44"/>
      <c r="G18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Bench</v>
      </c>
      <c r="H18" s="34"/>
      <c r="I18" s="47"/>
      <c r="J18" s="35"/>
      <c r="L18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Bench</v>
      </c>
      <c r="M18" s="34"/>
      <c r="N18" s="47"/>
      <c r="O18" s="35"/>
      <c r="Q18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Bench</v>
      </c>
      <c r="R18" s="34"/>
      <c r="S18" s="47"/>
      <c r="T18" s="35"/>
      <c r="V18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Bench</v>
      </c>
      <c r="W18" s="34"/>
      <c r="X18" s="47"/>
      <c r="Y18" s="35"/>
      <c r="AA18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Bench</v>
      </c>
      <c r="AB18" s="34"/>
      <c r="AC18" s="47"/>
      <c r="AD18" s="35"/>
      <c r="AF18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Bench</v>
      </c>
      <c r="AG18" s="34"/>
      <c r="AH18" s="47"/>
      <c r="AI18" s="35"/>
      <c r="AK18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Bench</v>
      </c>
      <c r="AL18" s="34"/>
      <c r="AM18" s="47"/>
      <c r="AN18" s="35"/>
      <c r="AP18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Bench</v>
      </c>
      <c r="AQ18" s="34"/>
      <c r="AR18" s="47"/>
      <c r="AS18" s="35"/>
      <c r="AU18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Bench</v>
      </c>
      <c r="AV18" s="34"/>
      <c r="AW18" s="47"/>
      <c r="AX18" s="35"/>
      <c r="AZ18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Bench</v>
      </c>
      <c r="BA18" s="34"/>
      <c r="BB18" s="47"/>
      <c r="BC18" s="35"/>
      <c r="BE18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Bench</v>
      </c>
      <c r="BF18" s="34"/>
      <c r="BG18" s="47"/>
      <c r="BH18" s="35"/>
      <c r="BJ18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Bench</v>
      </c>
      <c r="BK18" s="34"/>
      <c r="BL18" s="47"/>
      <c r="BM18" s="35"/>
      <c r="BO18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>Bench</v>
      </c>
      <c r="BP18" s="34"/>
      <c r="BQ18" s="47"/>
      <c r="BR18" s="35"/>
    </row>
    <row r="19" spans="2:70" x14ac:dyDescent="0.35">
      <c r="B19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 xml:space="preserve"> </v>
      </c>
      <c r="C19" s="34"/>
      <c r="D19" s="47"/>
      <c r="E19" s="44"/>
      <c r="G19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 xml:space="preserve"> </v>
      </c>
      <c r="H19" s="34"/>
      <c r="I19" s="47"/>
      <c r="J19" s="35"/>
      <c r="L19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 xml:space="preserve"> </v>
      </c>
      <c r="M19" s="34"/>
      <c r="N19" s="47"/>
      <c r="O19" s="35"/>
      <c r="Q19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 xml:space="preserve"> </v>
      </c>
      <c r="R19" s="34"/>
      <c r="S19" s="47"/>
      <c r="T19" s="35"/>
      <c r="V19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 xml:space="preserve"> </v>
      </c>
      <c r="W19" s="34"/>
      <c r="X19" s="47"/>
      <c r="Y19" s="35"/>
      <c r="AA19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 xml:space="preserve"> </v>
      </c>
      <c r="AB19" s="34"/>
      <c r="AC19" s="47"/>
      <c r="AD19" s="35"/>
      <c r="AF19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 xml:space="preserve"> </v>
      </c>
      <c r="AG19" s="34"/>
      <c r="AH19" s="47"/>
      <c r="AI19" s="35"/>
      <c r="AK19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 xml:space="preserve"> </v>
      </c>
      <c r="AL19" s="34"/>
      <c r="AM19" s="47"/>
      <c r="AN19" s="35"/>
      <c r="AP19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 xml:space="preserve"> </v>
      </c>
      <c r="AQ19" s="34"/>
      <c r="AR19" s="47"/>
      <c r="AS19" s="35"/>
      <c r="AU19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 xml:space="preserve"> </v>
      </c>
      <c r="AV19" s="34"/>
      <c r="AW19" s="47"/>
      <c r="AX19" s="35"/>
      <c r="AZ19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 xml:space="preserve"> </v>
      </c>
      <c r="BA19" s="34"/>
      <c r="BB19" s="47"/>
      <c r="BC19" s="35"/>
      <c r="BE19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 xml:space="preserve"> </v>
      </c>
      <c r="BF19" s="34"/>
      <c r="BG19" s="47"/>
      <c r="BH19" s="35"/>
      <c r="BJ19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 xml:space="preserve"> </v>
      </c>
      <c r="BK19" s="34"/>
      <c r="BL19" s="47"/>
      <c r="BM19" s="35"/>
      <c r="BO19" s="12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 xml:space="preserve"> </v>
      </c>
      <c r="BP19" s="34"/>
      <c r="BQ19" s="47"/>
      <c r="BR19" s="35"/>
    </row>
    <row r="20" spans="2:70" ht="15" thickBot="1" x14ac:dyDescent="0.4">
      <c r="B20" s="13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 xml:space="preserve"> </v>
      </c>
      <c r="C20" s="36"/>
      <c r="D20" s="48"/>
      <c r="E20" s="45"/>
      <c r="G20" s="13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 xml:space="preserve"> </v>
      </c>
      <c r="H20" s="36"/>
      <c r="I20" s="48"/>
      <c r="J20" s="37"/>
      <c r="L20" s="13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 xml:space="preserve"> </v>
      </c>
      <c r="M20" s="36"/>
      <c r="N20" s="48"/>
      <c r="O20" s="37"/>
      <c r="Q20" s="13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 xml:space="preserve"> </v>
      </c>
      <c r="R20" s="36"/>
      <c r="S20" s="48"/>
      <c r="T20" s="37"/>
      <c r="V20" s="13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 xml:space="preserve"> </v>
      </c>
      <c r="W20" s="36"/>
      <c r="X20" s="48"/>
      <c r="Y20" s="37"/>
      <c r="AA20" s="13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 xml:space="preserve"> </v>
      </c>
      <c r="AB20" s="36"/>
      <c r="AC20" s="48"/>
      <c r="AD20" s="37"/>
      <c r="AF20" s="13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 xml:space="preserve"> </v>
      </c>
      <c r="AG20" s="36"/>
      <c r="AH20" s="48"/>
      <c r="AI20" s="37"/>
      <c r="AK20" s="13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 xml:space="preserve"> </v>
      </c>
      <c r="AL20" s="36"/>
      <c r="AM20" s="48"/>
      <c r="AN20" s="37"/>
      <c r="AP20" s="13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 xml:space="preserve"> </v>
      </c>
      <c r="AQ20" s="36"/>
      <c r="AR20" s="48"/>
      <c r="AS20" s="37"/>
      <c r="AU20" s="13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 xml:space="preserve"> </v>
      </c>
      <c r="AV20" s="36"/>
      <c r="AW20" s="48"/>
      <c r="AX20" s="37"/>
      <c r="AZ20" s="13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 xml:space="preserve"> </v>
      </c>
      <c r="BA20" s="36"/>
      <c r="BB20" s="48"/>
      <c r="BC20" s="37"/>
      <c r="BE20" s="13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 xml:space="preserve"> </v>
      </c>
      <c r="BF20" s="36"/>
      <c r="BG20" s="48"/>
      <c r="BH20" s="37"/>
      <c r="BJ20" s="13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 xml:space="preserve"> </v>
      </c>
      <c r="BK20" s="36"/>
      <c r="BL20" s="48"/>
      <c r="BM20" s="37"/>
      <c r="BO20" s="13" t="str">
        <f>IF(ROW()-2&lt;=SUM('League Settings'!$F$4:'League Settings'!$F$4),'League Settings'!$E$4,IF(AND(ROW()-2&lt;=SUM('League Settings'!$F$4:'League Settings'!$F$5),ROW()-2&gt;SUM('League Settings'!$F$4:'League Settings'!$F$4)),'League Settings'!$E$5,IF(AND(ROW()-2&lt;=SUM('League Settings'!$F$4:'League Settings'!$F$6),ROW()-2&gt;SUM('League Settings'!$F$4:'League Settings'!$F$5)),'League Settings'!$E$6,IF(AND(ROW()-2&lt;=SUM('League Settings'!$F$4:'League Settings'!$F$7),ROW()-2&gt;SUM('League Settings'!$F$4:'League Settings'!$F$6)),'League Settings'!$E$7,IF(AND(ROW()-2&lt;=SUM('League Settings'!$F$4:'League Settings'!$F$8),ROW()-2&gt;SUM('League Settings'!$F$4:'League Settings'!$F$7)),'League Settings'!$E$8,IF(AND(ROW()-2&lt;=SUM('League Settings'!$F$4:'League Settings'!$F$9),ROW()-2&gt;SUM('League Settings'!$F$4:'League Settings'!$F$8)),'League Settings'!$E$9,IF(AND(ROW()-2&lt;=SUM('League Settings'!$F$4:'League Settings'!$F$10),ROW()-2&gt;SUM('League Settings'!$F$4:'League Settings'!$F$9)),'League Settings'!$E$10,IF(AND(ROW()-2&lt;=SUM('League Settings'!$F$4:'League Settings'!$F$11),ROW()-2&gt;SUM('League Settings'!$F$4:'League Settings'!$F$10)),'League Settings'!$E$11," "))))))))</f>
        <v xml:space="preserve"> </v>
      </c>
      <c r="BP20" s="36"/>
      <c r="BQ20" s="48"/>
      <c r="BR20" s="37"/>
    </row>
  </sheetData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3" id="{33D5144D-688E-45AD-8915-07437CDC144E}">
            <xm:f>1&gt;'League Settings'!$I$2</xm:f>
            <x14:dxf>
              <font>
                <color theme="0"/>
              </font>
              <fill>
                <patternFill patternType="none">
                  <bgColor auto="1"/>
                </patternFill>
              </fill>
              <border>
                <left/>
                <right/>
                <top/>
                <bottom/>
                <vertical/>
                <horizontal/>
              </border>
            </x14:dxf>
          </x14:cfRule>
          <xm:sqref>B2:E20</xm:sqref>
        </x14:conditionalFormatting>
        <x14:conditionalFormatting xmlns:xm="http://schemas.microsoft.com/office/excel/2006/main">
          <x14:cfRule type="expression" priority="52" id="{F6B9E166-60CC-473E-B1A6-711C419CA529}">
            <xm:f>ISBLANK('League Settings'!$H$5)</xm:f>
            <x14:dxf>
              <font>
                <color theme="0"/>
              </font>
              <fill>
                <patternFill patternType="none">
                  <bgColor auto="1"/>
                </patternFill>
              </fill>
              <border>
                <left/>
                <right/>
                <top/>
                <bottom/>
                <vertical/>
                <horizontal/>
              </border>
            </x14:dxf>
          </x14:cfRule>
          <xm:sqref>G3:G20</xm:sqref>
        </x14:conditionalFormatting>
        <x14:conditionalFormatting xmlns:xm="http://schemas.microsoft.com/office/excel/2006/main">
          <x14:cfRule type="expression" priority="51" id="{68BCCB13-B072-4112-82F9-01F55C9F3F3F}">
            <xm:f>ISBLANK('League Settings'!$H$5)</xm:f>
            <x14:dxf>
              <font>
                <color theme="0"/>
              </font>
              <fill>
                <patternFill patternType="none">
                  <bgColor auto="1"/>
                </patternFill>
              </fill>
              <border>
                <left/>
                <right/>
                <top/>
                <bottom/>
                <vertical/>
                <horizontal/>
              </border>
            </x14:dxf>
          </x14:cfRule>
          <xm:sqref>L3:L20</xm:sqref>
        </x14:conditionalFormatting>
        <x14:conditionalFormatting xmlns:xm="http://schemas.microsoft.com/office/excel/2006/main">
          <x14:cfRule type="expression" priority="50" id="{E08108F5-A5B4-420B-A615-452C41EB2EE8}">
            <xm:f>ISBLANK('League Settings'!$H$5)</xm:f>
            <x14:dxf>
              <font>
                <color theme="0"/>
              </font>
              <fill>
                <patternFill patternType="none">
                  <bgColor auto="1"/>
                </patternFill>
              </fill>
              <border>
                <left/>
                <right/>
                <top/>
                <bottom/>
                <vertical/>
                <horizontal/>
              </border>
            </x14:dxf>
          </x14:cfRule>
          <xm:sqref>Q3:Q20</xm:sqref>
        </x14:conditionalFormatting>
        <x14:conditionalFormatting xmlns:xm="http://schemas.microsoft.com/office/excel/2006/main">
          <x14:cfRule type="expression" priority="49" id="{DE570C4E-0C7D-44F8-9D64-7441BE7E7D53}">
            <xm:f>ISBLANK('League Settings'!$H$5)</xm:f>
            <x14:dxf>
              <font>
                <color theme="0"/>
              </font>
              <fill>
                <patternFill patternType="none">
                  <bgColor auto="1"/>
                </patternFill>
              </fill>
              <border>
                <left/>
                <right/>
                <top/>
                <bottom/>
                <vertical/>
                <horizontal/>
              </border>
            </x14:dxf>
          </x14:cfRule>
          <xm:sqref>V3:V20</xm:sqref>
        </x14:conditionalFormatting>
        <x14:conditionalFormatting xmlns:xm="http://schemas.microsoft.com/office/excel/2006/main">
          <x14:cfRule type="expression" priority="48" id="{7A7C6B30-7F0C-4F76-BA0C-CF972A91DD51}">
            <xm:f>ISBLANK('League Settings'!$H$5)</xm:f>
            <x14:dxf>
              <font>
                <color theme="0"/>
              </font>
              <fill>
                <patternFill patternType="none">
                  <bgColor auto="1"/>
                </patternFill>
              </fill>
              <border>
                <left/>
                <right/>
                <top/>
                <bottom/>
                <vertical/>
                <horizontal/>
              </border>
            </x14:dxf>
          </x14:cfRule>
          <xm:sqref>AA3:AA20</xm:sqref>
        </x14:conditionalFormatting>
        <x14:conditionalFormatting xmlns:xm="http://schemas.microsoft.com/office/excel/2006/main">
          <x14:cfRule type="expression" priority="47" id="{69DD383E-3A34-4F21-830F-7DC6A4B58418}">
            <xm:f>ISBLANK('League Settings'!$H$5)</xm:f>
            <x14:dxf>
              <font>
                <color theme="0"/>
              </font>
              <fill>
                <patternFill patternType="none">
                  <bgColor auto="1"/>
                </patternFill>
              </fill>
              <border>
                <left/>
                <right/>
                <top/>
                <bottom/>
                <vertical/>
                <horizontal/>
              </border>
            </x14:dxf>
          </x14:cfRule>
          <xm:sqref>AF3:AF20</xm:sqref>
        </x14:conditionalFormatting>
        <x14:conditionalFormatting xmlns:xm="http://schemas.microsoft.com/office/excel/2006/main">
          <x14:cfRule type="expression" priority="46" id="{FB1DF442-6670-4B31-99EE-B0343E8E085F}">
            <xm:f>ISBLANK('League Settings'!$H$5)</xm:f>
            <x14:dxf>
              <font>
                <color theme="0"/>
              </font>
              <fill>
                <patternFill patternType="none">
                  <bgColor auto="1"/>
                </patternFill>
              </fill>
              <border>
                <left/>
                <right/>
                <top/>
                <bottom/>
                <vertical/>
                <horizontal/>
              </border>
            </x14:dxf>
          </x14:cfRule>
          <xm:sqref>AK3:AK20</xm:sqref>
        </x14:conditionalFormatting>
        <x14:conditionalFormatting xmlns:xm="http://schemas.microsoft.com/office/excel/2006/main">
          <x14:cfRule type="expression" priority="45" id="{593E40B3-37E3-420F-B8DA-403938867253}">
            <xm:f>ISBLANK('League Settings'!$H$5)</xm:f>
            <x14:dxf>
              <font>
                <color theme="0"/>
              </font>
              <fill>
                <patternFill patternType="none">
                  <bgColor auto="1"/>
                </patternFill>
              </fill>
              <border>
                <left/>
                <right/>
                <top/>
                <bottom/>
                <vertical/>
                <horizontal/>
              </border>
            </x14:dxf>
          </x14:cfRule>
          <xm:sqref>AP3:AP20</xm:sqref>
        </x14:conditionalFormatting>
        <x14:conditionalFormatting xmlns:xm="http://schemas.microsoft.com/office/excel/2006/main">
          <x14:cfRule type="expression" priority="44" id="{16CB112F-F627-4664-B08C-16AFCB672FEF}">
            <xm:f>ISBLANK('League Settings'!$H$5)</xm:f>
            <x14:dxf>
              <font>
                <color theme="0"/>
              </font>
              <fill>
                <patternFill patternType="none">
                  <bgColor auto="1"/>
                </patternFill>
              </fill>
              <border>
                <left/>
                <right/>
                <top/>
                <bottom/>
                <vertical/>
                <horizontal/>
              </border>
            </x14:dxf>
          </x14:cfRule>
          <xm:sqref>AU3:AU20</xm:sqref>
        </x14:conditionalFormatting>
        <x14:conditionalFormatting xmlns:xm="http://schemas.microsoft.com/office/excel/2006/main">
          <x14:cfRule type="expression" priority="43" id="{027B29E6-AF9A-4DCB-8B87-7A7D7C8F7B9A}">
            <xm:f>ISBLANK('League Settings'!$H$5)</xm:f>
            <x14:dxf>
              <font>
                <color theme="0"/>
              </font>
              <fill>
                <patternFill patternType="none">
                  <bgColor auto="1"/>
                </patternFill>
              </fill>
              <border>
                <left/>
                <right/>
                <top/>
                <bottom/>
                <vertical/>
                <horizontal/>
              </border>
            </x14:dxf>
          </x14:cfRule>
          <xm:sqref>AZ3:AZ20</xm:sqref>
        </x14:conditionalFormatting>
        <x14:conditionalFormatting xmlns:xm="http://schemas.microsoft.com/office/excel/2006/main">
          <x14:cfRule type="expression" priority="42" id="{189B85D1-7889-4599-A343-6BB74803740D}">
            <xm:f>ISBLANK('League Settings'!$H$5)</xm:f>
            <x14:dxf>
              <font>
                <color theme="0"/>
              </font>
              <fill>
                <patternFill patternType="none">
                  <bgColor auto="1"/>
                </patternFill>
              </fill>
              <border>
                <left/>
                <right/>
                <top/>
                <bottom/>
                <vertical/>
                <horizontal/>
              </border>
            </x14:dxf>
          </x14:cfRule>
          <xm:sqref>BE3:BE20</xm:sqref>
        </x14:conditionalFormatting>
        <x14:conditionalFormatting xmlns:xm="http://schemas.microsoft.com/office/excel/2006/main">
          <x14:cfRule type="expression" priority="41" id="{FBE1B346-02AD-48C4-93D5-695F2FE9672D}">
            <xm:f>ISBLANK('League Settings'!$H$5)</xm:f>
            <x14:dxf>
              <font>
                <color theme="0"/>
              </font>
              <fill>
                <patternFill patternType="none">
                  <bgColor auto="1"/>
                </patternFill>
              </fill>
              <border>
                <left/>
                <right/>
                <top/>
                <bottom/>
                <vertical/>
                <horizontal/>
              </border>
            </x14:dxf>
          </x14:cfRule>
          <xm:sqref>BJ3:BJ20</xm:sqref>
        </x14:conditionalFormatting>
        <x14:conditionalFormatting xmlns:xm="http://schemas.microsoft.com/office/excel/2006/main">
          <x14:cfRule type="expression" priority="40" id="{A5E61C8F-6441-4159-9A4B-2FCCA7BB7F4C}">
            <xm:f>ISBLANK('League Settings'!$H$5)</xm:f>
            <x14:dxf>
              <font>
                <color theme="0"/>
              </font>
              <fill>
                <patternFill patternType="none">
                  <bgColor auto="1"/>
                </patternFill>
              </fill>
              <border>
                <left/>
                <right/>
                <top/>
                <bottom/>
                <vertical/>
                <horizontal/>
              </border>
            </x14:dxf>
          </x14:cfRule>
          <xm:sqref>BO3:BO20</xm:sqref>
        </x14:conditionalFormatting>
        <x14:conditionalFormatting xmlns:xm="http://schemas.microsoft.com/office/excel/2006/main">
          <x14:cfRule type="expression" priority="26" id="{42F51E9C-6204-4D6C-80DD-82ED53498A3E}">
            <xm:f>2&gt;'League Settings'!$I$2</xm:f>
            <x14:dxf>
              <font>
                <color theme="0"/>
              </font>
              <fill>
                <patternFill patternType="none">
                  <bgColor auto="1"/>
                </patternFill>
              </fill>
              <border>
                <left/>
                <right/>
                <top/>
                <bottom/>
                <vertical/>
                <horizontal/>
              </border>
            </x14:dxf>
          </x14:cfRule>
          <xm:sqref>G2:J20</xm:sqref>
        </x14:conditionalFormatting>
        <x14:conditionalFormatting xmlns:xm="http://schemas.microsoft.com/office/excel/2006/main">
          <x14:cfRule type="expression" priority="25" id="{31213897-A045-4809-AC4D-354ED86F84A2}">
            <xm:f>3&gt;'League Settings'!$I$2</xm:f>
            <x14:dxf>
              <font>
                <color theme="0"/>
              </font>
              <fill>
                <patternFill patternType="none">
                  <bgColor auto="1"/>
                </patternFill>
              </fill>
              <border>
                <left/>
                <right/>
                <top/>
                <bottom/>
                <vertical/>
                <horizontal/>
              </border>
            </x14:dxf>
          </x14:cfRule>
          <xm:sqref>L2:O20</xm:sqref>
        </x14:conditionalFormatting>
        <x14:conditionalFormatting xmlns:xm="http://schemas.microsoft.com/office/excel/2006/main">
          <x14:cfRule type="expression" priority="24" id="{181E7DA9-A9CF-4C28-966A-09A44BA3DC6C}">
            <xm:f>4&gt;'League Settings'!$I$2</xm:f>
            <x14:dxf>
              <font>
                <color theme="0"/>
              </font>
              <fill>
                <patternFill patternType="none">
                  <bgColor auto="1"/>
                </patternFill>
              </fill>
              <border>
                <left/>
                <right/>
                <top/>
                <bottom/>
                <vertical/>
                <horizontal/>
              </border>
            </x14:dxf>
          </x14:cfRule>
          <xm:sqref>Q2:T20</xm:sqref>
        </x14:conditionalFormatting>
        <x14:conditionalFormatting xmlns:xm="http://schemas.microsoft.com/office/excel/2006/main">
          <x14:cfRule type="expression" priority="23" id="{0561334D-D5DC-497F-8E71-DBC717FB782E}">
            <xm:f>5&gt;'League Settings'!$I$2</xm:f>
            <x14:dxf>
              <font>
                <color theme="0"/>
              </font>
              <fill>
                <patternFill patternType="none">
                  <bgColor auto="1"/>
                </patternFill>
              </fill>
              <border>
                <left/>
                <right/>
                <top/>
                <bottom/>
                <vertical/>
                <horizontal/>
              </border>
            </x14:dxf>
          </x14:cfRule>
          <xm:sqref>V3:Y20 V2:W2 Y2</xm:sqref>
        </x14:conditionalFormatting>
        <x14:conditionalFormatting xmlns:xm="http://schemas.microsoft.com/office/excel/2006/main">
          <x14:cfRule type="expression" priority="22" id="{84CC49BF-C9E2-4622-9E77-0E0A9B9C7B66}">
            <xm:f>6&gt;'League Settings'!$I$2</xm:f>
            <x14:dxf>
              <font>
                <color theme="0"/>
              </font>
              <fill>
                <patternFill patternType="none">
                  <bgColor auto="1"/>
                </patternFill>
              </fill>
              <border>
                <left/>
                <right/>
                <top/>
                <bottom/>
                <vertical/>
                <horizontal/>
              </border>
            </x14:dxf>
          </x14:cfRule>
          <xm:sqref>AA2:AD20</xm:sqref>
        </x14:conditionalFormatting>
        <x14:conditionalFormatting xmlns:xm="http://schemas.microsoft.com/office/excel/2006/main">
          <x14:cfRule type="expression" priority="21" id="{9DB30481-2245-41BA-8940-256FCB589A3C}">
            <xm:f>7&gt;'League Settings'!$I$2</xm:f>
            <x14:dxf>
              <font>
                <color theme="0"/>
              </font>
              <fill>
                <patternFill patternType="none">
                  <bgColor auto="1"/>
                </patternFill>
              </fill>
              <border>
                <left/>
                <right/>
                <top/>
                <bottom/>
                <vertical/>
                <horizontal/>
              </border>
            </x14:dxf>
          </x14:cfRule>
          <xm:sqref>AF2:AI20</xm:sqref>
        </x14:conditionalFormatting>
        <x14:conditionalFormatting xmlns:xm="http://schemas.microsoft.com/office/excel/2006/main">
          <x14:cfRule type="expression" priority="20" id="{FFFAD2A4-437C-44C3-98FD-4C4716CBEB48}">
            <xm:f>8&gt;'League Settings'!$I$2</xm:f>
            <x14:dxf>
              <font>
                <color theme="0"/>
              </font>
              <fill>
                <patternFill patternType="none">
                  <bgColor auto="1"/>
                </patternFill>
              </fill>
              <border>
                <left/>
                <right/>
                <top/>
                <bottom/>
                <vertical/>
                <horizontal/>
              </border>
            </x14:dxf>
          </x14:cfRule>
          <xm:sqref>AK2:AN20</xm:sqref>
        </x14:conditionalFormatting>
        <x14:conditionalFormatting xmlns:xm="http://schemas.microsoft.com/office/excel/2006/main">
          <x14:cfRule type="expression" priority="19" id="{40A568DD-D14D-44AC-A9B2-9FE5748AA79A}">
            <xm:f>9&gt;'League Settings'!$I$2</xm:f>
            <x14:dxf>
              <font>
                <color theme="0"/>
              </font>
              <fill>
                <patternFill patternType="none">
                  <bgColor auto="1"/>
                </patternFill>
              </fill>
              <border>
                <left/>
                <right/>
                <top/>
                <bottom/>
                <vertical/>
                <horizontal/>
              </border>
            </x14:dxf>
          </x14:cfRule>
          <xm:sqref>AP2:AS20</xm:sqref>
        </x14:conditionalFormatting>
        <x14:conditionalFormatting xmlns:xm="http://schemas.microsoft.com/office/excel/2006/main">
          <x14:cfRule type="expression" priority="18" id="{21B0585D-FFB6-43A9-A3DB-37FEBA35FF77}">
            <xm:f>10&gt;'League Settings'!$I$2</xm:f>
            <x14:dxf>
              <font>
                <color theme="0"/>
              </font>
              <fill>
                <patternFill patternType="none">
                  <bgColor auto="1"/>
                </patternFill>
              </fill>
              <border>
                <left/>
                <right/>
                <top/>
                <bottom/>
                <vertical/>
                <horizontal/>
              </border>
            </x14:dxf>
          </x14:cfRule>
          <xm:sqref>AU2:AX20</xm:sqref>
        </x14:conditionalFormatting>
        <x14:conditionalFormatting xmlns:xm="http://schemas.microsoft.com/office/excel/2006/main">
          <x14:cfRule type="expression" priority="17" id="{60B9EB19-6574-481A-A176-0CF47159E592}">
            <xm:f>11&gt;'League Settings'!$I$2</xm:f>
            <x14:dxf>
              <font>
                <color theme="0"/>
              </font>
              <fill>
                <patternFill patternType="none">
                  <bgColor auto="1"/>
                </patternFill>
              </fill>
              <border>
                <left/>
                <right/>
                <top/>
                <bottom/>
                <vertical/>
                <horizontal/>
              </border>
            </x14:dxf>
          </x14:cfRule>
          <xm:sqref>AZ2:BC20</xm:sqref>
        </x14:conditionalFormatting>
        <x14:conditionalFormatting xmlns:xm="http://schemas.microsoft.com/office/excel/2006/main">
          <x14:cfRule type="expression" priority="16" id="{E57BA505-EE31-4D28-9A9E-C4F9F9039719}">
            <xm:f>12&gt;'League Settings'!$I$2</xm:f>
            <x14:dxf>
              <font>
                <color theme="0"/>
              </font>
              <fill>
                <patternFill patternType="none">
                  <bgColor auto="1"/>
                </patternFill>
              </fill>
              <border>
                <left/>
                <right/>
                <top/>
                <bottom/>
                <vertical/>
                <horizontal/>
              </border>
            </x14:dxf>
          </x14:cfRule>
          <xm:sqref>BE2:BH20</xm:sqref>
        </x14:conditionalFormatting>
        <x14:conditionalFormatting xmlns:xm="http://schemas.microsoft.com/office/excel/2006/main">
          <x14:cfRule type="expression" priority="15" id="{3CC7EE65-4216-48E3-895A-1FAB47CD019D}">
            <xm:f>13&gt;'League Settings'!$I$2</xm:f>
            <x14:dxf>
              <font>
                <color theme="0"/>
              </font>
              <fill>
                <patternFill patternType="none">
                  <bgColor auto="1"/>
                </patternFill>
              </fill>
              <border>
                <left/>
                <right/>
                <top/>
                <bottom/>
                <vertical/>
                <horizontal/>
              </border>
            </x14:dxf>
          </x14:cfRule>
          <xm:sqref>BJ2:BM20</xm:sqref>
        </x14:conditionalFormatting>
        <x14:conditionalFormatting xmlns:xm="http://schemas.microsoft.com/office/excel/2006/main">
          <x14:cfRule type="expression" priority="14" id="{F21F6DB6-BD32-408B-8121-00FFB9D05C26}">
            <xm:f>14&gt;'League Settings'!$I$2</xm:f>
            <x14:dxf>
              <font>
                <color theme="0"/>
              </font>
              <fill>
                <patternFill patternType="none">
                  <bgColor auto="1"/>
                </patternFill>
              </fill>
              <border>
                <left/>
                <right/>
                <top/>
                <bottom/>
                <vertical/>
                <horizontal/>
              </border>
            </x14:dxf>
          </x14:cfRule>
          <xm:sqref>BO2:BR20</xm:sqref>
        </x14:conditionalFormatting>
        <x14:conditionalFormatting xmlns:xm="http://schemas.microsoft.com/office/excel/2006/main">
          <x14:cfRule type="expression" priority="13" id="{87A2FD96-2B00-4A04-8ACA-F3B53AE78364}">
            <xm:f>ISBLANK('League Settings'!$H$5)</xm:f>
            <x14:dxf>
              <font>
                <color theme="0"/>
              </font>
              <fill>
                <patternFill patternType="none">
                  <bgColor auto="1"/>
                </patternFill>
              </fill>
              <border>
                <left/>
                <right/>
                <top/>
                <bottom/>
                <vertical/>
                <horizontal/>
              </border>
            </x14:dxf>
          </x14:cfRule>
          <xm:sqref>I2</xm:sqref>
        </x14:conditionalFormatting>
        <x14:conditionalFormatting xmlns:xm="http://schemas.microsoft.com/office/excel/2006/main">
          <x14:cfRule type="expression" priority="12" id="{3345E1EF-74C9-4456-9AE3-89F019993DBF}">
            <xm:f>ISBLANK('League Settings'!$H$5)</xm:f>
            <x14:dxf>
              <font>
                <color theme="0"/>
              </font>
              <fill>
                <patternFill patternType="none">
                  <bgColor auto="1"/>
                </patternFill>
              </fill>
              <border>
                <left/>
                <right/>
                <top/>
                <bottom/>
                <vertical/>
                <horizontal/>
              </border>
            </x14:dxf>
          </x14:cfRule>
          <xm:sqref>N2</xm:sqref>
        </x14:conditionalFormatting>
        <x14:conditionalFormatting xmlns:xm="http://schemas.microsoft.com/office/excel/2006/main">
          <x14:cfRule type="expression" priority="11" id="{7C291954-F9AF-4775-9AA6-91BABEA2CE70}">
            <xm:f>ISBLANK('League Settings'!$H$5)</xm:f>
            <x14:dxf>
              <font>
                <color theme="0"/>
              </font>
              <fill>
                <patternFill patternType="none">
                  <bgColor auto="1"/>
                </patternFill>
              </fill>
              <border>
                <left/>
                <right/>
                <top/>
                <bottom/>
                <vertical/>
                <horizontal/>
              </border>
            </x14:dxf>
          </x14:cfRule>
          <xm:sqref>S2</xm:sqref>
        </x14:conditionalFormatting>
        <x14:conditionalFormatting xmlns:xm="http://schemas.microsoft.com/office/excel/2006/main">
          <x14:cfRule type="expression" priority="10" id="{C979D546-9BB6-4D72-8E60-1CBD6327EA37}">
            <xm:f>ISBLANK('League Settings'!$H$5)</xm:f>
            <x14:dxf>
              <font>
                <color theme="0"/>
              </font>
              <fill>
                <patternFill patternType="none">
                  <bgColor auto="1"/>
                </patternFill>
              </fill>
              <border>
                <left/>
                <right/>
                <top/>
                <bottom/>
                <vertical/>
                <horizontal/>
              </border>
            </x14:dxf>
          </x14:cfRule>
          <xm:sqref>X2</xm:sqref>
        </x14:conditionalFormatting>
        <x14:conditionalFormatting xmlns:xm="http://schemas.microsoft.com/office/excel/2006/main">
          <x14:cfRule type="expression" priority="9" id="{890A6927-E5C4-4A4E-903E-88E9CB6E2190}">
            <xm:f>ISBLANK('League Settings'!$H$5)</xm:f>
            <x14:dxf>
              <font>
                <color theme="0"/>
              </font>
              <fill>
                <patternFill patternType="none">
                  <bgColor auto="1"/>
                </patternFill>
              </fill>
              <border>
                <left/>
                <right/>
                <top/>
                <bottom/>
                <vertical/>
                <horizontal/>
              </border>
            </x14:dxf>
          </x14:cfRule>
          <xm:sqref>AC2</xm:sqref>
        </x14:conditionalFormatting>
        <x14:conditionalFormatting xmlns:xm="http://schemas.microsoft.com/office/excel/2006/main">
          <x14:cfRule type="expression" priority="8" id="{9BB012B1-EB71-4D80-BC8F-831B4781CAEF}">
            <xm:f>ISBLANK('League Settings'!$H$5)</xm:f>
            <x14:dxf>
              <font>
                <color theme="0"/>
              </font>
              <fill>
                <patternFill patternType="none">
                  <bgColor auto="1"/>
                </patternFill>
              </fill>
              <border>
                <left/>
                <right/>
                <top/>
                <bottom/>
                <vertical/>
                <horizontal/>
              </border>
            </x14:dxf>
          </x14:cfRule>
          <xm:sqref>AH2</xm:sqref>
        </x14:conditionalFormatting>
        <x14:conditionalFormatting xmlns:xm="http://schemas.microsoft.com/office/excel/2006/main">
          <x14:cfRule type="expression" priority="7" id="{50E0A29D-C520-4258-850B-4DD8270A7CFC}">
            <xm:f>ISBLANK('League Settings'!$H$5)</xm:f>
            <x14:dxf>
              <font>
                <color theme="0"/>
              </font>
              <fill>
                <patternFill patternType="none">
                  <bgColor auto="1"/>
                </patternFill>
              </fill>
              <border>
                <left/>
                <right/>
                <top/>
                <bottom/>
                <vertical/>
                <horizontal/>
              </border>
            </x14:dxf>
          </x14:cfRule>
          <xm:sqref>AM2</xm:sqref>
        </x14:conditionalFormatting>
        <x14:conditionalFormatting xmlns:xm="http://schemas.microsoft.com/office/excel/2006/main">
          <x14:cfRule type="expression" priority="6" id="{C7408EE1-F24D-4D33-B565-4C97D9E68CB9}">
            <xm:f>ISBLANK('League Settings'!$H$5)</xm:f>
            <x14:dxf>
              <font>
                <color theme="0"/>
              </font>
              <fill>
                <patternFill patternType="none">
                  <bgColor auto="1"/>
                </patternFill>
              </fill>
              <border>
                <left/>
                <right/>
                <top/>
                <bottom/>
                <vertical/>
                <horizontal/>
              </border>
            </x14:dxf>
          </x14:cfRule>
          <xm:sqref>AR2</xm:sqref>
        </x14:conditionalFormatting>
        <x14:conditionalFormatting xmlns:xm="http://schemas.microsoft.com/office/excel/2006/main">
          <x14:cfRule type="expression" priority="5" id="{1CF40F9F-E334-4258-9E25-FE28C56182BA}">
            <xm:f>ISBLANK('League Settings'!$H$5)</xm:f>
            <x14:dxf>
              <font>
                <color theme="0"/>
              </font>
              <fill>
                <patternFill patternType="none">
                  <bgColor auto="1"/>
                </patternFill>
              </fill>
              <border>
                <left/>
                <right/>
                <top/>
                <bottom/>
                <vertical/>
                <horizontal/>
              </border>
            </x14:dxf>
          </x14:cfRule>
          <xm:sqref>AW2</xm:sqref>
        </x14:conditionalFormatting>
        <x14:conditionalFormatting xmlns:xm="http://schemas.microsoft.com/office/excel/2006/main">
          <x14:cfRule type="expression" priority="4" id="{16B28403-EE64-4F53-AC58-735062696950}">
            <xm:f>ISBLANK('League Settings'!$H$5)</xm:f>
            <x14:dxf>
              <font>
                <color theme="0"/>
              </font>
              <fill>
                <patternFill patternType="none">
                  <bgColor auto="1"/>
                </patternFill>
              </fill>
              <border>
                <left/>
                <right/>
                <top/>
                <bottom/>
                <vertical/>
                <horizontal/>
              </border>
            </x14:dxf>
          </x14:cfRule>
          <xm:sqref>BB2</xm:sqref>
        </x14:conditionalFormatting>
        <x14:conditionalFormatting xmlns:xm="http://schemas.microsoft.com/office/excel/2006/main">
          <x14:cfRule type="expression" priority="3" id="{444B6635-650D-4ACD-A6CF-13C4A37CA454}">
            <xm:f>ISBLANK('League Settings'!$H$5)</xm:f>
            <x14:dxf>
              <font>
                <color theme="0"/>
              </font>
              <fill>
                <patternFill patternType="none">
                  <bgColor auto="1"/>
                </patternFill>
              </fill>
              <border>
                <left/>
                <right/>
                <top/>
                <bottom/>
                <vertical/>
                <horizontal/>
              </border>
            </x14:dxf>
          </x14:cfRule>
          <xm:sqref>BG2</xm:sqref>
        </x14:conditionalFormatting>
        <x14:conditionalFormatting xmlns:xm="http://schemas.microsoft.com/office/excel/2006/main">
          <x14:cfRule type="expression" priority="2" id="{349AE4C5-7307-401C-ACED-C1D562F8EDD2}">
            <xm:f>ISBLANK('League Settings'!$H$5)</xm:f>
            <x14:dxf>
              <font>
                <color theme="0"/>
              </font>
              <fill>
                <patternFill patternType="none">
                  <bgColor auto="1"/>
                </patternFill>
              </fill>
              <border>
                <left/>
                <right/>
                <top/>
                <bottom/>
                <vertical/>
                <horizontal/>
              </border>
            </x14:dxf>
          </x14:cfRule>
          <xm:sqref>BL2</xm:sqref>
        </x14:conditionalFormatting>
        <x14:conditionalFormatting xmlns:xm="http://schemas.microsoft.com/office/excel/2006/main">
          <x14:cfRule type="expression" priority="1" id="{2BC84DE2-B6BF-44D0-9E28-E41BDF24B3E8}">
            <xm:f>ISBLANK('League Settings'!$H$5)</xm:f>
            <x14:dxf>
              <font>
                <color theme="0"/>
              </font>
              <fill>
                <patternFill patternType="none">
                  <bgColor auto="1"/>
                </patternFill>
              </fill>
              <border>
                <left/>
                <right/>
                <top/>
                <bottom/>
                <vertical/>
                <horizontal/>
              </border>
            </x14:dxf>
          </x14:cfRule>
          <xm:sqref>BQ2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FDDCA7-8169-49EC-B878-E7F5FE3251DA}">
  <sheetPr codeName="Sheet13"/>
  <dimension ref="B1:BW77"/>
  <sheetViews>
    <sheetView zoomScale="70" zoomScaleNormal="70" workbookViewId="0">
      <selection activeCell="O3" sqref="O3"/>
    </sheetView>
  </sheetViews>
  <sheetFormatPr defaultRowHeight="14.5" x14ac:dyDescent="0.35"/>
  <cols>
    <col min="1" max="1" width="1.453125" bestFit="1" customWidth="1"/>
    <col min="2" max="2" width="3.26953125" bestFit="1" customWidth="1"/>
    <col min="3" max="3" width="20.90625" bestFit="1" customWidth="1"/>
    <col min="4" max="4" width="7.26953125" customWidth="1"/>
    <col min="5" max="5" width="4.36328125" bestFit="1" customWidth="1"/>
    <col min="6" max="6" width="8" customWidth="1"/>
    <col min="7" max="7" width="6.26953125" bestFit="1" customWidth="1"/>
    <col min="8" max="8" width="5" bestFit="1" customWidth="1"/>
    <col min="9" max="10" width="6.26953125" bestFit="1" customWidth="1"/>
    <col min="12" max="12" width="1.54296875" bestFit="1" customWidth="1"/>
    <col min="13" max="13" width="3.26953125" bestFit="1" customWidth="1"/>
    <col min="14" max="14" width="22.81640625" bestFit="1" customWidth="1"/>
    <col min="16" max="16" width="4.36328125" bestFit="1" customWidth="1"/>
    <col min="18" max="18" width="6.26953125" bestFit="1" customWidth="1"/>
    <col min="19" max="19" width="5" bestFit="1" customWidth="1"/>
    <col min="20" max="21" width="6.26953125" bestFit="1" customWidth="1"/>
    <col min="23" max="23" width="1.54296875" bestFit="1" customWidth="1"/>
    <col min="24" max="24" width="3.453125" customWidth="1"/>
    <col min="25" max="25" width="20.36328125" bestFit="1" customWidth="1"/>
    <col min="27" max="27" width="4.36328125" bestFit="1" customWidth="1"/>
    <col min="29" max="29" width="6.26953125" bestFit="1" customWidth="1"/>
    <col min="30" max="30" width="5" bestFit="1" customWidth="1"/>
    <col min="31" max="32" width="6.26953125" bestFit="1" customWidth="1"/>
    <col min="34" max="34" width="1.54296875" bestFit="1" customWidth="1"/>
    <col min="35" max="35" width="2.81640625" bestFit="1" customWidth="1"/>
    <col min="36" max="36" width="18.453125" bestFit="1" customWidth="1"/>
    <col min="38" max="38" width="4.36328125" bestFit="1" customWidth="1"/>
    <col min="40" max="40" width="6.26953125" bestFit="1" customWidth="1"/>
    <col min="41" max="41" width="5" bestFit="1" customWidth="1"/>
    <col min="42" max="43" width="6.26953125" bestFit="1" customWidth="1"/>
    <col min="45" max="45" width="1.54296875" bestFit="1" customWidth="1"/>
    <col min="46" max="46" width="4" bestFit="1" customWidth="1"/>
    <col min="47" max="47" width="16.36328125" bestFit="1" customWidth="1"/>
    <col min="49" max="49" width="4.36328125" bestFit="1" customWidth="1"/>
    <col min="51" max="51" width="6.26953125" bestFit="1" customWidth="1"/>
    <col min="52" max="52" width="5" bestFit="1" customWidth="1"/>
    <col min="53" max="54" width="6.26953125" bestFit="1" customWidth="1"/>
    <col min="56" max="56" width="1.54296875" bestFit="1" customWidth="1"/>
    <col min="57" max="57" width="2.81640625" bestFit="1" customWidth="1"/>
    <col min="58" max="58" width="20.90625" bestFit="1" customWidth="1"/>
    <col min="60" max="60" width="4.36328125" bestFit="1" customWidth="1"/>
    <col min="62" max="62" width="6.26953125" bestFit="1" customWidth="1"/>
    <col min="63" max="63" width="5" bestFit="1" customWidth="1"/>
    <col min="64" max="65" width="6.26953125" bestFit="1" customWidth="1"/>
    <col min="67" max="67" width="1.54296875" bestFit="1" customWidth="1"/>
    <col min="68" max="68" width="15" bestFit="1" customWidth="1"/>
    <col min="69" max="69" width="1.54296875" bestFit="1" customWidth="1"/>
    <col min="72" max="72" width="11.90625" bestFit="1" customWidth="1"/>
    <col min="73" max="73" width="11" style="1" bestFit="1" customWidth="1"/>
    <col min="74" max="74" width="16.26953125" bestFit="1" customWidth="1"/>
    <col min="76" max="76" width="8.7265625" customWidth="1"/>
  </cols>
  <sheetData>
    <row r="1" spans="2:75" ht="7.5" customHeight="1" thickBot="1" x14ac:dyDescent="0.4"/>
    <row r="2" spans="2:75" ht="29.5" thickBot="1" x14ac:dyDescent="0.4">
      <c r="B2" s="105" t="s">
        <v>3</v>
      </c>
      <c r="C2" s="104" t="s">
        <v>814</v>
      </c>
      <c r="D2" s="106" t="s">
        <v>1351</v>
      </c>
      <c r="E2" s="104" t="s">
        <v>813</v>
      </c>
      <c r="F2" s="104" t="s">
        <v>1352</v>
      </c>
      <c r="G2" s="104" t="s">
        <v>1355</v>
      </c>
      <c r="H2" s="104" t="s">
        <v>1354</v>
      </c>
      <c r="I2" s="104"/>
      <c r="J2" s="104"/>
      <c r="K2" s="107"/>
      <c r="M2" s="105" t="s">
        <v>4</v>
      </c>
      <c r="N2" s="104" t="s">
        <v>814</v>
      </c>
      <c r="O2" s="106" t="s">
        <v>1351</v>
      </c>
      <c r="P2" s="104" t="s">
        <v>813</v>
      </c>
      <c r="Q2" s="104" t="s">
        <v>1352</v>
      </c>
      <c r="R2" s="104" t="s">
        <v>1355</v>
      </c>
      <c r="S2" s="104" t="s">
        <v>1354</v>
      </c>
      <c r="T2" s="104"/>
      <c r="U2" s="104"/>
      <c r="V2" s="107"/>
      <c r="W2" s="108"/>
      <c r="X2" s="105" t="s">
        <v>5</v>
      </c>
      <c r="Y2" s="104" t="s">
        <v>814</v>
      </c>
      <c r="Z2" s="106" t="s">
        <v>1351</v>
      </c>
      <c r="AA2" s="104" t="s">
        <v>813</v>
      </c>
      <c r="AB2" s="104" t="s">
        <v>1352</v>
      </c>
      <c r="AC2" s="104" t="s">
        <v>1355</v>
      </c>
      <c r="AD2" s="104" t="s">
        <v>1354</v>
      </c>
      <c r="AE2" s="104"/>
      <c r="AF2" s="104"/>
      <c r="AG2" s="107"/>
      <c r="AI2" s="105" t="s">
        <v>7</v>
      </c>
      <c r="AJ2" s="104" t="s">
        <v>814</v>
      </c>
      <c r="AK2" s="106" t="s">
        <v>1351</v>
      </c>
      <c r="AL2" s="104" t="s">
        <v>813</v>
      </c>
      <c r="AM2" s="104" t="s">
        <v>1352</v>
      </c>
      <c r="AN2" s="104" t="s">
        <v>1355</v>
      </c>
      <c r="AO2" s="104" t="s">
        <v>1354</v>
      </c>
      <c r="AP2" s="104"/>
      <c r="AQ2" s="104"/>
      <c r="AR2" s="107"/>
      <c r="AT2" s="105" t="s">
        <v>8</v>
      </c>
      <c r="AU2" s="104" t="s">
        <v>814</v>
      </c>
      <c r="AV2" s="106" t="s">
        <v>1351</v>
      </c>
      <c r="AW2" s="104" t="s">
        <v>813</v>
      </c>
      <c r="AX2" s="104" t="s">
        <v>1352</v>
      </c>
      <c r="AY2" s="104" t="s">
        <v>1355</v>
      </c>
      <c r="AZ2" s="104" t="s">
        <v>1354</v>
      </c>
      <c r="BA2" s="104"/>
      <c r="BB2" s="104"/>
      <c r="BC2" s="107"/>
      <c r="BE2" s="105" t="s">
        <v>9</v>
      </c>
      <c r="BF2" s="104" t="s">
        <v>814</v>
      </c>
      <c r="BG2" s="106" t="s">
        <v>1351</v>
      </c>
      <c r="BH2" s="104" t="s">
        <v>813</v>
      </c>
      <c r="BI2" s="104" t="s">
        <v>1352</v>
      </c>
      <c r="BJ2" s="104" t="s">
        <v>1355</v>
      </c>
      <c r="BK2" s="104" t="s">
        <v>1354</v>
      </c>
      <c r="BL2" s="104"/>
      <c r="BM2" s="104"/>
      <c r="BN2" s="107"/>
      <c r="BP2" s="1" t="s">
        <v>1353</v>
      </c>
    </row>
    <row r="3" spans="2:75" x14ac:dyDescent="0.35">
      <c r="B3" s="12">
        <v>1</v>
      </c>
      <c r="C3" s="20" t="str">
        <f>'Personal Rankings'!C3</f>
        <v>Patrick Mahomes KC</v>
      </c>
      <c r="D3" s="100">
        <f>INDEX('Default Rankings'!$I$3:$I$77,MATCH(E3,'Personal Rankings'!$D$3:$D$77,0))</f>
        <v>6.0660723360032138</v>
      </c>
      <c r="E3" s="100">
        <f>'Personal Rankings'!D3</f>
        <v>35</v>
      </c>
      <c r="F3" s="100">
        <f ca="1">_xll.VoseInput()+_xll.VoseLognormal(E3,D3)</f>
        <v>38.636058909505984</v>
      </c>
      <c r="G3" s="100" t="str">
        <f>IF(COUNTIF('Live Draft Picks'!$D$3:$D$254,'Player Availability'!E3)&gt;0,"Y"," ")</f>
        <v>Y</v>
      </c>
      <c r="H3" s="100" t="str">
        <f ca="1">IF(OR(F3=$BP$3,G3="Y"),"Y"," ")</f>
        <v>Y</v>
      </c>
      <c r="I3" s="100"/>
      <c r="J3" s="100"/>
      <c r="K3" s="21"/>
      <c r="M3" s="12">
        <v>1</v>
      </c>
      <c r="N3" s="20" t="str">
        <f>'Personal Rankings'!H3</f>
        <v>Christian McCaffrey CAR</v>
      </c>
      <c r="O3" s="100">
        <f>INDEX('Default Rankings'!$N$3:$N$77,MATCH(P3,'Personal Rankings'!$I$3:$I$77,0))</f>
        <v>0.37202389009458259</v>
      </c>
      <c r="P3" s="100">
        <f>'Personal Rankings'!I3</f>
        <v>1</v>
      </c>
      <c r="Q3" s="100">
        <f ca="1">_xll.VoseLognormal(P3,O3)</f>
        <v>1.3196294635107169</v>
      </c>
      <c r="R3" s="100" t="str">
        <f>IF(COUNTIF('Live Draft Picks'!$D$3:$D$254,'Player Availability'!P3)&gt;0,"Y"," ")</f>
        <v>Y</v>
      </c>
      <c r="S3" s="100" t="str">
        <f ca="1">IF(OR(Q3=$BP$3,R3="Y"),"Y"," ")</f>
        <v>Y</v>
      </c>
      <c r="T3" s="100"/>
      <c r="U3" s="100"/>
      <c r="V3" s="21"/>
      <c r="X3" s="12">
        <v>1</v>
      </c>
      <c r="Y3" s="20" t="str">
        <f>'Personal Rankings'!M3</f>
        <v>Michael Thomas NO</v>
      </c>
      <c r="Z3" s="100">
        <f>INDEX('Default Rankings'!$S$3:$S$77,MATCH(AA3,'Personal Rankings'!$N$3:$N$77,0))</f>
        <v>1.6242680469900035</v>
      </c>
      <c r="AA3" s="100">
        <f>'Personal Rankings'!N3</f>
        <v>6</v>
      </c>
      <c r="AB3" s="100">
        <f ca="1">_xll.VoseLognormal(AA3,Z3)</f>
        <v>4.9618075338540306</v>
      </c>
      <c r="AC3" s="100" t="str">
        <f>IF(COUNTIF('Live Draft Picks'!$D$3:$D$254,'Player Availability'!AA3)&gt;0,"Y"," ")</f>
        <v>Y</v>
      </c>
      <c r="AD3" s="100" t="str">
        <f ca="1">IF(OR(AB3=$BP$3,AC3="Y"),"Y"," ")</f>
        <v>Y</v>
      </c>
      <c r="AE3" s="100"/>
      <c r="AF3" s="100"/>
      <c r="AG3" s="21"/>
      <c r="AI3" s="12">
        <v>1</v>
      </c>
      <c r="AJ3" s="20" t="str">
        <f>'Personal Rankings'!R3</f>
        <v>Travis Kelce KC</v>
      </c>
      <c r="AK3" s="100">
        <f>INDEX('Default Rankings'!$X$3:$X$77,MATCH(AL3,'Personal Rankings'!$S$3:$S$77,0))</f>
        <v>6.4498511857484395</v>
      </c>
      <c r="AL3" s="100">
        <f>'Personal Rankings'!S3</f>
        <v>20</v>
      </c>
      <c r="AM3" s="100">
        <f ca="1">_xll.VoseLognormal(AL3,AK3)</f>
        <v>23.66944133537628</v>
      </c>
      <c r="AN3" s="100" t="str">
        <f>IF(COUNTIF('Live Draft Picks'!$D$3:$D$254,'Player Availability'!AL3)&gt;0,"Y"," ")</f>
        <v>Y</v>
      </c>
      <c r="AO3" s="100" t="str">
        <f ca="1">IF(OR(AM3=$BP$3,AN3="Y"),"Y"," ")</f>
        <v>Y</v>
      </c>
      <c r="AP3" s="100"/>
      <c r="AQ3" s="100"/>
      <c r="AR3" s="21"/>
      <c r="AT3" s="12">
        <v>1</v>
      </c>
      <c r="AU3" s="20" t="str">
        <f>'Personal Rankings'!W3</f>
        <v xml:space="preserve">49ers D/ST </v>
      </c>
      <c r="AV3" s="100">
        <f>INDEX('Default Rankings'!$AC$3:$AC$77,MATCH(AW3,'Personal Rankings'!$X$3:$X$77,0))</f>
        <v>26.307106115939582</v>
      </c>
      <c r="AW3" s="100">
        <f>'Personal Rankings'!X3</f>
        <v>172</v>
      </c>
      <c r="AX3" s="100">
        <f ca="1">_xll.VoseLognormal(AW3,AV3)</f>
        <v>153.33801215882409</v>
      </c>
      <c r="AY3" s="100" t="str">
        <f>IF(COUNTIF('Live Draft Picks'!$D$3:$D$254,'Player Availability'!AW3)&gt;0,"Y"," ")</f>
        <v>Y</v>
      </c>
      <c r="AZ3" s="100" t="str">
        <f ca="1">IF(OR(AX3=$BP$3,AY3="Y"),"Y"," ")</f>
        <v>Y</v>
      </c>
      <c r="BA3" s="100"/>
      <c r="BB3" s="100"/>
      <c r="BC3" s="21"/>
      <c r="BE3" s="12">
        <v>1</v>
      </c>
      <c r="BF3" s="20" t="str">
        <f>'Personal Rankings'!AB3</f>
        <v>Harrison Butker KC</v>
      </c>
      <c r="BG3" s="100">
        <f>INDEX('Default Rankings'!$AH$3:$AH$77,MATCH(BH3,'Personal Rankings'!$AC$3:$AC$77,0))</f>
        <v>22.458337703931253</v>
      </c>
      <c r="BH3" s="100">
        <f>'Personal Rankings'!AC3</f>
        <v>183</v>
      </c>
      <c r="BI3" s="100">
        <f ca="1">_xll.VoseLognormal(BH3,BG3)</f>
        <v>170.20176509151719</v>
      </c>
      <c r="BJ3" s="100" t="str">
        <f>IF(COUNTIF('Live Draft Picks'!$D$3:$D$254,'Player Availability'!BH3)&gt;0,"Y"," ")</f>
        <v>Y</v>
      </c>
      <c r="BK3" s="100" t="str">
        <f ca="1">IF(OR(BI3=$BP$3,BJ3="Y"),"Y"," ")</f>
        <v>Y</v>
      </c>
      <c r="BL3" s="100"/>
      <c r="BM3" s="100"/>
      <c r="BN3" s="21"/>
      <c r="BP3" s="1">
        <f ca="1">MIN(_xlfn.MINIFS($F$3:$F$32,$G$3:$G$32," "),_xlfn.MINIFS($Q$3:$Q$77,$R$3:$R$77," "),_xlfn.MINIFS($AB$3:$AB$77,$AC$3:$AC$77," "),_xlfn.MINIFS($AM$3:$AM$32,$AN$3:$AN$32," "),_xlfn.MINIFS($AX$3:$AX$22,$AY$3:$AY$22," "),_xlfn.MINIFS($BI$3:$BI$22,$BJ$3:$BJ$22," "))</f>
        <v>22.332197333367059</v>
      </c>
      <c r="BR3" s="23" t="s">
        <v>32</v>
      </c>
      <c r="BS3" s="111" t="s">
        <v>1361</v>
      </c>
      <c r="BT3" s="111" t="s">
        <v>1362</v>
      </c>
      <c r="BU3" s="112" t="s">
        <v>1363</v>
      </c>
      <c r="BV3" s="111" t="s">
        <v>1364</v>
      </c>
      <c r="BW3" s="110" t="s">
        <v>1366</v>
      </c>
    </row>
    <row r="4" spans="2:75" x14ac:dyDescent="0.35">
      <c r="B4" s="12">
        <f>B3+1</f>
        <v>2</v>
      </c>
      <c r="C4" s="20" t="str">
        <f>'Personal Rankings'!C4</f>
        <v>Lamar Jackson BAL</v>
      </c>
      <c r="D4" s="100">
        <f>INDEX('Default Rankings'!$I$3:$I$77,MATCH(E4,'Personal Rankings'!$D$3:$D$77,0))</f>
        <v>6.2441051903427178</v>
      </c>
      <c r="E4" s="100">
        <f>'Personal Rankings'!D4</f>
        <v>34</v>
      </c>
      <c r="F4" s="100">
        <f ca="1">_xll.VoseLognormal(E4,D4)</f>
        <v>31.072340153073959</v>
      </c>
      <c r="G4" s="100" t="str">
        <f>IF(COUNTIF('Live Draft Picks'!$D$3:$D$254,'Player Availability'!E4)&gt;0,"Y"," ")</f>
        <v>Y</v>
      </c>
      <c r="H4" s="100" t="str">
        <f t="shared" ref="H4:H32" ca="1" si="0">IF(OR(F4=$BP$3,G4="Y"),"Y"," ")</f>
        <v>Y</v>
      </c>
      <c r="I4" s="100"/>
      <c r="J4" s="100"/>
      <c r="K4" s="21"/>
      <c r="M4" s="12">
        <f>M3+1</f>
        <v>2</v>
      </c>
      <c r="N4" s="20" t="str">
        <f>'Personal Rankings'!H4</f>
        <v>Saquon Barkley NYG</v>
      </c>
      <c r="O4" s="100">
        <f>INDEX('Default Rankings'!$N$3:$N$77,MATCH(P4,'Personal Rankings'!$I$3:$I$77,0))</f>
        <v>0.71425124993068434</v>
      </c>
      <c r="P4" s="100">
        <f>'Personal Rankings'!I4</f>
        <v>2</v>
      </c>
      <c r="Q4" s="100">
        <f ca="1">_xll.VoseLognormal(P4,O4)</f>
        <v>1.604324431881373</v>
      </c>
      <c r="R4" s="100" t="str">
        <f>IF(COUNTIF('Live Draft Picks'!$D$3:$D$254,'Player Availability'!P4)&gt;0,"Y"," ")</f>
        <v>Y</v>
      </c>
      <c r="S4" s="100" t="str">
        <f t="shared" ref="S4:S67" ca="1" si="1">IF(OR(Q4=$BP$3,R4="Y"),"Y"," ")</f>
        <v>Y</v>
      </c>
      <c r="T4" s="100"/>
      <c r="U4" s="100"/>
      <c r="V4" s="21"/>
      <c r="X4" s="12">
        <f>X3+1</f>
        <v>2</v>
      </c>
      <c r="Y4" s="20" t="str">
        <f>'Personal Rankings'!M4</f>
        <v>Tyreek Hill KC</v>
      </c>
      <c r="Z4" s="100">
        <f>INDEX('Default Rankings'!$S$3:$S$77,MATCH(AA4,'Personal Rankings'!$N$3:$N$77,0))</f>
        <v>4.3873273666076109</v>
      </c>
      <c r="AA4" s="100">
        <f>'Personal Rankings'!N4</f>
        <v>17</v>
      </c>
      <c r="AB4" s="100">
        <f ca="1">_xll.VoseLognormal(AA4,Z4)</f>
        <v>18.273790860917714</v>
      </c>
      <c r="AC4" s="100" t="str">
        <f>IF(COUNTIF('Live Draft Picks'!$D$3:$D$254,'Player Availability'!AA4)&gt;0,"Y"," ")</f>
        <v>Y</v>
      </c>
      <c r="AD4" s="100" t="str">
        <f t="shared" ref="AD4:AD67" ca="1" si="2">IF(OR(AB4=$BP$3,AC4="Y"),"Y"," ")</f>
        <v>Y</v>
      </c>
      <c r="AE4" s="100"/>
      <c r="AF4" s="100"/>
      <c r="AG4" s="21"/>
      <c r="AI4" s="12">
        <f>AI3+1</f>
        <v>2</v>
      </c>
      <c r="AJ4" s="20" t="str">
        <f>'Personal Rankings'!R4</f>
        <v>George Kittle SF</v>
      </c>
      <c r="AK4" s="100">
        <f>INDEX('Default Rankings'!$X$3:$X$77,MATCH(AL4,'Personal Rankings'!$S$3:$S$77,0))</f>
        <v>7.3608063849254712</v>
      </c>
      <c r="AL4" s="100">
        <f>'Personal Rankings'!S4</f>
        <v>23</v>
      </c>
      <c r="AM4" s="100">
        <f ca="1">_xll.VoseLognormal(AL4,AK4)</f>
        <v>25.92655536535981</v>
      </c>
      <c r="AN4" s="100" t="str">
        <f>IF(COUNTIF('Live Draft Picks'!$D$3:$D$254,'Player Availability'!AL4)&gt;0,"Y"," ")</f>
        <v>Y</v>
      </c>
      <c r="AO4" s="100" t="str">
        <f t="shared" ref="AO4:AO32" ca="1" si="3">IF(OR(AM4=$BP$3,AN4="Y"),"Y"," ")</f>
        <v>Y</v>
      </c>
      <c r="AP4" s="100"/>
      <c r="AQ4" s="100"/>
      <c r="AR4" s="21"/>
      <c r="AT4" s="12">
        <f>AT3+1</f>
        <v>2</v>
      </c>
      <c r="AU4" s="20" t="str">
        <f>'Personal Rankings'!W4</f>
        <v xml:space="preserve">Steelers D/ST </v>
      </c>
      <c r="AV4" s="100">
        <f>INDEX('Default Rankings'!$AC$3:$AC$77,MATCH(AW4,'Personal Rankings'!$X$3:$X$77,0))</f>
        <v>26.424166519388152</v>
      </c>
      <c r="AW4" s="100">
        <f>'Personal Rankings'!X4</f>
        <v>170</v>
      </c>
      <c r="AX4" s="100">
        <f ca="1">_xll.VoseLognormal(AW4,AV4)</f>
        <v>161.61705195363905</v>
      </c>
      <c r="AY4" s="100" t="str">
        <f>IF(COUNTIF('Live Draft Picks'!$D$3:$D$254,'Player Availability'!AW4)&gt;0,"Y"," ")</f>
        <v>Y</v>
      </c>
      <c r="AZ4" s="100" t="str">
        <f t="shared" ref="AZ4:AZ22" ca="1" si="4">IF(OR(AX4=$BP$3,AY4="Y"),"Y"," ")</f>
        <v>Y</v>
      </c>
      <c r="BA4" s="100"/>
      <c r="BB4" s="100"/>
      <c r="BC4" s="21"/>
      <c r="BE4" s="12">
        <f>BE3+1</f>
        <v>2</v>
      </c>
      <c r="BF4" s="20" t="str">
        <f>'Personal Rankings'!AB4</f>
        <v>Justin Tucker BAL</v>
      </c>
      <c r="BG4" s="100">
        <f>INDEX('Default Rankings'!$AH$3:$AH$77,MATCH(BH4,'Personal Rankings'!$AC$3:$AC$77,0))</f>
        <v>22.568401881146414</v>
      </c>
      <c r="BH4" s="100">
        <f>'Personal Rankings'!AC4</f>
        <v>182</v>
      </c>
      <c r="BI4" s="100">
        <f ca="1">_xll.VoseLognormal(BH4,BG4)</f>
        <v>168.02032755273689</v>
      </c>
      <c r="BJ4" s="100" t="str">
        <f>IF(COUNTIF('Live Draft Picks'!$D$3:$D$254,'Player Availability'!BH4)&gt;0,"Y"," ")</f>
        <v>Y</v>
      </c>
      <c r="BK4" s="100" t="str">
        <f t="shared" ref="BK4:BK22" ca="1" si="5">IF(OR(BI4=$BP$3,BJ4="Y"),"Y"," ")</f>
        <v>Y</v>
      </c>
      <c r="BL4" s="100"/>
      <c r="BM4" s="100"/>
      <c r="BN4" s="21"/>
      <c r="BP4" s="1"/>
      <c r="BR4" s="113" t="s">
        <v>3</v>
      </c>
      <c r="BS4" s="115">
        <f>_xlfn.MINIFS($B$3:$B$77,$G$3:$G$77," ")</f>
        <v>12</v>
      </c>
      <c r="BT4" s="116">
        <f>[1]QB!$AL$4*BS4^5+[1]QB!$AM$4*BS4^4+[1]QB!$AN$4*BS4^3+[1]QB!$AO$4*BS4^2+[1]QB!$AP$4*BS4+[1]QB!$AQ$4</f>
        <v>280.46057325177435</v>
      </c>
      <c r="BU4" s="117">
        <v>2378.4464190558265</v>
      </c>
      <c r="BV4" s="117">
        <f ca="1">IF(OR($BP$6=0,$BP$6=1),BT4,BT4+BU4)</f>
        <v>280.46057325177435</v>
      </c>
      <c r="BW4" s="122">
        <f ca="1">IF($BP$6=0,0,BU4/$BP$6)</f>
        <v>0</v>
      </c>
    </row>
    <row r="5" spans="2:75" x14ac:dyDescent="0.35">
      <c r="B5" s="12">
        <f t="shared" ref="B5:B18" si="6">B4+1</f>
        <v>3</v>
      </c>
      <c r="C5" s="20" t="str">
        <f>'Personal Rankings'!C5</f>
        <v>Dak Prescott DAL</v>
      </c>
      <c r="D5" s="100">
        <f>INDEX('Default Rankings'!$I$3:$I$77,MATCH(E5,'Personal Rankings'!$D$3:$D$77,0))</f>
        <v>13.022947385182576</v>
      </c>
      <c r="E5" s="100">
        <f>'Personal Rankings'!D5</f>
        <v>75</v>
      </c>
      <c r="F5" s="100">
        <f ca="1">_xll.VoseLognormal(E5,D5)</f>
        <v>66.929318148243269</v>
      </c>
      <c r="G5" s="100" t="str">
        <f>IF(COUNTIF('Live Draft Picks'!$D$3:$D$254,'Player Availability'!E5)&gt;0,"Y"," ")</f>
        <v>Y</v>
      </c>
      <c r="H5" s="100" t="str">
        <f t="shared" ca="1" si="0"/>
        <v>Y</v>
      </c>
      <c r="I5" s="100"/>
      <c r="J5" s="100"/>
      <c r="K5" s="21"/>
      <c r="M5" s="12">
        <f t="shared" ref="M5:M18" si="7">M4+1</f>
        <v>3</v>
      </c>
      <c r="N5" s="20" t="str">
        <f>'Personal Rankings'!H5</f>
        <v>Ezekiel Elliott DAL</v>
      </c>
      <c r="O5" s="100">
        <f>INDEX('Default Rankings'!$N$3:$N$77,MATCH(P5,'Personal Rankings'!$I$3:$I$77,0))</f>
        <v>1.0550580172377244</v>
      </c>
      <c r="P5" s="100">
        <f>'Personal Rankings'!I5</f>
        <v>3</v>
      </c>
      <c r="Q5" s="100">
        <f ca="1">_xll.VoseLognormal(P5,O5)</f>
        <v>2.9688711768093046</v>
      </c>
      <c r="R5" s="100" t="str">
        <f>IF(COUNTIF('Live Draft Picks'!$D$3:$D$254,'Player Availability'!P5)&gt;0,"Y"," ")</f>
        <v>Y</v>
      </c>
      <c r="S5" s="100" t="str">
        <f t="shared" ca="1" si="1"/>
        <v>Y</v>
      </c>
      <c r="T5" s="100"/>
      <c r="U5" s="100"/>
      <c r="V5" s="21"/>
      <c r="X5" s="12">
        <f t="shared" ref="X5:X18" si="8">X4+1</f>
        <v>3</v>
      </c>
      <c r="Y5" s="20" t="str">
        <f>'Personal Rankings'!M5</f>
        <v>Davante Adams GB</v>
      </c>
      <c r="Z5" s="100">
        <f>INDEX('Default Rankings'!$S$3:$S$77,MATCH(AA5,'Personal Rankings'!$N$3:$N$77,0))</f>
        <v>4.656759630029967</v>
      </c>
      <c r="AA5" s="100">
        <f>'Personal Rankings'!N5</f>
        <v>16</v>
      </c>
      <c r="AB5" s="100">
        <f ca="1">_xll.VoseLognormal(AA5,Z5)</f>
        <v>13.823703917367553</v>
      </c>
      <c r="AC5" s="100" t="str">
        <f>IF(COUNTIF('Live Draft Picks'!$D$3:$D$254,'Player Availability'!AA5)&gt;0,"Y"," ")</f>
        <v>Y</v>
      </c>
      <c r="AD5" s="100" t="str">
        <f t="shared" ca="1" si="2"/>
        <v>Y</v>
      </c>
      <c r="AE5" s="100"/>
      <c r="AF5" s="100"/>
      <c r="AG5" s="21"/>
      <c r="AI5" s="12">
        <f t="shared" ref="AI5:AI18" si="9">AI4+1</f>
        <v>3</v>
      </c>
      <c r="AJ5" s="20" t="str">
        <f>'Personal Rankings'!R5</f>
        <v>Mark Andrews BAL</v>
      </c>
      <c r="AK5" s="100">
        <f>INDEX('Default Rankings'!$X$3:$X$77,MATCH(AL5,'Personal Rankings'!$S$3:$S$77,0))</f>
        <v>12.477440619715086</v>
      </c>
      <c r="AL5" s="100">
        <f>'Personal Rankings'!S5</f>
        <v>41</v>
      </c>
      <c r="AM5" s="100">
        <f ca="1">_xll.VoseLognormal(AL5,AK5)</f>
        <v>35.472612305892383</v>
      </c>
      <c r="AN5" s="100" t="str">
        <f>IF(COUNTIF('Live Draft Picks'!$D$3:$D$254,'Player Availability'!AL5)&gt;0,"Y"," ")</f>
        <v>Y</v>
      </c>
      <c r="AO5" s="100" t="str">
        <f t="shared" ca="1" si="3"/>
        <v>Y</v>
      </c>
      <c r="AP5" s="100"/>
      <c r="AQ5" s="100"/>
      <c r="AR5" s="21"/>
      <c r="AT5" s="12">
        <f t="shared" ref="AT5:AT18" si="10">AT4+1</f>
        <v>3</v>
      </c>
      <c r="AU5" s="20" t="str">
        <f>'Personal Rankings'!W5</f>
        <v xml:space="preserve">Ravens D/ST </v>
      </c>
      <c r="AV5" s="100">
        <f>INDEX('Default Rankings'!$AC$3:$AC$77,MATCH(AW5,'Personal Rankings'!$X$3:$X$77,0))</f>
        <v>26.540785900195417</v>
      </c>
      <c r="AW5" s="100">
        <f>'Personal Rankings'!X5</f>
        <v>173</v>
      </c>
      <c r="AX5" s="100">
        <f ca="1">_xll.VoseLognormal(AW5,AV5)</f>
        <v>163.53231388855752</v>
      </c>
      <c r="AY5" s="100" t="str">
        <f>IF(COUNTIF('Live Draft Picks'!$D$3:$D$254,'Player Availability'!AW5)&gt;0,"Y"," ")</f>
        <v>Y</v>
      </c>
      <c r="AZ5" s="100" t="str">
        <f t="shared" ca="1" si="4"/>
        <v>Y</v>
      </c>
      <c r="BA5" s="100"/>
      <c r="BB5" s="100"/>
      <c r="BC5" s="21"/>
      <c r="BE5" s="12">
        <f t="shared" ref="BE5:BE18" si="11">BE4+1</f>
        <v>3</v>
      </c>
      <c r="BF5" s="20" t="str">
        <f>'Personal Rankings'!AB5</f>
        <v>Greg Zuerlein DAL</v>
      </c>
      <c r="BG5" s="100">
        <f>INDEX('Default Rankings'!$AH$3:$AH$77,MATCH(BH5,'Personal Rankings'!$AC$3:$AC$77,0))</f>
        <v>22.678320372141293</v>
      </c>
      <c r="BH5" s="100">
        <f>'Personal Rankings'!AC5</f>
        <v>187</v>
      </c>
      <c r="BI5" s="100">
        <f ca="1">_xll.VoseLognormal(BH5,BG5)</f>
        <v>155.54614106407345</v>
      </c>
      <c r="BJ5" s="100" t="str">
        <f>IF(COUNTIF('Live Draft Picks'!$D$3:$D$254,'Player Availability'!BH5)&gt;0,"Y"," ")</f>
        <v>Y</v>
      </c>
      <c r="BK5" s="100" t="str">
        <f t="shared" ca="1" si="5"/>
        <v>Y</v>
      </c>
      <c r="BL5" s="100"/>
      <c r="BM5" s="100"/>
      <c r="BN5" s="21"/>
      <c r="BP5" s="1" t="s">
        <v>1356</v>
      </c>
      <c r="BR5" s="113" t="s">
        <v>4</v>
      </c>
      <c r="BS5" s="115">
        <f>_xlfn.MINIFS($M$3:$M$77,$R$3:R$77," ")</f>
        <v>31</v>
      </c>
      <c r="BT5" s="118">
        <f>[1]RB!$AL$4*BS5^5+[1]RB!$AM$4*BS5^4+[1]RB!$AN$4*BS5^3+[1]RB!$AO$4*BS5^2+[1]RB!$AP$4*BS5+[1]RB!$AQ$4</f>
        <v>165.83708796742354</v>
      </c>
      <c r="BU5" s="117">
        <v>1056.5217477979668</v>
      </c>
      <c r="BV5" s="117">
        <f t="shared" ref="BV5:BV9" ca="1" si="12">IF(OR($BP$6=0,$BP$6=1),BT5,BT5+BU5)</f>
        <v>165.83708796742354</v>
      </c>
      <c r="BW5" s="122">
        <f t="shared" ref="BW5:BW9" ca="1" si="13">IF($BP$6=0,0,BU5/$BP$6)</f>
        <v>0</v>
      </c>
    </row>
    <row r="6" spans="2:75" x14ac:dyDescent="0.35">
      <c r="B6" s="12">
        <f t="shared" si="6"/>
        <v>4</v>
      </c>
      <c r="C6" s="20" t="str">
        <f>'Personal Rankings'!C6</f>
        <v>Russell Wilson SEA</v>
      </c>
      <c r="D6" s="100">
        <f>INDEX('Default Rankings'!$I$3:$I$77,MATCH(E6,'Personal Rankings'!$D$3:$D$77,0))</f>
        <v>13.201695698992538</v>
      </c>
      <c r="E6" s="100">
        <f>'Personal Rankings'!D6</f>
        <v>76</v>
      </c>
      <c r="F6" s="100">
        <f ca="1">_xll.VoseLognormal(E6,D6)</f>
        <v>99.427858926505905</v>
      </c>
      <c r="G6" s="100" t="str">
        <f>IF(COUNTIF('Live Draft Picks'!$D$3:$D$254,'Player Availability'!E6)&gt;0,"Y"," ")</f>
        <v>Y</v>
      </c>
      <c r="H6" s="100" t="str">
        <f t="shared" ca="1" si="0"/>
        <v>Y</v>
      </c>
      <c r="I6" s="100"/>
      <c r="J6" s="100"/>
      <c r="K6" s="21"/>
      <c r="M6" s="12">
        <f t="shared" si="7"/>
        <v>4</v>
      </c>
      <c r="N6" s="20" t="str">
        <f>'Personal Rankings'!H6</f>
        <v>Alvin Kamara NO</v>
      </c>
      <c r="O6" s="100">
        <f>INDEX('Default Rankings'!$N$3:$N$77,MATCH(P6,'Personal Rankings'!$I$3:$I$77,0))</f>
        <v>1.3944441920157022</v>
      </c>
      <c r="P6" s="100">
        <f>'Personal Rankings'!I6</f>
        <v>5</v>
      </c>
      <c r="Q6" s="100">
        <f ca="1">_xll.VoseLognormal(P6,O6)</f>
        <v>4.6824885386147699</v>
      </c>
      <c r="R6" s="100" t="str">
        <f>IF(COUNTIF('Live Draft Picks'!$D$3:$D$254,'Player Availability'!P6)&gt;0,"Y"," ")</f>
        <v>Y</v>
      </c>
      <c r="S6" s="100" t="str">
        <f t="shared" ca="1" si="1"/>
        <v>Y</v>
      </c>
      <c r="T6" s="100"/>
      <c r="U6" s="100"/>
      <c r="V6" s="21"/>
      <c r="X6" s="12">
        <f t="shared" si="8"/>
        <v>4</v>
      </c>
      <c r="Y6" s="20" t="str">
        <f>'Personal Rankings'!M6</f>
        <v>Julio Jones ATL</v>
      </c>
      <c r="Z6" s="100">
        <f>INDEX('Default Rankings'!$S$3:$S$77,MATCH(AA6,'Personal Rankings'!$N$3:$N$77,0))</f>
        <v>4.9249421355360674</v>
      </c>
      <c r="AA6" s="100">
        <f>'Personal Rankings'!N6</f>
        <v>18</v>
      </c>
      <c r="AB6" s="100">
        <f ca="1">_xll.VoseLognormal(AA6,Z6)</f>
        <v>17.804347383824439</v>
      </c>
      <c r="AC6" s="100" t="str">
        <f>IF(COUNTIF('Live Draft Picks'!$D$3:$D$254,'Player Availability'!AA6)&gt;0,"Y"," ")</f>
        <v>Y</v>
      </c>
      <c r="AD6" s="100" t="str">
        <f t="shared" ca="1" si="2"/>
        <v>Y</v>
      </c>
      <c r="AE6" s="100"/>
      <c r="AF6" s="100"/>
      <c r="AG6" s="21"/>
      <c r="AI6" s="12">
        <f t="shared" si="9"/>
        <v>4</v>
      </c>
      <c r="AJ6" s="20" t="str">
        <f>'Personal Rankings'!R6</f>
        <v>Zach Ertz PHI</v>
      </c>
      <c r="AK6" s="100">
        <f>INDEX('Default Rankings'!$X$3:$X$77,MATCH(AL6,'Personal Rankings'!$S$3:$S$77,0))</f>
        <v>12.744150875496576</v>
      </c>
      <c r="AL6" s="100">
        <f>'Personal Rankings'!S6</f>
        <v>42</v>
      </c>
      <c r="AM6" s="100">
        <f ca="1">_xll.VoseLognormal(AL6,AK6)</f>
        <v>40.337750372049804</v>
      </c>
      <c r="AN6" s="100" t="str">
        <f>IF(COUNTIF('Live Draft Picks'!$D$3:$D$254,'Player Availability'!AL6)&gt;0,"Y"," ")</f>
        <v>Y</v>
      </c>
      <c r="AO6" s="100" t="str">
        <f t="shared" ca="1" si="3"/>
        <v>Y</v>
      </c>
      <c r="AP6" s="100"/>
      <c r="AQ6" s="100"/>
      <c r="AR6" s="21"/>
      <c r="AT6" s="12">
        <f t="shared" si="10"/>
        <v>4</v>
      </c>
      <c r="AU6" s="20" t="str">
        <f>'Personal Rankings'!W6</f>
        <v xml:space="preserve">Bills D/ST </v>
      </c>
      <c r="AV6" s="100">
        <f>INDEX('Default Rankings'!$AC$3:$AC$77,MATCH(AW6,'Personal Rankings'!$X$3:$X$77,0))</f>
        <v>26.656964258361384</v>
      </c>
      <c r="AW6" s="100">
        <f>'Personal Rankings'!X6</f>
        <v>171</v>
      </c>
      <c r="AX6" s="100">
        <f ca="1">_xll.VoseLognormal(AW6,AV6)</f>
        <v>184.15083119242468</v>
      </c>
      <c r="AY6" s="100" t="str">
        <f>IF(COUNTIF('Live Draft Picks'!$D$3:$D$254,'Player Availability'!AW6)&gt;0,"Y"," ")</f>
        <v>Y</v>
      </c>
      <c r="AZ6" s="100" t="str">
        <f t="shared" ca="1" si="4"/>
        <v>Y</v>
      </c>
      <c r="BA6" s="100"/>
      <c r="BB6" s="100"/>
      <c r="BC6" s="21"/>
      <c r="BE6" s="12">
        <f t="shared" si="11"/>
        <v>4</v>
      </c>
      <c r="BF6" s="20" t="str">
        <f>'Personal Rankings'!AB6</f>
        <v>Wil Lutz NO</v>
      </c>
      <c r="BG6" s="100">
        <f>INDEX('Default Rankings'!$AH$3:$AH$77,MATCH(BH6,'Personal Rankings'!$AC$3:$AC$77,0))</f>
        <v>22.788093176915879</v>
      </c>
      <c r="BH6" s="100">
        <f>'Personal Rankings'!AC6</f>
        <v>184</v>
      </c>
      <c r="BI6" s="100">
        <f ca="1">_xll.VoseLognormal(BH6,BG6)</f>
        <v>209.29327171478877</v>
      </c>
      <c r="BJ6" s="100" t="str">
        <f>IF(COUNTIF('Live Draft Picks'!$D$3:$D$254,'Player Availability'!BH6)&gt;0,"Y"," ")</f>
        <v>Y</v>
      </c>
      <c r="BK6" s="100" t="str">
        <f t="shared" ca="1" si="5"/>
        <v>Y</v>
      </c>
      <c r="BL6" s="100"/>
      <c r="BM6" s="100"/>
      <c r="BN6" s="21"/>
      <c r="BP6" s="1">
        <f ca="1">_xll.VoseCurrentSim()</f>
        <v>0</v>
      </c>
      <c r="BR6" s="113" t="s">
        <v>5</v>
      </c>
      <c r="BS6" s="115">
        <f>_xlfn.MINIFS($X$3:$X$77,$AC$3:AC$77," ")</f>
        <v>34</v>
      </c>
      <c r="BT6" s="116">
        <f>[1]WR!$AL$4*BS6^5+[1]WR!$AM$4*BS6^4+[1]WR!$AN$4*BS6^3+[1]WR!$AO$4*BS6^2+[1]WR!$AP$4*BS6+[1]WR!$AQ$4</f>
        <v>194.66212449863218</v>
      </c>
      <c r="BU6" s="117">
        <v>1194.8363503661167</v>
      </c>
      <c r="BV6" s="117">
        <f t="shared" ca="1" si="12"/>
        <v>194.66212449863218</v>
      </c>
      <c r="BW6" s="122">
        <f t="shared" ca="1" si="13"/>
        <v>0</v>
      </c>
    </row>
    <row r="7" spans="2:75" x14ac:dyDescent="0.35">
      <c r="B7" s="12">
        <f t="shared" si="6"/>
        <v>5</v>
      </c>
      <c r="C7" s="20" t="str">
        <f>'Personal Rankings'!C7</f>
        <v>Kyler Murray ARI</v>
      </c>
      <c r="D7" s="100">
        <f>INDEX('Default Rankings'!$I$3:$I$77,MATCH(E7,'Personal Rankings'!$D$3:$D$77,0))</f>
        <v>13.380462357917128</v>
      </c>
      <c r="E7" s="100">
        <f>'Personal Rankings'!D7</f>
        <v>74</v>
      </c>
      <c r="F7" s="100">
        <f ca="1">_xll.VoseLognormal(E7,D7)</f>
        <v>101.48893148529208</v>
      </c>
      <c r="G7" s="100" t="str">
        <f>IF(COUNTIF('Live Draft Picks'!$D$3:$D$254,'Player Availability'!E7)&gt;0,"Y"," ")</f>
        <v>Y</v>
      </c>
      <c r="H7" s="100" t="str">
        <f t="shared" ca="1" si="0"/>
        <v>Y</v>
      </c>
      <c r="I7" s="100"/>
      <c r="J7" s="100"/>
      <c r="K7" s="21"/>
      <c r="M7" s="12">
        <f t="shared" si="7"/>
        <v>5</v>
      </c>
      <c r="N7" s="20" t="str">
        <f>'Personal Rankings'!H7</f>
        <v>Dalvin Cook MIN</v>
      </c>
      <c r="O7" s="100">
        <f>INDEX('Default Rankings'!$N$3:$N$77,MATCH(P7,'Personal Rankings'!$I$3:$I$77,0))</f>
        <v>1.7324097742646185</v>
      </c>
      <c r="P7" s="100">
        <f>'Personal Rankings'!I7</f>
        <v>4</v>
      </c>
      <c r="Q7" s="100">
        <f ca="1">_xll.VoseLognormal(P7,O7)</f>
        <v>1.9019803155928954</v>
      </c>
      <c r="R7" s="100" t="str">
        <f>IF(COUNTIF('Live Draft Picks'!$D$3:$D$254,'Player Availability'!P7)&gt;0,"Y"," ")</f>
        <v>Y</v>
      </c>
      <c r="S7" s="100" t="str">
        <f t="shared" ca="1" si="1"/>
        <v>Y</v>
      </c>
      <c r="T7" s="100"/>
      <c r="U7" s="100"/>
      <c r="V7" s="21"/>
      <c r="X7" s="12">
        <f t="shared" si="8"/>
        <v>5</v>
      </c>
      <c r="Y7" s="20" t="str">
        <f>'Personal Rankings'!M7</f>
        <v>Chris Godwin TB</v>
      </c>
      <c r="Z7" s="100">
        <f>INDEX('Default Rankings'!$S$3:$S$77,MATCH(AA7,'Personal Rankings'!$N$3:$N$77,0))</f>
        <v>5.1918748831259141</v>
      </c>
      <c r="AA7" s="100">
        <f>'Personal Rankings'!N7</f>
        <v>21</v>
      </c>
      <c r="AB7" s="100">
        <f ca="1">_xll.VoseLognormal(AA7,Z7)</f>
        <v>21.401936880897189</v>
      </c>
      <c r="AC7" s="100" t="str">
        <f>IF(COUNTIF('Live Draft Picks'!$D$3:$D$254,'Player Availability'!AA7)&gt;0,"Y"," ")</f>
        <v>Y</v>
      </c>
      <c r="AD7" s="100" t="str">
        <f t="shared" ca="1" si="2"/>
        <v>Y</v>
      </c>
      <c r="AE7" s="100"/>
      <c r="AF7" s="100"/>
      <c r="AG7" s="21"/>
      <c r="AI7" s="12">
        <f t="shared" si="9"/>
        <v>5</v>
      </c>
      <c r="AJ7" s="20" t="str">
        <f>'Personal Rankings'!R7</f>
        <v>Darren Waller LV</v>
      </c>
      <c r="AK7" s="100">
        <f>INDEX('Default Rankings'!$X$3:$X$77,MATCH(AL7,'Personal Rankings'!$S$3:$S$77,0))</f>
        <v>19.247133861051644</v>
      </c>
      <c r="AL7" s="100">
        <f>'Personal Rankings'!S7</f>
        <v>69</v>
      </c>
      <c r="AM7" s="100">
        <f ca="1">_xll.VoseLognormal(AL7,AK7)</f>
        <v>72.455121809525153</v>
      </c>
      <c r="AN7" s="100" t="str">
        <f>IF(COUNTIF('Live Draft Picks'!$D$3:$D$254,'Player Availability'!AL7)&gt;0,"Y"," ")</f>
        <v>Y</v>
      </c>
      <c r="AO7" s="100" t="str">
        <f t="shared" ca="1" si="3"/>
        <v>Y</v>
      </c>
      <c r="AP7" s="100"/>
      <c r="AQ7" s="100"/>
      <c r="AR7" s="21"/>
      <c r="AT7" s="12">
        <f t="shared" si="10"/>
        <v>5</v>
      </c>
      <c r="AU7" s="20" t="str">
        <f>'Personal Rankings'!W7</f>
        <v xml:space="preserve">Saints D/ST </v>
      </c>
      <c r="AV7" s="100">
        <f>INDEX('Default Rankings'!$AC$3:$AC$77,MATCH(AW7,'Personal Rankings'!$X$3:$X$77,0))</f>
        <v>26.772701593886055</v>
      </c>
      <c r="AW7" s="100">
        <f>'Personal Rankings'!X7</f>
        <v>179</v>
      </c>
      <c r="AX7" s="100">
        <f ca="1">_xll.VoseLognormal(AW7,AV7)</f>
        <v>149.25191582653983</v>
      </c>
      <c r="AY7" s="100" t="str">
        <f>IF(COUNTIF('Live Draft Picks'!$D$3:$D$254,'Player Availability'!AW7)&gt;0,"Y"," ")</f>
        <v>Y</v>
      </c>
      <c r="AZ7" s="100" t="str">
        <f t="shared" ca="1" si="4"/>
        <v>Y</v>
      </c>
      <c r="BA7" s="100"/>
      <c r="BB7" s="100"/>
      <c r="BC7" s="21"/>
      <c r="BE7" s="12">
        <f t="shared" si="11"/>
        <v>5</v>
      </c>
      <c r="BF7" s="20" t="str">
        <f>'Personal Rankings'!AB7</f>
        <v>Robbie Gould SF</v>
      </c>
      <c r="BG7" s="100">
        <f>INDEX('Default Rankings'!$AH$3:$AH$77,MATCH(BH7,'Personal Rankings'!$AC$3:$AC$77,0))</f>
        <v>22.89772029547018</v>
      </c>
      <c r="BH7" s="100">
        <f>'Personal Rankings'!AC7</f>
        <v>188</v>
      </c>
      <c r="BI7" s="100">
        <f ca="1">_xll.VoseLognormal(BH7,BG7)</f>
        <v>221.60179234672941</v>
      </c>
      <c r="BJ7" s="100" t="str">
        <f>IF(COUNTIF('Live Draft Picks'!$D$3:$D$254,'Player Availability'!BH7)&gt;0,"Y"," ")</f>
        <v>Y</v>
      </c>
      <c r="BK7" s="100" t="str">
        <f t="shared" ca="1" si="5"/>
        <v>Y</v>
      </c>
      <c r="BL7" s="100"/>
      <c r="BM7" s="100"/>
      <c r="BN7" s="21"/>
      <c r="BP7" s="1"/>
      <c r="BR7" s="113" t="s">
        <v>7</v>
      </c>
      <c r="BS7" s="115">
        <f>_xlfn.MINIFS($AI$3:$AI$77,$AN$3:$AN$77," ")</f>
        <v>12</v>
      </c>
      <c r="BT7" s="116">
        <f>[1]TE!$AL$4*BS7^5+[1]TE!$AM$4*BS7^4+[1]TE!$AN$4*BS7^3+[1]TE!$AO$4*BS7^2+[1]TE!$AP$4*BS7+[1]TE!$AQ$4</f>
        <v>152.55117939206127</v>
      </c>
      <c r="BU7" s="117">
        <v>1162.181329067655</v>
      </c>
      <c r="BV7" s="117">
        <f t="shared" ca="1" si="12"/>
        <v>152.55117939206127</v>
      </c>
      <c r="BW7" s="122">
        <f t="shared" ca="1" si="13"/>
        <v>0</v>
      </c>
    </row>
    <row r="8" spans="2:75" x14ac:dyDescent="0.35">
      <c r="B8" s="12">
        <f t="shared" si="6"/>
        <v>6</v>
      </c>
      <c r="C8" s="20" t="str">
        <f>'Personal Rankings'!C8</f>
        <v>Deshaun Watson HOU</v>
      </c>
      <c r="D8" s="100">
        <f>INDEX('Default Rankings'!$I$3:$I$77,MATCH(E8,'Personal Rankings'!$D$3:$D$77,0))</f>
        <v>13.559247361956343</v>
      </c>
      <c r="E8" s="100">
        <f>'Personal Rankings'!D8</f>
        <v>73</v>
      </c>
      <c r="F8" s="100">
        <f ca="1">_xll.VoseLognormal(E8,D8)</f>
        <v>57.46661072790468</v>
      </c>
      <c r="G8" s="100" t="str">
        <f>IF(COUNTIF('Live Draft Picks'!$D$3:$D$254,'Player Availability'!E8)&gt;0,"Y"," ")</f>
        <v>Y</v>
      </c>
      <c r="H8" s="100" t="str">
        <f t="shared" ca="1" si="0"/>
        <v>Y</v>
      </c>
      <c r="I8" s="100"/>
      <c r="J8" s="100"/>
      <c r="K8" s="21"/>
      <c r="M8" s="12">
        <f t="shared" si="7"/>
        <v>6</v>
      </c>
      <c r="N8" s="20" t="str">
        <f>'Personal Rankings'!H8</f>
        <v>Derrick Henry TEN</v>
      </c>
      <c r="O8" s="100">
        <f>INDEX('Default Rankings'!$N$3:$N$77,MATCH(P8,'Personal Rankings'!$I$3:$I$77,0))</f>
        <v>2.4040791611752659</v>
      </c>
      <c r="P8" s="100">
        <f>'Personal Rankings'!I8</f>
        <v>7</v>
      </c>
      <c r="Q8" s="100">
        <f ca="1">_xll.VoseLognormal(P8,O8)</f>
        <v>3.3064876350033923</v>
      </c>
      <c r="R8" s="100" t="str">
        <f>IF(COUNTIF('Live Draft Picks'!$D$3:$D$254,'Player Availability'!P8)&gt;0,"Y"," ")</f>
        <v>Y</v>
      </c>
      <c r="S8" s="100" t="str">
        <f t="shared" ca="1" si="1"/>
        <v>Y</v>
      </c>
      <c r="T8" s="100"/>
      <c r="U8" s="100"/>
      <c r="V8" s="21"/>
      <c r="X8" s="12">
        <f t="shared" si="8"/>
        <v>6</v>
      </c>
      <c r="Y8" s="20" t="str">
        <f>'Personal Rankings'!M8</f>
        <v>DeAndre Hopkins ARI</v>
      </c>
      <c r="Z8" s="100">
        <f>INDEX('Default Rankings'!$S$3:$S$77,MATCH(AA8,'Personal Rankings'!$N$3:$N$77,0))</f>
        <v>5.7219911045568423</v>
      </c>
      <c r="AA8" s="100">
        <f>'Personal Rankings'!N8</f>
        <v>19</v>
      </c>
      <c r="AB8" s="100">
        <f ca="1">_xll.VoseLognormal(AA8,Z8)</f>
        <v>19.395146804851588</v>
      </c>
      <c r="AC8" s="100" t="str">
        <f>IF(COUNTIF('Live Draft Picks'!$D$3:$D$254,'Player Availability'!AA8)&gt;0,"Y"," ")</f>
        <v>Y</v>
      </c>
      <c r="AD8" s="100" t="str">
        <f t="shared" ca="1" si="2"/>
        <v>Y</v>
      </c>
      <c r="AE8" s="100"/>
      <c r="AF8" s="100"/>
      <c r="AG8" s="21"/>
      <c r="AI8" s="12">
        <f t="shared" si="9"/>
        <v>6</v>
      </c>
      <c r="AJ8" s="20" t="str">
        <f>'Personal Rankings'!R8</f>
        <v>Tyler Higbee LAR</v>
      </c>
      <c r="AK8" s="100">
        <f>INDEX('Default Rankings'!$X$3:$X$77,MATCH(AL8,'Personal Rankings'!$S$3:$S$77,0))</f>
        <v>21.897960538377795</v>
      </c>
      <c r="AL8" s="100">
        <f>'Personal Rankings'!S8</f>
        <v>83</v>
      </c>
      <c r="AM8" s="100">
        <f ca="1">_xll.VoseLognormal(AL8,AK8)</f>
        <v>153.83149458471797</v>
      </c>
      <c r="AN8" s="100" t="str">
        <f>IF(COUNTIF('Live Draft Picks'!$D$3:$D$254,'Player Availability'!AL8)&gt;0,"Y"," ")</f>
        <v>Y</v>
      </c>
      <c r="AO8" s="100" t="str">
        <f t="shared" ca="1" si="3"/>
        <v>Y</v>
      </c>
      <c r="AP8" s="100"/>
      <c r="AQ8" s="100"/>
      <c r="AR8" s="21"/>
      <c r="AT8" s="12">
        <f t="shared" si="10"/>
        <v>6</v>
      </c>
      <c r="AU8" s="20" t="str">
        <f>'Personal Rankings'!W8</f>
        <v xml:space="preserve">Bears D/ST </v>
      </c>
      <c r="AV8" s="100">
        <f>INDEX('Default Rankings'!$AC$3:$AC$77,MATCH(AW8,'Personal Rankings'!$X$3:$X$77,0))</f>
        <v>26.887997906769414</v>
      </c>
      <c r="AW8" s="100">
        <f>'Personal Rankings'!X8</f>
        <v>176</v>
      </c>
      <c r="AX8" s="100">
        <f ca="1">_xll.VoseLognormal(AW8,AV8)</f>
        <v>195.15533483881117</v>
      </c>
      <c r="AY8" s="100" t="str">
        <f>IF(COUNTIF('Live Draft Picks'!$D$3:$D$254,'Player Availability'!AW8)&gt;0,"Y"," ")</f>
        <v>Y</v>
      </c>
      <c r="AZ8" s="100" t="str">
        <f t="shared" ca="1" si="4"/>
        <v>Y</v>
      </c>
      <c r="BA8" s="100"/>
      <c r="BB8" s="100"/>
      <c r="BC8" s="21"/>
      <c r="BE8" s="12">
        <f t="shared" si="11"/>
        <v>6</v>
      </c>
      <c r="BF8" s="20" t="str">
        <f>'Personal Rankings'!AB8</f>
        <v>Matt Prater DET</v>
      </c>
      <c r="BG8" s="100">
        <f>INDEX('Default Rankings'!$AH$3:$AH$77,MATCH(BH8,'Personal Rankings'!$AC$3:$AC$77,0))</f>
        <v>23.007201727804194</v>
      </c>
      <c r="BH8" s="100">
        <f>'Personal Rankings'!AC8</f>
        <v>185</v>
      </c>
      <c r="BI8" s="100">
        <f ca="1">_xll.VoseLognormal(BH8,BG8)</f>
        <v>202.20588403716556</v>
      </c>
      <c r="BJ8" s="100" t="str">
        <f>IF(COUNTIF('Live Draft Picks'!$D$3:$D$254,'Player Availability'!BH8)&gt;0,"Y"," ")</f>
        <v>Y</v>
      </c>
      <c r="BK8" s="100" t="str">
        <f t="shared" ca="1" si="5"/>
        <v>Y</v>
      </c>
      <c r="BL8" s="100"/>
      <c r="BM8" s="100"/>
      <c r="BN8" s="21"/>
      <c r="BP8" s="1"/>
      <c r="BR8" s="113" t="s">
        <v>8</v>
      </c>
      <c r="BS8" s="115">
        <f>_xlfn.MINIFS($AT$3:$AT$77,$AY$3:AY$77," ")</f>
        <v>9</v>
      </c>
      <c r="BT8" s="116">
        <f>[1]DST!$R$4*BS8^5+[1]DST!$S$4*BS8^4+[1]DST!$T$4*BS8^3+[1]DST!$U$4*BS8^2+[1]DST!$V$4*BS8+[1]DST!$W$4</f>
        <v>113.31752462604094</v>
      </c>
      <c r="BU8" s="117">
        <v>1269.0869026768116</v>
      </c>
      <c r="BV8" s="117">
        <f t="shared" ca="1" si="12"/>
        <v>113.31752462604094</v>
      </c>
      <c r="BW8" s="122">
        <f t="shared" ca="1" si="13"/>
        <v>0</v>
      </c>
    </row>
    <row r="9" spans="2:75" ht="15" thickBot="1" x14ac:dyDescent="0.4">
      <c r="B9" s="12">
        <f t="shared" si="6"/>
        <v>7</v>
      </c>
      <c r="C9" s="20" t="str">
        <f>'Personal Rankings'!C9</f>
        <v>Matt Ryan ATL</v>
      </c>
      <c r="D9" s="100">
        <f>INDEX('Default Rankings'!$I$3:$I$77,MATCH(E9,'Personal Rankings'!$D$3:$D$77,0))</f>
        <v>20.725690517519254</v>
      </c>
      <c r="E9" s="100">
        <f>'Personal Rankings'!D9</f>
        <v>116</v>
      </c>
      <c r="F9" s="100">
        <f ca="1">_xll.VoseLognormal(E9,D9)</f>
        <v>116.55787507684668</v>
      </c>
      <c r="G9" s="100" t="str">
        <f>IF(COUNTIF('Live Draft Picks'!$D$3:$D$254,'Player Availability'!E9)&gt;0,"Y"," ")</f>
        <v>Y</v>
      </c>
      <c r="H9" s="100" t="str">
        <f t="shared" ca="1" si="0"/>
        <v>Y</v>
      </c>
      <c r="I9" s="100"/>
      <c r="J9" s="100"/>
      <c r="K9" s="21"/>
      <c r="M9" s="12">
        <f t="shared" si="7"/>
        <v>7</v>
      </c>
      <c r="N9" s="20" t="str">
        <f>'Personal Rankings'!H9</f>
        <v>Clyde Edwards-Helaire KC</v>
      </c>
      <c r="O9" s="100">
        <f>INDEX('Default Rankings'!$N$3:$N$77,MATCH(P9,'Personal Rankings'!$I$3:$I$77,0))</f>
        <v>2.7377829658369968</v>
      </c>
      <c r="P9" s="100">
        <f>'Personal Rankings'!I9</f>
        <v>8</v>
      </c>
      <c r="Q9" s="100">
        <f ca="1">_xll.VoseLognormal(P9,O9)</f>
        <v>9.2752902335005487</v>
      </c>
      <c r="R9" s="100" t="str">
        <f>IF(COUNTIF('Live Draft Picks'!$D$3:$D$254,'Player Availability'!P9)&gt;0,"Y"," ")</f>
        <v>Y</v>
      </c>
      <c r="S9" s="100" t="str">
        <f t="shared" ca="1" si="1"/>
        <v>Y</v>
      </c>
      <c r="T9" s="100"/>
      <c r="U9" s="100"/>
      <c r="V9" s="21"/>
      <c r="X9" s="12">
        <f t="shared" si="8"/>
        <v>7</v>
      </c>
      <c r="Y9" s="20" t="str">
        <f>'Personal Rankings'!M9</f>
        <v>Kenny Golladay DET</v>
      </c>
      <c r="Z9" s="100">
        <f>INDEX('Default Rankings'!$S$3:$S$77,MATCH(AA9,'Personal Rankings'!$N$3:$N$77,0))</f>
        <v>5.9851745783979222</v>
      </c>
      <c r="AA9" s="100">
        <f>'Personal Rankings'!N9</f>
        <v>24</v>
      </c>
      <c r="AB9" s="100">
        <f ca="1">_xll.VoseLognormal(AA9,Z9)</f>
        <v>22.255745697157831</v>
      </c>
      <c r="AC9" s="100" t="str">
        <f>IF(COUNTIF('Live Draft Picks'!$D$3:$D$254,'Player Availability'!AA9)&gt;0,"Y"," ")</f>
        <v>Y</v>
      </c>
      <c r="AD9" s="100" t="str">
        <f t="shared" ca="1" si="2"/>
        <v>Y</v>
      </c>
      <c r="AE9" s="100"/>
      <c r="AF9" s="100"/>
      <c r="AG9" s="21"/>
      <c r="AI9" s="12">
        <f t="shared" si="9"/>
        <v>7</v>
      </c>
      <c r="AJ9" s="20" t="str">
        <f>'Personal Rankings'!R9</f>
        <v>Hayden Hurst ATL</v>
      </c>
      <c r="AK9" s="100">
        <f>INDEX('Default Rankings'!$X$3:$X$77,MATCH(AL9,'Personal Rankings'!$S$3:$S$77,0))</f>
        <v>22.088940765740361</v>
      </c>
      <c r="AL9" s="100">
        <f>'Personal Rankings'!S9</f>
        <v>114</v>
      </c>
      <c r="AM9" s="100">
        <f ca="1">_xll.VoseLognormal(AL9,AK9)</f>
        <v>155.26206352824263</v>
      </c>
      <c r="AN9" s="100" t="str">
        <f>IF(COUNTIF('Live Draft Picks'!$D$3:$D$254,'Player Availability'!AL9)&gt;0,"Y"," ")</f>
        <v>Y</v>
      </c>
      <c r="AO9" s="100" t="str">
        <f t="shared" ca="1" si="3"/>
        <v>Y</v>
      </c>
      <c r="AP9" s="100"/>
      <c r="AQ9" s="100"/>
      <c r="AR9" s="21"/>
      <c r="AT9" s="12">
        <f t="shared" si="10"/>
        <v>7</v>
      </c>
      <c r="AU9" s="20" t="str">
        <f>'Personal Rankings'!W9</f>
        <v xml:space="preserve">Patriots D/ST </v>
      </c>
      <c r="AV9" s="100">
        <f>INDEX('Default Rankings'!$AC$3:$AC$77,MATCH(AW9,'Personal Rankings'!$X$3:$X$77,0))</f>
        <v>27.002853197011483</v>
      </c>
      <c r="AW9" s="100">
        <f>'Personal Rankings'!X9</f>
        <v>174</v>
      </c>
      <c r="AX9" s="100">
        <f ca="1">_xll.VoseLognormal(AW9,AV9)</f>
        <v>134.49918858554483</v>
      </c>
      <c r="AY9" s="100" t="str">
        <f>IF(COUNTIF('Live Draft Picks'!$D$3:$D$254,'Player Availability'!AW9)&gt;0,"Y"," ")</f>
        <v>Y</v>
      </c>
      <c r="AZ9" s="100" t="str">
        <f t="shared" ca="1" si="4"/>
        <v>Y</v>
      </c>
      <c r="BA9" s="100"/>
      <c r="BB9" s="100"/>
      <c r="BC9" s="21"/>
      <c r="BE9" s="12">
        <f t="shared" si="11"/>
        <v>7</v>
      </c>
      <c r="BF9" s="20" t="str">
        <f>'Personal Rankings'!AB9</f>
        <v>Zane Gonzalez ARI</v>
      </c>
      <c r="BG9" s="100">
        <f>INDEX('Default Rankings'!$AH$3:$AH$77,MATCH(BH9,'Personal Rankings'!$AC$3:$AC$77,0))</f>
        <v>23.116537473917919</v>
      </c>
      <c r="BH9" s="100">
        <f>'Personal Rankings'!AC9</f>
        <v>189</v>
      </c>
      <c r="BI9" s="100">
        <f ca="1">_xll.VoseLognormal(BH9,BG9)</f>
        <v>147.30178540759647</v>
      </c>
      <c r="BJ9" s="100" t="str">
        <f>IF(COUNTIF('Live Draft Picks'!$D$3:$D$254,'Player Availability'!BH9)&gt;0,"Y"," ")</f>
        <v xml:space="preserve"> </v>
      </c>
      <c r="BK9" s="100" t="str">
        <f t="shared" ca="1" si="5"/>
        <v xml:space="preserve"> </v>
      </c>
      <c r="BL9" s="100"/>
      <c r="BM9" s="100"/>
      <c r="BN9" s="21"/>
      <c r="BR9" s="114" t="s">
        <v>9</v>
      </c>
      <c r="BS9" s="119">
        <f>_xlfn.MINIFS($BE$3:$BE$77,$BJ$3:BJ$77," ")</f>
        <v>7</v>
      </c>
      <c r="BT9" s="120">
        <f>[1]K!$AG$4*BS9^5+[1]K!$AH$4*BS9^4+[1]K!$AI$4*BS9^3+[1]K!$AJ$4*BS9^2+[1]K!$AK$4*BS9+[1]K!$AL$4</f>
        <v>139.81742994336727</v>
      </c>
      <c r="BU9" s="121">
        <v>1457.9742774065617</v>
      </c>
      <c r="BV9" s="121">
        <f t="shared" ca="1" si="12"/>
        <v>139.81742994336727</v>
      </c>
      <c r="BW9" s="123">
        <f t="shared" ca="1" si="13"/>
        <v>0</v>
      </c>
    </row>
    <row r="10" spans="2:75" x14ac:dyDescent="0.35">
      <c r="B10" s="12">
        <f t="shared" si="6"/>
        <v>8</v>
      </c>
      <c r="C10" s="20" t="str">
        <f>'Personal Rankings'!C10</f>
        <v>Tom Brady TB</v>
      </c>
      <c r="D10" s="100">
        <f>INDEX('Default Rankings'!$I$3:$I$77,MATCH(E10,'Personal Rankings'!$D$3:$D$77,0))</f>
        <v>20.905227671258185</v>
      </c>
      <c r="E10" s="100">
        <f>'Personal Rankings'!D10</f>
        <v>117</v>
      </c>
      <c r="F10" s="100">
        <f ca="1">_xll.VoseLognormal(E10,D10)</f>
        <v>95.500427309275253</v>
      </c>
      <c r="G10" s="100" t="str">
        <f>IF(COUNTIF('Live Draft Picks'!$D$3:$D$254,'Player Availability'!E10)&gt;0,"Y"," ")</f>
        <v>Y</v>
      </c>
      <c r="H10" s="100" t="str">
        <f t="shared" ca="1" si="0"/>
        <v>Y</v>
      </c>
      <c r="I10" s="100"/>
      <c r="J10" s="100"/>
      <c r="K10" s="21"/>
      <c r="M10" s="12">
        <f t="shared" si="7"/>
        <v>8</v>
      </c>
      <c r="N10" s="20" t="str">
        <f>'Personal Rankings'!H10</f>
        <v>Joe Mixon CIN</v>
      </c>
      <c r="O10" s="100">
        <f>INDEX('Default Rankings'!$N$3:$N$77,MATCH(P10,'Personal Rankings'!$I$3:$I$77,0))</f>
        <v>3.0700661779696654</v>
      </c>
      <c r="P10" s="100">
        <f>'Personal Rankings'!I10</f>
        <v>12</v>
      </c>
      <c r="Q10" s="100">
        <f ca="1">_xll.VoseLognormal(P10,O10)</f>
        <v>14.686535311712181</v>
      </c>
      <c r="R10" s="100" t="str">
        <f>IF(COUNTIF('Live Draft Picks'!$D$3:$D$254,'Player Availability'!P10)&gt;0,"Y"," ")</f>
        <v>Y</v>
      </c>
      <c r="S10" s="100" t="str">
        <f t="shared" ca="1" si="1"/>
        <v>Y</v>
      </c>
      <c r="T10" s="100"/>
      <c r="U10" s="100"/>
      <c r="V10" s="21"/>
      <c r="X10" s="12">
        <f t="shared" si="8"/>
        <v>8</v>
      </c>
      <c r="Y10" s="20" t="str">
        <f>'Personal Rankings'!M10</f>
        <v>Allen Robinson II CHI</v>
      </c>
      <c r="Z10" s="100">
        <f>INDEX('Default Rankings'!$S$3:$S$77,MATCH(AA10,'Personal Rankings'!$N$3:$N$77,0))</f>
        <v>6.507792252331317</v>
      </c>
      <c r="AA10" s="100">
        <f>'Personal Rankings'!N10</f>
        <v>28</v>
      </c>
      <c r="AB10" s="100">
        <f ca="1">_xll.VoseLognormal(AA10,Z10)</f>
        <v>28.921986298913243</v>
      </c>
      <c r="AC10" s="100" t="str">
        <f>IF(COUNTIF('Live Draft Picks'!$D$3:$D$254,'Player Availability'!AA10)&gt;0,"Y"," ")</f>
        <v>Y</v>
      </c>
      <c r="AD10" s="100" t="str">
        <f t="shared" ca="1" si="2"/>
        <v>Y</v>
      </c>
      <c r="AE10" s="100"/>
      <c r="AF10" s="100"/>
      <c r="AG10" s="21"/>
      <c r="AI10" s="12">
        <f t="shared" si="9"/>
        <v>8</v>
      </c>
      <c r="AJ10" s="20" t="str">
        <f>'Personal Rankings'!R10</f>
        <v>Hunter Henry LAC</v>
      </c>
      <c r="AK10" s="100">
        <f>INDEX('Default Rankings'!$X$3:$X$77,MATCH(AL10,'Personal Rankings'!$S$3:$S$77,0))</f>
        <v>26.547212983984643</v>
      </c>
      <c r="AL10" s="100">
        <f>'Personal Rankings'!S10</f>
        <v>110</v>
      </c>
      <c r="AM10" s="100">
        <f ca="1">_xll.VoseLognormal(AL10,AK10)</f>
        <v>88.223180392723549</v>
      </c>
      <c r="AN10" s="100" t="str">
        <f>IF(COUNTIF('Live Draft Picks'!$D$3:$D$254,'Player Availability'!AL10)&gt;0,"Y"," ")</f>
        <v>Y</v>
      </c>
      <c r="AO10" s="100" t="str">
        <f t="shared" ca="1" si="3"/>
        <v>Y</v>
      </c>
      <c r="AP10" s="100"/>
      <c r="AQ10" s="100"/>
      <c r="AR10" s="21"/>
      <c r="AT10" s="12">
        <f t="shared" si="10"/>
        <v>8</v>
      </c>
      <c r="AU10" s="20" t="str">
        <f>'Personal Rankings'!W10</f>
        <v xml:space="preserve">Chiefs D/ST </v>
      </c>
      <c r="AV10" s="100">
        <f>INDEX('Default Rankings'!$AC$3:$AC$77,MATCH(AW10,'Personal Rankings'!$X$3:$X$77,0))</f>
        <v>27.117267464612254</v>
      </c>
      <c r="AW10" s="100">
        <f>'Personal Rankings'!X10</f>
        <v>296</v>
      </c>
      <c r="AX10" s="100">
        <f ca="1">_xll.VoseLognormal(AW10,AV10)</f>
        <v>290.12401903713533</v>
      </c>
      <c r="AY10" s="100" t="str">
        <f>IF(COUNTIF('Live Draft Picks'!$D$3:$D$254,'Player Availability'!AW10)&gt;0,"Y"," ")</f>
        <v>Y</v>
      </c>
      <c r="AZ10" s="100" t="str">
        <f t="shared" ca="1" si="4"/>
        <v>Y</v>
      </c>
      <c r="BA10" s="100"/>
      <c r="BB10" s="100"/>
      <c r="BC10" s="21"/>
      <c r="BE10" s="12">
        <f t="shared" si="11"/>
        <v>8</v>
      </c>
      <c r="BF10" s="20">
        <f>'Personal Rankings'!AB10</f>
        <v>0</v>
      </c>
      <c r="BG10" s="100">
        <f>INDEX('Default Rankings'!$AH$3:$AH$77,MATCH(BH10,'Personal Rankings'!$AC$3:$AC$77,0))</f>
        <v>23.225727533811355</v>
      </c>
      <c r="BH10" s="100" t="str">
        <f>'Personal Rankings'!AC10</f>
        <v/>
      </c>
      <c r="BI10" s="100" t="str">
        <f ca="1">_xll.VoseLognormal(BH10,BG10)</f>
        <v>Error: Mu must be &gt; 0</v>
      </c>
      <c r="BJ10" s="100" t="str">
        <f>IF(COUNTIF('Live Draft Picks'!$D$3:$D$254,'Player Availability'!BH10)&gt;0,"Y"," ")</f>
        <v>Y</v>
      </c>
      <c r="BK10" s="100" t="str">
        <f t="shared" ca="1" si="5"/>
        <v>Y</v>
      </c>
      <c r="BL10" s="100"/>
      <c r="BM10" s="100"/>
      <c r="BN10" s="21"/>
    </row>
    <row r="11" spans="2:75" x14ac:dyDescent="0.35">
      <c r="B11" s="12">
        <f t="shared" si="6"/>
        <v>9</v>
      </c>
      <c r="C11" s="20" t="str">
        <f>'Personal Rankings'!C11</f>
        <v>Drew Brees NO</v>
      </c>
      <c r="D11" s="100">
        <f>INDEX('Default Rankings'!$I$3:$I$77,MATCH(E11,'Personal Rankings'!$D$3:$D$77,0))</f>
        <v>21.084783170111745</v>
      </c>
      <c r="E11" s="100">
        <f>'Personal Rankings'!D11</f>
        <v>120</v>
      </c>
      <c r="F11" s="100">
        <f ca="1">_xll.VoseLognormal(E11,D11)</f>
        <v>127.25633248136053</v>
      </c>
      <c r="G11" s="100" t="str">
        <f>IF(COUNTIF('Live Draft Picks'!$D$3:$D$254,'Player Availability'!E11)&gt;0,"Y"," ")</f>
        <v>Y</v>
      </c>
      <c r="H11" s="100" t="str">
        <f t="shared" ca="1" si="0"/>
        <v>Y</v>
      </c>
      <c r="I11" s="100"/>
      <c r="J11" s="100"/>
      <c r="K11" s="21"/>
      <c r="M11" s="12">
        <f t="shared" si="7"/>
        <v>9</v>
      </c>
      <c r="N11" s="20" t="str">
        <f>'Personal Rankings'!H11</f>
        <v>Josh Jacobs LV</v>
      </c>
      <c r="O11" s="100">
        <f>INDEX('Default Rankings'!$N$3:$N$77,MATCH(P11,'Personal Rankings'!$I$3:$I$77,0))</f>
        <v>3.4009287975732727</v>
      </c>
      <c r="P11" s="100">
        <f>'Personal Rankings'!I11</f>
        <v>10</v>
      </c>
      <c r="Q11" s="100">
        <f ca="1">_xll.VoseLognormal(P11,O11)</f>
        <v>13.109295809077004</v>
      </c>
      <c r="R11" s="100" t="str">
        <f>IF(COUNTIF('Live Draft Picks'!$D$3:$D$254,'Player Availability'!P11)&gt;0,"Y"," ")</f>
        <v>Y</v>
      </c>
      <c r="S11" s="100" t="str">
        <f t="shared" ca="1" si="1"/>
        <v>Y</v>
      </c>
      <c r="T11" s="100"/>
      <c r="U11" s="100"/>
      <c r="V11" s="21"/>
      <c r="X11" s="12">
        <f t="shared" si="8"/>
        <v>9</v>
      </c>
      <c r="Y11" s="20" t="str">
        <f>'Personal Rankings'!M11</f>
        <v>Mike Evans TB</v>
      </c>
      <c r="Z11" s="100">
        <f>INDEX('Default Rankings'!$S$3:$S$77,MATCH(AA11,'Personal Rankings'!$N$3:$N$77,0))</f>
        <v>6.7672264524236319</v>
      </c>
      <c r="AA11" s="100">
        <f>'Personal Rankings'!N11</f>
        <v>22</v>
      </c>
      <c r="AB11" s="100">
        <f ca="1">_xll.VoseLognormal(AA11,Z11)</f>
        <v>22.847960129364804</v>
      </c>
      <c r="AC11" s="100" t="str">
        <f>IF(COUNTIF('Live Draft Picks'!$D$3:$D$254,'Player Availability'!AA11)&gt;0,"Y"," ")</f>
        <v>Y</v>
      </c>
      <c r="AD11" s="100" t="str">
        <f t="shared" ca="1" si="2"/>
        <v>Y</v>
      </c>
      <c r="AE11" s="100"/>
      <c r="AF11" s="100"/>
      <c r="AG11" s="21"/>
      <c r="AI11" s="12">
        <f t="shared" si="9"/>
        <v>9</v>
      </c>
      <c r="AJ11" s="20" t="str">
        <f>'Personal Rankings'!R11</f>
        <v>Evan Engram NYG</v>
      </c>
      <c r="AK11" s="100">
        <f>INDEX('Default Rankings'!$X$3:$X$77,MATCH(AL11,'Personal Rankings'!$S$3:$S$77,0))</f>
        <v>26.686475143158688</v>
      </c>
      <c r="AL11" s="100">
        <f>'Personal Rankings'!S11</f>
        <v>82</v>
      </c>
      <c r="AM11" s="100">
        <f ca="1">_xll.VoseLognormal(AL11,AK11)</f>
        <v>93.913553213441844</v>
      </c>
      <c r="AN11" s="100" t="str">
        <f>IF(COUNTIF('Live Draft Picks'!$D$3:$D$254,'Player Availability'!AL11)&gt;0,"Y"," ")</f>
        <v>Y</v>
      </c>
      <c r="AO11" s="100" t="str">
        <f t="shared" ca="1" si="3"/>
        <v>Y</v>
      </c>
      <c r="AP11" s="100"/>
      <c r="AQ11" s="100"/>
      <c r="AR11" s="21"/>
      <c r="AT11" s="12">
        <f t="shared" si="10"/>
        <v>9</v>
      </c>
      <c r="AU11" s="20" t="str">
        <f>'Personal Rankings'!W11</f>
        <v xml:space="preserve">Broncos D/ST </v>
      </c>
      <c r="AV11" s="100">
        <f>INDEX('Default Rankings'!$AC$3:$AC$77,MATCH(AW11,'Personal Rankings'!$X$3:$X$77,0))</f>
        <v>27.231240709571725</v>
      </c>
      <c r="AW11" s="100">
        <f>'Personal Rankings'!X11</f>
        <v>178</v>
      </c>
      <c r="AX11" s="100">
        <f ca="1">_xll.VoseLognormal(AW11,AV11)</f>
        <v>179.30400218451291</v>
      </c>
      <c r="AY11" s="100" t="str">
        <f>IF(COUNTIF('Live Draft Picks'!$D$3:$D$254,'Player Availability'!AW11)&gt;0,"Y"," ")</f>
        <v xml:space="preserve"> </v>
      </c>
      <c r="AZ11" s="100" t="str">
        <f t="shared" ca="1" si="4"/>
        <v xml:space="preserve"> </v>
      </c>
      <c r="BA11" s="100"/>
      <c r="BB11" s="100"/>
      <c r="BC11" s="21"/>
      <c r="BE11" s="12">
        <f t="shared" si="11"/>
        <v>9</v>
      </c>
      <c r="BF11" s="20" t="str">
        <f>'Personal Rankings'!AB11</f>
        <v>Younghoe Koo ATL</v>
      </c>
      <c r="BG11" s="100">
        <f>INDEX('Default Rankings'!$AH$3:$AH$77,MATCH(BH11,'Personal Rankings'!$AC$3:$AC$77,0))</f>
        <v>23.334771907484509</v>
      </c>
      <c r="BH11" s="100">
        <f>'Personal Rankings'!AC11</f>
        <v>226</v>
      </c>
      <c r="BI11" s="100">
        <f ca="1">_xll.VoseLognormal(BH11,BG11)</f>
        <v>209.25003215180212</v>
      </c>
      <c r="BJ11" s="100" t="str">
        <f>IF(COUNTIF('Live Draft Picks'!$D$3:$D$254,'Player Availability'!BH11)&gt;0,"Y"," ")</f>
        <v xml:space="preserve"> </v>
      </c>
      <c r="BK11" s="100" t="str">
        <f t="shared" ca="1" si="5"/>
        <v xml:space="preserve"> </v>
      </c>
      <c r="BL11" s="100"/>
      <c r="BM11" s="100"/>
      <c r="BN11" s="21"/>
    </row>
    <row r="12" spans="2:75" x14ac:dyDescent="0.35">
      <c r="B12" s="12">
        <f t="shared" si="6"/>
        <v>10</v>
      </c>
      <c r="C12" s="20" t="str">
        <f>'Personal Rankings'!C12</f>
        <v>Matthew Stafford DET</v>
      </c>
      <c r="D12" s="100">
        <f>INDEX('Default Rankings'!$I$3:$I$77,MATCH(E12,'Personal Rankings'!$D$3:$D$77,0))</f>
        <v>21.264357014079927</v>
      </c>
      <c r="E12" s="100">
        <f>'Personal Rankings'!D12</f>
        <v>121</v>
      </c>
      <c r="F12" s="100">
        <f ca="1">_xll.VoseLognormal(E12,D12)</f>
        <v>137.09943677423928</v>
      </c>
      <c r="G12" s="100" t="str">
        <f>IF(COUNTIF('Live Draft Picks'!$D$3:$D$254,'Player Availability'!E12)&gt;0,"Y"," ")</f>
        <v>Y</v>
      </c>
      <c r="H12" s="100" t="str">
        <f t="shared" ca="1" si="0"/>
        <v>Y</v>
      </c>
      <c r="I12" s="100"/>
      <c r="J12" s="100"/>
      <c r="K12" s="21"/>
      <c r="M12" s="12">
        <f t="shared" si="7"/>
        <v>10</v>
      </c>
      <c r="N12" s="20" t="str">
        <f>'Personal Rankings'!H12</f>
        <v>Nick Chubb CLE</v>
      </c>
      <c r="O12" s="100">
        <f>INDEX('Default Rankings'!$N$3:$N$77,MATCH(P12,'Personal Rankings'!$I$3:$I$77,0))</f>
        <v>3.7303708246478187</v>
      </c>
      <c r="P12" s="100">
        <f>'Personal Rankings'!I12</f>
        <v>11</v>
      </c>
      <c r="Q12" s="100">
        <f ca="1">_xll.VoseLognormal(P12,O12)</f>
        <v>5.3503768269294518</v>
      </c>
      <c r="R12" s="100" t="str">
        <f>IF(COUNTIF('Live Draft Picks'!$D$3:$D$254,'Player Availability'!P12)&gt;0,"Y"," ")</f>
        <v>Y</v>
      </c>
      <c r="S12" s="100" t="str">
        <f t="shared" ca="1" si="1"/>
        <v>Y</v>
      </c>
      <c r="T12" s="100"/>
      <c r="U12" s="100"/>
      <c r="V12" s="21"/>
      <c r="X12" s="12">
        <f t="shared" si="8"/>
        <v>10</v>
      </c>
      <c r="Y12" s="20" t="str">
        <f>'Personal Rankings'!M12</f>
        <v>JuJu Smith-Schuster PIT</v>
      </c>
      <c r="Z12" s="100">
        <f>INDEX('Default Rankings'!$S$3:$S$77,MATCH(AA12,'Personal Rankings'!$N$3:$N$77,0))</f>
        <v>7.0254108945996911</v>
      </c>
      <c r="AA12" s="100">
        <f>'Personal Rankings'!N12</f>
        <v>30</v>
      </c>
      <c r="AB12" s="100">
        <f ca="1">_xll.VoseLognormal(AA12,Z12)</f>
        <v>31.419254001986637</v>
      </c>
      <c r="AC12" s="100" t="str">
        <f>IF(COUNTIF('Live Draft Picks'!$D$3:$D$254,'Player Availability'!AA12)&gt;0,"Y"," ")</f>
        <v>Y</v>
      </c>
      <c r="AD12" s="100" t="str">
        <f t="shared" ca="1" si="2"/>
        <v>Y</v>
      </c>
      <c r="AE12" s="100"/>
      <c r="AF12" s="100"/>
      <c r="AG12" s="21"/>
      <c r="AI12" s="12">
        <f t="shared" si="9"/>
        <v>10</v>
      </c>
      <c r="AJ12" s="20" t="str">
        <f>'Personal Rankings'!R12</f>
        <v>Jared Cook NO</v>
      </c>
      <c r="AK12" s="100">
        <f>INDEX('Default Rankings'!$X$3:$X$77,MATCH(AL12,'Personal Rankings'!$S$3:$S$77,0))</f>
        <v>26.823890228468848</v>
      </c>
      <c r="AL12" s="100">
        <f>'Personal Rankings'!S12</f>
        <v>111</v>
      </c>
      <c r="AM12" s="100">
        <f ca="1">_xll.VoseLognormal(AL12,AK12)</f>
        <v>88.667385623086091</v>
      </c>
      <c r="AN12" s="100" t="str">
        <f>IF(COUNTIF('Live Draft Picks'!$D$3:$D$254,'Player Availability'!AL12)&gt;0,"Y"," ")</f>
        <v>Y</v>
      </c>
      <c r="AO12" s="100" t="str">
        <f t="shared" ca="1" si="3"/>
        <v>Y</v>
      </c>
      <c r="AP12" s="100"/>
      <c r="AQ12" s="100"/>
      <c r="AR12" s="21"/>
      <c r="AT12" s="12">
        <f t="shared" si="10"/>
        <v>10</v>
      </c>
      <c r="AU12" s="20" t="str">
        <f>'Personal Rankings'!W12</f>
        <v xml:space="preserve">Chargers D/ST </v>
      </c>
      <c r="AV12" s="100">
        <f>INDEX('Default Rankings'!$AC$3:$AC$77,MATCH(AW12,'Personal Rankings'!$X$3:$X$77,0))</f>
        <v>27.344772931889899</v>
      </c>
      <c r="AW12" s="100">
        <f>'Personal Rankings'!X12</f>
        <v>181</v>
      </c>
      <c r="AX12" s="100">
        <f ca="1">_xll.VoseLognormal(AW12,AV12)</f>
        <v>236.08249594016419</v>
      </c>
      <c r="AY12" s="100" t="str">
        <f>IF(COUNTIF('Live Draft Picks'!$D$3:$D$254,'Player Availability'!AW12)&gt;0,"Y"," ")</f>
        <v xml:space="preserve"> </v>
      </c>
      <c r="AZ12" s="100" t="str">
        <f t="shared" ca="1" si="4"/>
        <v xml:space="preserve"> </v>
      </c>
      <c r="BA12" s="100"/>
      <c r="BB12" s="100"/>
      <c r="BC12" s="21"/>
      <c r="BE12" s="12">
        <f t="shared" si="11"/>
        <v>10</v>
      </c>
      <c r="BF12" s="20" t="str">
        <f>'Personal Rankings'!AB12</f>
        <v>Jake Elliott PHI</v>
      </c>
      <c r="BG12" s="100">
        <f>INDEX('Default Rankings'!$AH$3:$AH$77,MATCH(BH12,'Personal Rankings'!$AC$3:$AC$77,0))</f>
        <v>23.443670594937373</v>
      </c>
      <c r="BH12" s="100">
        <f>'Personal Rankings'!AC12</f>
        <v>190</v>
      </c>
      <c r="BI12" s="100">
        <f ca="1">_xll.VoseLognormal(BH12,BG12)</f>
        <v>213.19638823772593</v>
      </c>
      <c r="BJ12" s="100" t="str">
        <f>IF(COUNTIF('Live Draft Picks'!$D$3:$D$254,'Player Availability'!BH12)&gt;0,"Y"," ")</f>
        <v xml:space="preserve"> </v>
      </c>
      <c r="BK12" s="100" t="str">
        <f t="shared" ca="1" si="5"/>
        <v xml:space="preserve"> </v>
      </c>
      <c r="BL12" s="100"/>
      <c r="BM12" s="100"/>
      <c r="BN12" s="21"/>
    </row>
    <row r="13" spans="2:75" x14ac:dyDescent="0.35">
      <c r="B13" s="12">
        <f t="shared" si="6"/>
        <v>11</v>
      </c>
      <c r="C13" s="20" t="str">
        <f>'Personal Rankings'!C13</f>
        <v>Carson Wentz PHI</v>
      </c>
      <c r="D13" s="100">
        <f>INDEX('Default Rankings'!$I$3:$I$77,MATCH(E13,'Personal Rankings'!$D$3:$D$77,0))</f>
        <v>21.443949203162735</v>
      </c>
      <c r="E13" s="100">
        <f>'Personal Rankings'!D13</f>
        <v>118</v>
      </c>
      <c r="F13" s="100">
        <f ca="1">_xll.VoseLognormal(E13,D13)</f>
        <v>112.43819792882329</v>
      </c>
      <c r="G13" s="100" t="str">
        <f>IF(COUNTIF('Live Draft Picks'!$D$3:$D$254,'Player Availability'!E13)&gt;0,"Y"," ")</f>
        <v>Y</v>
      </c>
      <c r="H13" s="100" t="str">
        <f t="shared" ca="1" si="0"/>
        <v>Y</v>
      </c>
      <c r="I13" s="100"/>
      <c r="J13" s="100"/>
      <c r="K13" s="21"/>
      <c r="M13" s="12">
        <f t="shared" si="7"/>
        <v>11</v>
      </c>
      <c r="N13" s="20" t="str">
        <f>'Personal Rankings'!H13</f>
        <v>Austin Ekeler LAC</v>
      </c>
      <c r="O13" s="100">
        <f>INDEX('Default Rankings'!$N$3:$N$77,MATCH(P13,'Personal Rankings'!$I$3:$I$77,0))</f>
        <v>4.0583922591933028</v>
      </c>
      <c r="P13" s="100">
        <f>'Personal Rankings'!I13</f>
        <v>15</v>
      </c>
      <c r="Q13" s="100">
        <f ca="1">_xll.VoseLognormal(P13,O13)</f>
        <v>12.321846929355617</v>
      </c>
      <c r="R13" s="100" t="str">
        <f>IF(COUNTIF('Live Draft Picks'!$D$3:$D$254,'Player Availability'!P13)&gt;0,"Y"," ")</f>
        <v>Y</v>
      </c>
      <c r="S13" s="100" t="str">
        <f t="shared" ca="1" si="1"/>
        <v>Y</v>
      </c>
      <c r="T13" s="100"/>
      <c r="U13" s="100"/>
      <c r="V13" s="21"/>
      <c r="X13" s="12">
        <f t="shared" si="8"/>
        <v>11</v>
      </c>
      <c r="Y13" s="20" t="str">
        <f>'Personal Rankings'!M13</f>
        <v>DJ Moore CAR</v>
      </c>
      <c r="Z13" s="100">
        <f>INDEX('Default Rankings'!$S$3:$S$77,MATCH(AA13,'Personal Rankings'!$N$3:$N$77,0))</f>
        <v>7.2823455788594949</v>
      </c>
      <c r="AA13" s="100">
        <f>'Personal Rankings'!N13</f>
        <v>25</v>
      </c>
      <c r="AB13" s="100">
        <f ca="1">_xll.VoseLognormal(AA13,Z13)</f>
        <v>28.672652817423685</v>
      </c>
      <c r="AC13" s="100" t="str">
        <f>IF(COUNTIF('Live Draft Picks'!$D$3:$D$254,'Player Availability'!AA13)&gt;0,"Y"," ")</f>
        <v>Y</v>
      </c>
      <c r="AD13" s="100" t="str">
        <f t="shared" ca="1" si="2"/>
        <v>Y</v>
      </c>
      <c r="AE13" s="100"/>
      <c r="AF13" s="100"/>
      <c r="AG13" s="21"/>
      <c r="AI13" s="12">
        <f t="shared" si="9"/>
        <v>11</v>
      </c>
      <c r="AJ13" s="20" t="str">
        <f>'Personal Rankings'!R13</f>
        <v>Rob Gronkowski TB</v>
      </c>
      <c r="AK13" s="100">
        <f>INDEX('Default Rankings'!$X$3:$X$77,MATCH(AL13,'Personal Rankings'!$S$3:$S$77,0))</f>
        <v>26.959458239915143</v>
      </c>
      <c r="AL13" s="100">
        <f>'Personal Rankings'!S13</f>
        <v>112</v>
      </c>
      <c r="AM13" s="100">
        <f ca="1">_xll.VoseLognormal(AL13,AK13)</f>
        <v>122.03048609237645</v>
      </c>
      <c r="AN13" s="100" t="str">
        <f>IF(COUNTIF('Live Draft Picks'!$D$3:$D$254,'Player Availability'!AL13)&gt;0,"Y"," ")</f>
        <v>Y</v>
      </c>
      <c r="AO13" s="100" t="str">
        <f t="shared" ca="1" si="3"/>
        <v>Y</v>
      </c>
      <c r="AP13" s="100"/>
      <c r="AQ13" s="100"/>
      <c r="AR13" s="21"/>
      <c r="AT13" s="12">
        <f t="shared" si="10"/>
        <v>11</v>
      </c>
      <c r="AU13" s="20">
        <f>'Personal Rankings'!W13</f>
        <v>0</v>
      </c>
      <c r="AV13" s="100">
        <f>INDEX('Default Rankings'!$AC$3:$AC$77,MATCH(AW13,'Personal Rankings'!$X$3:$X$77,0))</f>
        <v>27.457864131566769</v>
      </c>
      <c r="AW13" s="100" t="str">
        <f>'Personal Rankings'!X13</f>
        <v/>
      </c>
      <c r="AX13" s="100" t="str">
        <f ca="1">_xll.VoseLognormal(AW13,AV13)</f>
        <v>Error: Mu must be &gt; 0</v>
      </c>
      <c r="AY13" s="100" t="str">
        <f>IF(COUNTIF('Live Draft Picks'!$D$3:$D$254,'Player Availability'!AW13)&gt;0,"Y"," ")</f>
        <v>Y</v>
      </c>
      <c r="AZ13" s="100" t="str">
        <f t="shared" ca="1" si="4"/>
        <v>Y</v>
      </c>
      <c r="BA13" s="100"/>
      <c r="BB13" s="100"/>
      <c r="BC13" s="21"/>
      <c r="BE13" s="12">
        <f t="shared" si="11"/>
        <v>11</v>
      </c>
      <c r="BF13" s="20">
        <f>'Personal Rankings'!AB13</f>
        <v>0</v>
      </c>
      <c r="BG13" s="100">
        <f>INDEX('Default Rankings'!$AH$3:$AH$77,MATCH(BH13,'Personal Rankings'!$AC$3:$AC$77,0))</f>
        <v>23.225727533811355</v>
      </c>
      <c r="BH13" s="100" t="str">
        <f>'Personal Rankings'!AC13</f>
        <v/>
      </c>
      <c r="BI13" s="100" t="str">
        <f ca="1">_xll.VoseLognormal(BH13,BG13)</f>
        <v>Error: Mu must be &gt; 0</v>
      </c>
      <c r="BJ13" s="100" t="str">
        <f>IF(COUNTIF('Live Draft Picks'!$D$3:$D$254,'Player Availability'!BH13)&gt;0,"Y"," ")</f>
        <v>Y</v>
      </c>
      <c r="BK13" s="100" t="str">
        <f t="shared" ca="1" si="5"/>
        <v>Y</v>
      </c>
      <c r="BL13" s="100"/>
      <c r="BM13" s="100"/>
      <c r="BN13" s="21"/>
    </row>
    <row r="14" spans="2:75" x14ac:dyDescent="0.35">
      <c r="B14" s="12">
        <f t="shared" si="6"/>
        <v>12</v>
      </c>
      <c r="C14" s="20" t="str">
        <f>'Personal Rankings'!C14</f>
        <v>Josh Allen BUF</v>
      </c>
      <c r="D14" s="100">
        <f>INDEX('Default Rankings'!$I$3:$I$77,MATCH(E14,'Personal Rankings'!$D$3:$D$77,0))</f>
        <v>21.623559737360175</v>
      </c>
      <c r="E14" s="100">
        <f>'Personal Rankings'!D14</f>
        <v>119</v>
      </c>
      <c r="F14" s="100">
        <f ca="1">_xll.VoseLognormal(E14,D14)</f>
        <v>112.40933211465629</v>
      </c>
      <c r="G14" s="100" t="str">
        <f>IF(COUNTIF('Live Draft Picks'!$D$3:$D$254,'Player Availability'!E14)&gt;0,"Y"," ")</f>
        <v xml:space="preserve"> </v>
      </c>
      <c r="H14" s="100" t="str">
        <f t="shared" ca="1" si="0"/>
        <v xml:space="preserve"> </v>
      </c>
      <c r="I14" s="100"/>
      <c r="J14" s="100"/>
      <c r="K14" s="21"/>
      <c r="M14" s="12">
        <f t="shared" si="7"/>
        <v>12</v>
      </c>
      <c r="N14" s="20" t="str">
        <f>'Personal Rankings'!H14</f>
        <v>Kenyan Drake ARI</v>
      </c>
      <c r="O14" s="100">
        <f>INDEX('Default Rankings'!$N$3:$N$77,MATCH(P14,'Personal Rankings'!$I$3:$I$77,0))</f>
        <v>4.3849931012097239</v>
      </c>
      <c r="P14" s="100">
        <f>'Personal Rankings'!I14</f>
        <v>13</v>
      </c>
      <c r="Q14" s="100">
        <f ca="1">_xll.VoseLognormal(P14,O14)</f>
        <v>10.400224744748371</v>
      </c>
      <c r="R14" s="100" t="str">
        <f>IF(COUNTIF('Live Draft Picks'!$D$3:$D$254,'Player Availability'!P14)&gt;0,"Y"," ")</f>
        <v>Y</v>
      </c>
      <c r="S14" s="100" t="str">
        <f t="shared" ca="1" si="1"/>
        <v>Y</v>
      </c>
      <c r="T14" s="100"/>
      <c r="U14" s="100"/>
      <c r="V14" s="21"/>
      <c r="X14" s="12">
        <f t="shared" si="8"/>
        <v>12</v>
      </c>
      <c r="Y14" s="20" t="str">
        <f>'Personal Rankings'!M14</f>
        <v>Adam Thielen MIN</v>
      </c>
      <c r="Z14" s="100">
        <f>INDEX('Default Rankings'!$S$3:$S$77,MATCH(AA14,'Personal Rankings'!$N$3:$N$77,0))</f>
        <v>7.5380305052030447</v>
      </c>
      <c r="AA14" s="100">
        <f>'Personal Rankings'!N14</f>
        <v>26</v>
      </c>
      <c r="AB14" s="100">
        <f ca="1">_xll.VoseLognormal(AA14,Z14)</f>
        <v>33.966033417405491</v>
      </c>
      <c r="AC14" s="100" t="str">
        <f>IF(COUNTIF('Live Draft Picks'!$D$3:$D$254,'Player Availability'!AA14)&gt;0,"Y"," ")</f>
        <v>Y</v>
      </c>
      <c r="AD14" s="100" t="str">
        <f t="shared" ca="1" si="2"/>
        <v>Y</v>
      </c>
      <c r="AE14" s="100"/>
      <c r="AF14" s="100"/>
      <c r="AG14" s="21"/>
      <c r="AI14" s="12">
        <f t="shared" si="9"/>
        <v>12</v>
      </c>
      <c r="AJ14" s="20" t="str">
        <f>'Personal Rankings'!R14</f>
        <v>Mike Gesicki MIA</v>
      </c>
      <c r="AK14" s="100">
        <f>INDEX('Default Rankings'!$X$3:$X$77,MATCH(AL14,'Personal Rankings'!$S$3:$S$77,0))</f>
        <v>27.093179177497554</v>
      </c>
      <c r="AL14" s="100">
        <f>'Personal Rankings'!S14</f>
        <v>134</v>
      </c>
      <c r="AM14" s="100">
        <f ca="1">_xll.VoseLognormal(AL14,AK14)</f>
        <v>111.04410414992051</v>
      </c>
      <c r="AN14" s="100" t="str">
        <f>IF(COUNTIF('Live Draft Picks'!$D$3:$D$254,'Player Availability'!AL14)&gt;0,"Y"," ")</f>
        <v xml:space="preserve"> </v>
      </c>
      <c r="AO14" s="100" t="str">
        <f t="shared" ca="1" si="3"/>
        <v xml:space="preserve"> </v>
      </c>
      <c r="AP14" s="100"/>
      <c r="AQ14" s="100"/>
      <c r="AR14" s="21"/>
      <c r="AT14" s="12">
        <f t="shared" si="10"/>
        <v>12</v>
      </c>
      <c r="AU14" s="20">
        <f>'Personal Rankings'!W14</f>
        <v>0</v>
      </c>
      <c r="AV14" s="100">
        <f>INDEX('Default Rankings'!$AC$3:$AC$77,MATCH(AW14,'Personal Rankings'!$X$3:$X$77,0))</f>
        <v>27.457864131566769</v>
      </c>
      <c r="AW14" s="100" t="str">
        <f>'Personal Rankings'!X14</f>
        <v/>
      </c>
      <c r="AX14" s="100" t="str">
        <f ca="1">_xll.VoseLognormal(AW14,AV14)</f>
        <v>Error: Mu must be &gt; 0</v>
      </c>
      <c r="AY14" s="100" t="str">
        <f>IF(COUNTIF('Live Draft Picks'!$D$3:$D$254,'Player Availability'!AW14)&gt;0,"Y"," ")</f>
        <v>Y</v>
      </c>
      <c r="AZ14" s="100" t="str">
        <f t="shared" ca="1" si="4"/>
        <v>Y</v>
      </c>
      <c r="BA14" s="100"/>
      <c r="BB14" s="100"/>
      <c r="BC14" s="21"/>
      <c r="BE14" s="12">
        <f t="shared" si="11"/>
        <v>12</v>
      </c>
      <c r="BF14" s="20">
        <f>'Personal Rankings'!AB14</f>
        <v>0</v>
      </c>
      <c r="BG14" s="100">
        <f>INDEX('Default Rankings'!$AH$3:$AH$77,MATCH(BH14,'Personal Rankings'!$AC$3:$AC$77,0))</f>
        <v>23.225727533811355</v>
      </c>
      <c r="BH14" s="100" t="str">
        <f>'Personal Rankings'!AC14</f>
        <v/>
      </c>
      <c r="BI14" s="100" t="str">
        <f ca="1">_xll.VoseLognormal(BH14,BG14)</f>
        <v>Error: Mu must be &gt; 0</v>
      </c>
      <c r="BJ14" s="100" t="str">
        <f>IF(COUNTIF('Live Draft Picks'!$D$3:$D$254,'Player Availability'!BH14)&gt;0,"Y"," ")</f>
        <v>Y</v>
      </c>
      <c r="BK14" s="100" t="str">
        <f t="shared" ca="1" si="5"/>
        <v>Y</v>
      </c>
      <c r="BL14" s="100"/>
      <c r="BM14" s="100"/>
      <c r="BN14" s="21"/>
    </row>
    <row r="15" spans="2:75" x14ac:dyDescent="0.35">
      <c r="B15" s="12">
        <f t="shared" si="6"/>
        <v>13</v>
      </c>
      <c r="C15" s="20" t="str">
        <f>'Personal Rankings'!C15</f>
        <v>Joe Burrow CIN</v>
      </c>
      <c r="D15" s="100">
        <f>INDEX('Default Rankings'!$I$3:$I$77,MATCH(E15,'Personal Rankings'!$D$3:$D$77,0))</f>
        <v>21.803188616672241</v>
      </c>
      <c r="E15" s="100">
        <f>'Personal Rankings'!D15</f>
        <v>221</v>
      </c>
      <c r="F15" s="100">
        <f ca="1">_xll.VoseLognormal(E15,D15)</f>
        <v>227.72205737966601</v>
      </c>
      <c r="G15" s="100" t="str">
        <f>IF(COUNTIF('Live Draft Picks'!$D$3:$D$254,'Player Availability'!E15)&gt;0,"Y"," ")</f>
        <v xml:space="preserve"> </v>
      </c>
      <c r="H15" s="100" t="str">
        <f t="shared" ca="1" si="0"/>
        <v xml:space="preserve"> </v>
      </c>
      <c r="I15" s="100"/>
      <c r="J15" s="100"/>
      <c r="K15" s="21"/>
      <c r="M15" s="12">
        <f t="shared" si="7"/>
        <v>13</v>
      </c>
      <c r="N15" s="20" t="str">
        <f>'Personal Rankings'!H15</f>
        <v>Miles Sanders PHI</v>
      </c>
      <c r="O15" s="100">
        <f>INDEX('Default Rankings'!$N$3:$N$77,MATCH(P15,'Personal Rankings'!$I$3:$I$77,0))</f>
        <v>4.710173350697084</v>
      </c>
      <c r="P15" s="100">
        <f>'Personal Rankings'!I15</f>
        <v>9</v>
      </c>
      <c r="Q15" s="100">
        <f ca="1">_xll.VoseLognormal(P15,O15)</f>
        <v>7.1443289771804928</v>
      </c>
      <c r="R15" s="100" t="str">
        <f>IF(COUNTIF('Live Draft Picks'!$D$3:$D$254,'Player Availability'!P15)&gt;0,"Y"," ")</f>
        <v>Y</v>
      </c>
      <c r="S15" s="100" t="str">
        <f t="shared" ca="1" si="1"/>
        <v>Y</v>
      </c>
      <c r="T15" s="100"/>
      <c r="U15" s="100"/>
      <c r="V15" s="21"/>
      <c r="X15" s="12">
        <f t="shared" si="8"/>
        <v>13</v>
      </c>
      <c r="Y15" s="20" t="str">
        <f>'Personal Rankings'!M15</f>
        <v>Amari Cooper DAL</v>
      </c>
      <c r="Z15" s="100">
        <f>INDEX('Default Rankings'!$S$3:$S$77,MATCH(AA15,'Personal Rankings'!$N$3:$N$77,0))</f>
        <v>7.792465673630339</v>
      </c>
      <c r="AA15" s="100">
        <f>'Personal Rankings'!N15</f>
        <v>27</v>
      </c>
      <c r="AB15" s="100">
        <f ca="1">_xll.VoseLognormal(AA15,Z15)</f>
        <v>36.179952954208709</v>
      </c>
      <c r="AC15" s="100" t="str">
        <f>IF(COUNTIF('Live Draft Picks'!$D$3:$D$254,'Player Availability'!AA15)&gt;0,"Y"," ")</f>
        <v>Y</v>
      </c>
      <c r="AD15" s="100" t="str">
        <f t="shared" ca="1" si="2"/>
        <v>Y</v>
      </c>
      <c r="AE15" s="100"/>
      <c r="AF15" s="100"/>
      <c r="AG15" s="21"/>
      <c r="AI15" s="12">
        <f t="shared" si="9"/>
        <v>13</v>
      </c>
      <c r="AJ15" s="20" t="str">
        <f>'Personal Rankings'!R15</f>
        <v>Blake Jarwin DAL</v>
      </c>
      <c r="AK15" s="100">
        <f>INDEX('Default Rankings'!$X$3:$X$77,MATCH(AL15,'Personal Rankings'!$S$3:$S$77,0))</f>
        <v>27.225053041216086</v>
      </c>
      <c r="AL15" s="100">
        <f>'Personal Rankings'!S15</f>
        <v>212</v>
      </c>
      <c r="AM15" s="100">
        <f ca="1">_xll.VoseLognormal(AL15,AK15)</f>
        <v>197.02126145425686</v>
      </c>
      <c r="AN15" s="100" t="str">
        <f>IF(COUNTIF('Live Draft Picks'!$D$3:$D$254,'Player Availability'!AL15)&gt;0,"Y"," ")</f>
        <v xml:space="preserve"> </v>
      </c>
      <c r="AO15" s="100" t="str">
        <f t="shared" ca="1" si="3"/>
        <v xml:space="preserve"> </v>
      </c>
      <c r="AP15" s="100"/>
      <c r="AQ15" s="100"/>
      <c r="AR15" s="21"/>
      <c r="AT15" s="12">
        <f t="shared" si="10"/>
        <v>13</v>
      </c>
      <c r="AU15" s="20">
        <f>'Personal Rankings'!W15</f>
        <v>0</v>
      </c>
      <c r="AV15" s="100">
        <f>INDEX('Default Rankings'!$AC$3:$AC$77,MATCH(AW15,'Personal Rankings'!$X$3:$X$77,0))</f>
        <v>27.457864131566769</v>
      </c>
      <c r="AW15" s="100" t="str">
        <f>'Personal Rankings'!X15</f>
        <v/>
      </c>
      <c r="AX15" s="100" t="str">
        <f ca="1">_xll.VoseLognormal(AW15,AV15)</f>
        <v>Error: Mu must be &gt; 0</v>
      </c>
      <c r="AY15" s="100" t="str">
        <f>IF(COUNTIF('Live Draft Picks'!$D$3:$D$254,'Player Availability'!AW15)&gt;0,"Y"," ")</f>
        <v>Y</v>
      </c>
      <c r="AZ15" s="100" t="str">
        <f t="shared" ca="1" si="4"/>
        <v>Y</v>
      </c>
      <c r="BA15" s="100"/>
      <c r="BB15" s="100"/>
      <c r="BC15" s="21"/>
      <c r="BE15" s="12">
        <f t="shared" si="11"/>
        <v>13</v>
      </c>
      <c r="BF15" s="20">
        <f>'Personal Rankings'!AB15</f>
        <v>0</v>
      </c>
      <c r="BG15" s="100">
        <f>INDEX('Default Rankings'!$AH$3:$AH$77,MATCH(BH15,'Personal Rankings'!$AC$3:$AC$77,0))</f>
        <v>23.225727533811355</v>
      </c>
      <c r="BH15" s="100" t="str">
        <f>'Personal Rankings'!AC15</f>
        <v/>
      </c>
      <c r="BI15" s="100" t="str">
        <f ca="1">_xll.VoseLognormal(BH15,BG15)</f>
        <v>Error: Mu must be &gt; 0</v>
      </c>
      <c r="BJ15" s="100" t="str">
        <f>IF(COUNTIF('Live Draft Picks'!$D$3:$D$254,'Player Availability'!BH15)&gt;0,"Y"," ")</f>
        <v>Y</v>
      </c>
      <c r="BK15" s="100" t="str">
        <f t="shared" ca="1" si="5"/>
        <v>Y</v>
      </c>
      <c r="BL15" s="100"/>
      <c r="BM15" s="100"/>
      <c r="BN15" s="21"/>
    </row>
    <row r="16" spans="2:75" x14ac:dyDescent="0.35">
      <c r="B16" s="12">
        <f t="shared" si="6"/>
        <v>14</v>
      </c>
      <c r="C16" s="20" t="str">
        <f>'Personal Rankings'!C16</f>
        <v>Ben Roethlisberger PIT</v>
      </c>
      <c r="D16" s="100">
        <f>INDEX('Default Rankings'!$I$3:$I$77,MATCH(E16,'Personal Rankings'!$D$3:$D$77,0))</f>
        <v>24.499823220108468</v>
      </c>
      <c r="E16" s="100">
        <f>'Personal Rankings'!D16</f>
        <v>165</v>
      </c>
      <c r="F16" s="100">
        <f ca="1">_xll.VoseLognormal(E16,D16)</f>
        <v>164.72942020986531</v>
      </c>
      <c r="G16" s="100" t="str">
        <f>IF(COUNTIF('Live Draft Picks'!$D$3:$D$254,'Player Availability'!E16)&gt;0,"Y"," ")</f>
        <v xml:space="preserve"> </v>
      </c>
      <c r="H16" s="100" t="str">
        <f t="shared" ca="1" si="0"/>
        <v xml:space="preserve"> </v>
      </c>
      <c r="I16" s="100"/>
      <c r="J16" s="100"/>
      <c r="K16" s="21"/>
      <c r="M16" s="12">
        <f t="shared" si="7"/>
        <v>14</v>
      </c>
      <c r="N16" s="20" t="str">
        <f>'Personal Rankings'!H16</f>
        <v>Aaron Jones GB</v>
      </c>
      <c r="O16" s="100">
        <f>INDEX('Default Rankings'!$N$3:$N$77,MATCH(P16,'Personal Rankings'!$I$3:$I$77,0))</f>
        <v>5.0339330076553823</v>
      </c>
      <c r="P16" s="100">
        <f>'Personal Rankings'!I16</f>
        <v>14</v>
      </c>
      <c r="Q16" s="100">
        <f ca="1">_xll.VoseLognormal(P16,O16)</f>
        <v>20.51819573222506</v>
      </c>
      <c r="R16" s="100" t="str">
        <f>IF(COUNTIF('Live Draft Picks'!$D$3:$D$254,'Player Availability'!P16)&gt;0,"Y"," ")</f>
        <v>Y</v>
      </c>
      <c r="S16" s="100" t="str">
        <f t="shared" ca="1" si="1"/>
        <v>Y</v>
      </c>
      <c r="T16" s="100"/>
      <c r="U16" s="100"/>
      <c r="V16" s="21"/>
      <c r="X16" s="12">
        <f t="shared" si="8"/>
        <v>14</v>
      </c>
      <c r="Y16" s="20" t="str">
        <f>'Personal Rankings'!M16</f>
        <v>Odell Beckham Jr. CLE</v>
      </c>
      <c r="Z16" s="100">
        <f>INDEX('Default Rankings'!$S$3:$S$77,MATCH(AA16,'Personal Rankings'!$N$3:$N$77,0))</f>
        <v>8.045651084141376</v>
      </c>
      <c r="AA16" s="100">
        <f>'Personal Rankings'!N16</f>
        <v>29</v>
      </c>
      <c r="AB16" s="100">
        <f ca="1">_xll.VoseLognormal(AA16,Z16)</f>
        <v>19.049282811549688</v>
      </c>
      <c r="AC16" s="100" t="str">
        <f>IF(COUNTIF('Live Draft Picks'!$D$3:$D$254,'Player Availability'!AA16)&gt;0,"Y"," ")</f>
        <v>Y</v>
      </c>
      <c r="AD16" s="100" t="str">
        <f t="shared" ca="1" si="2"/>
        <v>Y</v>
      </c>
      <c r="AE16" s="100"/>
      <c r="AF16" s="100"/>
      <c r="AG16" s="21"/>
      <c r="AI16" s="12">
        <f t="shared" si="9"/>
        <v>14</v>
      </c>
      <c r="AJ16" s="20" t="str">
        <f>'Personal Rankings'!R16</f>
        <v>T.J. Hockenson DET</v>
      </c>
      <c r="AK16" s="100">
        <f>INDEX('Default Rankings'!$X$3:$X$77,MATCH(AL16,'Personal Rankings'!$S$3:$S$77,0))</f>
        <v>29.379712417731859</v>
      </c>
      <c r="AL16" s="100">
        <f>'Personal Rankings'!S16</f>
        <v>115</v>
      </c>
      <c r="AM16" s="100">
        <f ca="1">_xll.VoseLognormal(AL16,AK16)</f>
        <v>128.31159786582262</v>
      </c>
      <c r="AN16" s="100" t="str">
        <f>IF(COUNTIF('Live Draft Picks'!$D$3:$D$254,'Player Availability'!AL16)&gt;0,"Y"," ")</f>
        <v xml:space="preserve"> </v>
      </c>
      <c r="AO16" s="100" t="str">
        <f t="shared" ca="1" si="3"/>
        <v xml:space="preserve"> </v>
      </c>
      <c r="AP16" s="100"/>
      <c r="AQ16" s="100"/>
      <c r="AR16" s="21"/>
      <c r="AT16" s="12">
        <f t="shared" si="10"/>
        <v>14</v>
      </c>
      <c r="AU16" s="20">
        <f>'Personal Rankings'!W16</f>
        <v>0</v>
      </c>
      <c r="AV16" s="100">
        <f>INDEX('Default Rankings'!$AC$3:$AC$77,MATCH(AW16,'Personal Rankings'!$X$3:$X$77,0))</f>
        <v>27.457864131566769</v>
      </c>
      <c r="AW16" s="100" t="str">
        <f>'Personal Rankings'!X16</f>
        <v/>
      </c>
      <c r="AX16" s="100" t="str">
        <f ca="1">_xll.VoseLognormal(AW16,AV16)</f>
        <v>Error: Mu must be &gt; 0</v>
      </c>
      <c r="AY16" s="100" t="str">
        <f>IF(COUNTIF('Live Draft Picks'!$D$3:$D$254,'Player Availability'!AW16)&gt;0,"Y"," ")</f>
        <v>Y</v>
      </c>
      <c r="AZ16" s="100" t="str">
        <f t="shared" ca="1" si="4"/>
        <v>Y</v>
      </c>
      <c r="BA16" s="100"/>
      <c r="BB16" s="100"/>
      <c r="BC16" s="21"/>
      <c r="BE16" s="12">
        <f t="shared" si="11"/>
        <v>14</v>
      </c>
      <c r="BF16" s="20">
        <f>'Personal Rankings'!AB16</f>
        <v>0</v>
      </c>
      <c r="BG16" s="100">
        <f>INDEX('Default Rankings'!$AH$3:$AH$77,MATCH(BH16,'Personal Rankings'!$AC$3:$AC$77,0))</f>
        <v>23.225727533811355</v>
      </c>
      <c r="BH16" s="100" t="str">
        <f>'Personal Rankings'!AC16</f>
        <v/>
      </c>
      <c r="BI16" s="100" t="str">
        <f ca="1">_xll.VoseLognormal(BH16,BG16)</f>
        <v>Error: Mu must be &gt; 0</v>
      </c>
      <c r="BJ16" s="100" t="str">
        <f>IF(COUNTIF('Live Draft Picks'!$D$3:$D$254,'Player Availability'!BH16)&gt;0,"Y"," ")</f>
        <v>Y</v>
      </c>
      <c r="BK16" s="100" t="str">
        <f t="shared" ca="1" si="5"/>
        <v>Y</v>
      </c>
      <c r="BL16" s="100"/>
      <c r="BM16" s="100"/>
      <c r="BN16" s="21"/>
    </row>
    <row r="17" spans="2:66" x14ac:dyDescent="0.35">
      <c r="B17" s="12">
        <f t="shared" si="6"/>
        <v>15</v>
      </c>
      <c r="C17" s="20" t="str">
        <f>'Personal Rankings'!C17</f>
        <v>Cam Newton NE</v>
      </c>
      <c r="D17" s="100">
        <f>INDEX('Default Rankings'!$I$3:$I$77,MATCH(E17,'Personal Rankings'!$D$3:$D$77,0))</f>
        <v>24.679745621254568</v>
      </c>
      <c r="E17" s="100">
        <f>'Personal Rankings'!D17</f>
        <v>138</v>
      </c>
      <c r="F17" s="100">
        <f ca="1">_xll.VoseLognormal(E17,D17)</f>
        <v>123.15939475313223</v>
      </c>
      <c r="G17" s="100" t="str">
        <f>IF(COUNTIF('Live Draft Picks'!$D$3:$D$254,'Player Availability'!E17)&gt;0,"Y"," ")</f>
        <v>Y</v>
      </c>
      <c r="H17" s="100" t="str">
        <f t="shared" ca="1" si="0"/>
        <v>Y</v>
      </c>
      <c r="I17" s="100"/>
      <c r="J17" s="100"/>
      <c r="K17" s="21"/>
      <c r="M17" s="12">
        <f t="shared" si="7"/>
        <v>15</v>
      </c>
      <c r="N17" s="20" t="str">
        <f>'Personal Rankings'!H17</f>
        <v>Todd Gurley II ATL</v>
      </c>
      <c r="O17" s="100">
        <f>INDEX('Default Rankings'!$N$3:$N$77,MATCH(P17,'Personal Rankings'!$I$3:$I$77,0))</f>
        <v>12.377987015935997</v>
      </c>
      <c r="P17" s="100">
        <f>'Personal Rankings'!I17</f>
        <v>43</v>
      </c>
      <c r="Q17" s="100">
        <f ca="1">_xll.VoseLognormal(P17,O17)</f>
        <v>39.322574399575508</v>
      </c>
      <c r="R17" s="100" t="str">
        <f>IF(COUNTIF('Live Draft Picks'!$D$3:$D$254,'Player Availability'!P17)&gt;0,"Y"," ")</f>
        <v>Y</v>
      </c>
      <c r="S17" s="100" t="str">
        <f t="shared" ca="1" si="1"/>
        <v>Y</v>
      </c>
      <c r="T17" s="100"/>
      <c r="U17" s="100"/>
      <c r="V17" s="21"/>
      <c r="X17" s="12">
        <f t="shared" si="8"/>
        <v>15</v>
      </c>
      <c r="Y17" s="20" t="str">
        <f>'Personal Rankings'!M17</f>
        <v>Calvin Ridley ATL</v>
      </c>
      <c r="Z17" s="100">
        <f>INDEX('Default Rankings'!$S$3:$S$77,MATCH(AA17,'Personal Rankings'!$N$3:$N$77,0))</f>
        <v>8.2975867367361609</v>
      </c>
      <c r="AA17" s="100">
        <f>'Personal Rankings'!N17</f>
        <v>33</v>
      </c>
      <c r="AB17" s="100">
        <f ca="1">_xll.VoseLognormal(AA17,Z17)</f>
        <v>40.313832582299113</v>
      </c>
      <c r="AC17" s="100" t="str">
        <f>IF(COUNTIF('Live Draft Picks'!$D$3:$D$254,'Player Availability'!AA17)&gt;0,"Y"," ")</f>
        <v>Y</v>
      </c>
      <c r="AD17" s="100" t="str">
        <f t="shared" ca="1" si="2"/>
        <v>Y</v>
      </c>
      <c r="AE17" s="100"/>
      <c r="AF17" s="100"/>
      <c r="AG17" s="21"/>
      <c r="AI17" s="12">
        <f t="shared" si="9"/>
        <v>15</v>
      </c>
      <c r="AJ17" s="20" t="str">
        <f>'Personal Rankings'!R17</f>
        <v>Austin Hooper CLE</v>
      </c>
      <c r="AK17" s="100">
        <f>INDEX('Default Rankings'!$X$3:$X$77,MATCH(AL17,'Personal Rankings'!$S$3:$S$77,0))</f>
        <v>29.474644804172875</v>
      </c>
      <c r="AL17" s="100">
        <f>'Personal Rankings'!S17</f>
        <v>136</v>
      </c>
      <c r="AM17" s="100">
        <f ca="1">_xll.VoseLognormal(AL17,AK17)</f>
        <v>152.10921874692158</v>
      </c>
      <c r="AN17" s="100" t="str">
        <f>IF(COUNTIF('Live Draft Picks'!$D$3:$D$254,'Player Availability'!AL17)&gt;0,"Y"," ")</f>
        <v>Y</v>
      </c>
      <c r="AO17" s="100" t="str">
        <f t="shared" ca="1" si="3"/>
        <v>Y</v>
      </c>
      <c r="AP17" s="100"/>
      <c r="AQ17" s="100"/>
      <c r="AR17" s="21"/>
      <c r="AT17" s="12">
        <f t="shared" si="10"/>
        <v>15</v>
      </c>
      <c r="AU17" s="20">
        <f>'Personal Rankings'!W17</f>
        <v>0</v>
      </c>
      <c r="AV17" s="100">
        <f>INDEX('Default Rankings'!$AC$3:$AC$77,MATCH(AW17,'Personal Rankings'!$X$3:$X$77,0))</f>
        <v>27.457864131566769</v>
      </c>
      <c r="AW17" s="100" t="str">
        <f>'Personal Rankings'!X17</f>
        <v/>
      </c>
      <c r="AX17" s="100" t="str">
        <f ca="1">_xll.VoseLognormal(AW17,AV17)</f>
        <v>Error: Mu must be &gt; 0</v>
      </c>
      <c r="AY17" s="100" t="str">
        <f>IF(COUNTIF('Live Draft Picks'!$D$3:$D$254,'Player Availability'!AW17)&gt;0,"Y"," ")</f>
        <v>Y</v>
      </c>
      <c r="AZ17" s="100" t="str">
        <f t="shared" ca="1" si="4"/>
        <v>Y</v>
      </c>
      <c r="BA17" s="100"/>
      <c r="BB17" s="100"/>
      <c r="BC17" s="21"/>
      <c r="BE17" s="12">
        <f t="shared" si="11"/>
        <v>15</v>
      </c>
      <c r="BF17" s="20">
        <f>'Personal Rankings'!AB17</f>
        <v>0</v>
      </c>
      <c r="BG17" s="100">
        <f>INDEX('Default Rankings'!$AH$3:$AH$77,MATCH(BH17,'Personal Rankings'!$AC$3:$AC$77,0))</f>
        <v>23.225727533811355</v>
      </c>
      <c r="BH17" s="100" t="str">
        <f>'Personal Rankings'!AC17</f>
        <v/>
      </c>
      <c r="BI17" s="100" t="str">
        <f ca="1">_xll.VoseLognormal(BH17,BG17)</f>
        <v>Error: Mu must be &gt; 0</v>
      </c>
      <c r="BJ17" s="100" t="str">
        <f>IF(COUNTIF('Live Draft Picks'!$D$3:$D$254,'Player Availability'!BH17)&gt;0,"Y"," ")</f>
        <v>Y</v>
      </c>
      <c r="BK17" s="100" t="str">
        <f t="shared" ca="1" si="5"/>
        <v>Y</v>
      </c>
      <c r="BL17" s="100"/>
      <c r="BM17" s="100"/>
      <c r="BN17" s="21"/>
    </row>
    <row r="18" spans="2:66" x14ac:dyDescent="0.35">
      <c r="B18" s="12">
        <f t="shared" si="6"/>
        <v>16</v>
      </c>
      <c r="C18" s="20" t="str">
        <f>'Personal Rankings'!C18</f>
        <v>Aaron Rodgers GB</v>
      </c>
      <c r="D18" s="100">
        <f>INDEX('Default Rankings'!$I$3:$I$77,MATCH(E18,'Personal Rankings'!$D$3:$D$77,0))</f>
        <v>29.544584905528303</v>
      </c>
      <c r="E18" s="100">
        <f>'Personal Rankings'!D18</f>
        <v>122</v>
      </c>
      <c r="F18" s="100">
        <f ca="1">_xll.VoseLognormal(E18,D18)</f>
        <v>112.73700812986894</v>
      </c>
      <c r="G18" s="100" t="str">
        <f>IF(COUNTIF('Live Draft Picks'!$D$3:$D$254,'Player Availability'!E18)&gt;0,"Y"," ")</f>
        <v>Y</v>
      </c>
      <c r="H18" s="100" t="str">
        <f t="shared" ca="1" si="0"/>
        <v>Y</v>
      </c>
      <c r="I18" s="100"/>
      <c r="J18" s="100"/>
      <c r="K18" s="21"/>
      <c r="M18" s="12">
        <f t="shared" si="7"/>
        <v>16</v>
      </c>
      <c r="N18" s="20" t="str">
        <f>'Personal Rankings'!H18</f>
        <v>James Conner PIT</v>
      </c>
      <c r="O18" s="100">
        <f>INDEX('Default Rankings'!$N$3:$N$77,MATCH(P18,'Personal Rankings'!$I$3:$I$77,0))</f>
        <v>12.666231859667747</v>
      </c>
      <c r="P18" s="100">
        <f>'Personal Rankings'!I18</f>
        <v>44</v>
      </c>
      <c r="Q18" s="100">
        <f ca="1">_xll.VoseLognormal(P18,O18)</f>
        <v>35.436974203947038</v>
      </c>
      <c r="R18" s="100" t="str">
        <f>IF(COUNTIF('Live Draft Picks'!$D$3:$D$254,'Player Availability'!P18)&gt;0,"Y"," ")</f>
        <v>Y</v>
      </c>
      <c r="S18" s="100" t="str">
        <f t="shared" ca="1" si="1"/>
        <v>Y</v>
      </c>
      <c r="T18" s="100"/>
      <c r="U18" s="100"/>
      <c r="V18" s="21"/>
      <c r="X18" s="12">
        <f t="shared" si="8"/>
        <v>16</v>
      </c>
      <c r="Y18" s="20" t="str">
        <f>'Personal Rankings'!M18</f>
        <v>A.J. Brown TEN</v>
      </c>
      <c r="Z18" s="100">
        <f>INDEX('Default Rankings'!$S$3:$S$77,MATCH(AA18,'Personal Rankings'!$N$3:$N$77,0))</f>
        <v>8.5482726314146884</v>
      </c>
      <c r="AA18" s="100">
        <f>'Personal Rankings'!N18</f>
        <v>32</v>
      </c>
      <c r="AB18" s="100">
        <f ca="1">_xll.VoseLognormal(AA18,Z18)</f>
        <v>23.236179685249184</v>
      </c>
      <c r="AC18" s="100" t="str">
        <f>IF(COUNTIF('Live Draft Picks'!$D$3:$D$254,'Player Availability'!AA18)&gt;0,"Y"," ")</f>
        <v>Y</v>
      </c>
      <c r="AD18" s="100" t="str">
        <f t="shared" ca="1" si="2"/>
        <v>Y</v>
      </c>
      <c r="AE18" s="100"/>
      <c r="AF18" s="100"/>
      <c r="AG18" s="21"/>
      <c r="AI18" s="12">
        <f t="shared" si="9"/>
        <v>16</v>
      </c>
      <c r="AJ18" s="20" t="str">
        <f>'Personal Rankings'!R18</f>
        <v>Dallas Goedert PHI</v>
      </c>
      <c r="AK18" s="100">
        <f>INDEX('Default Rankings'!$X$3:$X$77,MATCH(AL18,'Personal Rankings'!$S$3:$S$77,0))</f>
        <v>29.567730116750013</v>
      </c>
      <c r="AL18" s="100">
        <f>'Personal Rankings'!S18</f>
        <v>211</v>
      </c>
      <c r="AM18" s="100">
        <f ca="1">_xll.VoseLognormal(AL18,AK18)</f>
        <v>244.4318310856857</v>
      </c>
      <c r="AN18" s="100" t="str">
        <f>IF(COUNTIF('Live Draft Picks'!$D$3:$D$254,'Player Availability'!AL18)&gt;0,"Y"," ")</f>
        <v xml:space="preserve"> </v>
      </c>
      <c r="AO18" s="100" t="str">
        <f t="shared" ca="1" si="3"/>
        <v xml:space="preserve"> </v>
      </c>
      <c r="AP18" s="100"/>
      <c r="AQ18" s="100"/>
      <c r="AR18" s="21"/>
      <c r="AT18" s="12">
        <f t="shared" si="10"/>
        <v>16</v>
      </c>
      <c r="AU18" s="20">
        <f>'Personal Rankings'!W18</f>
        <v>0</v>
      </c>
      <c r="AV18" s="100">
        <f>INDEX('Default Rankings'!$AC$3:$AC$77,MATCH(AW18,'Personal Rankings'!$X$3:$X$77,0))</f>
        <v>27.457864131566769</v>
      </c>
      <c r="AW18" s="100" t="str">
        <f>'Personal Rankings'!X18</f>
        <v/>
      </c>
      <c r="AX18" s="100" t="str">
        <f ca="1">_xll.VoseLognormal(AW18,AV18)</f>
        <v>Error: Mu must be &gt; 0</v>
      </c>
      <c r="AY18" s="100" t="str">
        <f>IF(COUNTIF('Live Draft Picks'!$D$3:$D$254,'Player Availability'!AW18)&gt;0,"Y"," ")</f>
        <v>Y</v>
      </c>
      <c r="AZ18" s="100" t="str">
        <f t="shared" ca="1" si="4"/>
        <v>Y</v>
      </c>
      <c r="BA18" s="100"/>
      <c r="BB18" s="100"/>
      <c r="BC18" s="21"/>
      <c r="BE18" s="12">
        <f t="shared" si="11"/>
        <v>16</v>
      </c>
      <c r="BF18" s="20">
        <f>'Personal Rankings'!AB18</f>
        <v>0</v>
      </c>
      <c r="BG18" s="100">
        <f>INDEX('Default Rankings'!$AH$3:$AH$77,MATCH(BH18,'Personal Rankings'!$AC$3:$AC$77,0))</f>
        <v>23.225727533811355</v>
      </c>
      <c r="BH18" s="100" t="str">
        <f>'Personal Rankings'!AC18</f>
        <v/>
      </c>
      <c r="BI18" s="100" t="str">
        <f ca="1">_xll.VoseLognormal(BH18,BG18)</f>
        <v>Error: Mu must be &gt; 0</v>
      </c>
      <c r="BJ18" s="100" t="str">
        <f>IF(COUNTIF('Live Draft Picks'!$D$3:$D$254,'Player Availability'!BH18)&gt;0,"Y"," ")</f>
        <v>Y</v>
      </c>
      <c r="BK18" s="100" t="str">
        <f t="shared" ca="1" si="5"/>
        <v>Y</v>
      </c>
      <c r="BL18" s="100"/>
      <c r="BM18" s="100"/>
      <c r="BN18" s="21"/>
    </row>
    <row r="19" spans="2:66" x14ac:dyDescent="0.35">
      <c r="B19" s="12">
        <f>B18+1</f>
        <v>17</v>
      </c>
      <c r="C19" s="20" t="str">
        <f>'Personal Rankings'!C19</f>
        <v>Jared Goff LAR</v>
      </c>
      <c r="D19" s="100">
        <f>INDEX('Default Rankings'!$I$3:$I$77,MATCH(E19,'Personal Rankings'!$D$3:$D$77,0))</f>
        <v>29.72502096988396</v>
      </c>
      <c r="E19" s="100">
        <f>'Personal Rankings'!D19</f>
        <v>167</v>
      </c>
      <c r="F19" s="100">
        <f ca="1">_xll.VoseLognormal(E19,D19)</f>
        <v>224.44719176143454</v>
      </c>
      <c r="G19" s="100" t="str">
        <f>IF(COUNTIF('Live Draft Picks'!$D$3:$D$254,'Player Availability'!E19)&gt;0,"Y"," ")</f>
        <v xml:space="preserve"> </v>
      </c>
      <c r="H19" s="100" t="str">
        <f t="shared" ca="1" si="0"/>
        <v xml:space="preserve"> </v>
      </c>
      <c r="I19" s="100"/>
      <c r="J19" s="100"/>
      <c r="K19" s="21"/>
      <c r="M19" s="12">
        <f>M18+1</f>
        <v>17</v>
      </c>
      <c r="N19" s="20" t="str">
        <f>'Personal Rankings'!H19</f>
        <v>Chris Carson SEA</v>
      </c>
      <c r="O19" s="100">
        <f>INDEX('Default Rankings'!$N$3:$N$77,MATCH(P19,'Personal Rankings'!$I$3:$I$77,0))</f>
        <v>13.522442835688636</v>
      </c>
      <c r="P19" s="100">
        <f>'Personal Rankings'!I19</f>
        <v>39</v>
      </c>
      <c r="Q19" s="100">
        <f ca="1">_xll.VoseLognormal(P19,O19)</f>
        <v>42.405128035093419</v>
      </c>
      <c r="R19" s="100" t="str">
        <f>IF(COUNTIF('Live Draft Picks'!$D$3:$D$254,'Player Availability'!P19)&gt;0,"Y"," ")</f>
        <v>Y</v>
      </c>
      <c r="S19" s="100" t="str">
        <f t="shared" ca="1" si="1"/>
        <v>Y</v>
      </c>
      <c r="T19" s="100"/>
      <c r="U19" s="100"/>
      <c r="V19" s="21"/>
      <c r="X19" s="12">
        <f>X18+1</f>
        <v>17</v>
      </c>
      <c r="Y19" s="20" t="str">
        <f>'Personal Rankings'!M19</f>
        <v>Terry McLaurin WAS</v>
      </c>
      <c r="Z19" s="100">
        <f>INDEX('Default Rankings'!$S$3:$S$77,MATCH(AA19,'Personal Rankings'!$N$3:$N$77,0))</f>
        <v>8.7977087681769603</v>
      </c>
      <c r="AA19" s="100">
        <f>'Personal Rankings'!N19</f>
        <v>50</v>
      </c>
      <c r="AB19" s="100">
        <f ca="1">_xll.VoseLognormal(AA19,Z19)</f>
        <v>48.578937253871111</v>
      </c>
      <c r="AC19" s="100" t="str">
        <f>IF(COUNTIF('Live Draft Picks'!$D$3:$D$254,'Player Availability'!AA19)&gt;0,"Y"," ")</f>
        <v>Y</v>
      </c>
      <c r="AD19" s="100" t="str">
        <f t="shared" ca="1" si="2"/>
        <v>Y</v>
      </c>
      <c r="AE19" s="100"/>
      <c r="AF19" s="100"/>
      <c r="AG19" s="21"/>
      <c r="AI19" s="12">
        <f>AI18+1</f>
        <v>17</v>
      </c>
      <c r="AJ19" s="20" t="str">
        <f>'Personal Rankings'!R19</f>
        <v>Chris Herndon NYJ</v>
      </c>
      <c r="AK19" s="100">
        <f>INDEX('Default Rankings'!$X$3:$X$77,MATCH(AL19,'Personal Rankings'!$S$3:$S$77,0))</f>
        <v>31.33962531753518</v>
      </c>
      <c r="AL19" s="100">
        <f>'Personal Rankings'!S19</f>
        <v>135</v>
      </c>
      <c r="AM19" s="100">
        <f ca="1">_xll.VoseLognormal(AL19,AK19)</f>
        <v>177.3468804387083</v>
      </c>
      <c r="AN19" s="100" t="str">
        <f>IF(COUNTIF('Live Draft Picks'!$D$3:$D$254,'Player Availability'!AL19)&gt;0,"Y"," ")</f>
        <v xml:space="preserve"> </v>
      </c>
      <c r="AO19" s="100" t="str">
        <f t="shared" ca="1" si="3"/>
        <v xml:space="preserve"> </v>
      </c>
      <c r="AP19" s="100"/>
      <c r="AQ19" s="100"/>
      <c r="AR19" s="21"/>
      <c r="AT19" s="12">
        <f>AT18+1</f>
        <v>17</v>
      </c>
      <c r="AU19" s="20">
        <f>'Personal Rankings'!W19</f>
        <v>0</v>
      </c>
      <c r="AV19" s="100">
        <f>INDEX('Default Rankings'!$AC$3:$AC$77,MATCH(AW19,'Personal Rankings'!$X$3:$X$77,0))</f>
        <v>27.457864131566769</v>
      </c>
      <c r="AW19" s="100" t="str">
        <f>'Personal Rankings'!X19</f>
        <v/>
      </c>
      <c r="AX19" s="100" t="str">
        <f ca="1">_xll.VoseLognormal(AW19,AV19)</f>
        <v>Error: Mu must be &gt; 0</v>
      </c>
      <c r="AY19" s="100" t="str">
        <f>IF(COUNTIF('Live Draft Picks'!$D$3:$D$254,'Player Availability'!AW19)&gt;0,"Y"," ")</f>
        <v>Y</v>
      </c>
      <c r="AZ19" s="100" t="str">
        <f t="shared" ca="1" si="4"/>
        <v>Y</v>
      </c>
      <c r="BA19" s="100"/>
      <c r="BB19" s="100"/>
      <c r="BC19" s="21"/>
      <c r="BE19" s="12">
        <f>BE18+1</f>
        <v>17</v>
      </c>
      <c r="BF19" s="20">
        <f>'Personal Rankings'!AB19</f>
        <v>0</v>
      </c>
      <c r="BG19" s="100">
        <f>INDEX('Default Rankings'!$AH$3:$AH$77,MATCH(BH19,'Personal Rankings'!$AC$3:$AC$77,0))</f>
        <v>23.225727533811355</v>
      </c>
      <c r="BH19" s="100" t="str">
        <f>'Personal Rankings'!AC19</f>
        <v/>
      </c>
      <c r="BI19" s="100" t="str">
        <f ca="1">_xll.VoseLognormal(BH19,BG19)</f>
        <v>Error: Mu must be &gt; 0</v>
      </c>
      <c r="BJ19" s="100" t="str">
        <f>IF(COUNTIF('Live Draft Picks'!$D$3:$D$254,'Player Availability'!BH19)&gt;0,"Y"," ")</f>
        <v>Y</v>
      </c>
      <c r="BK19" s="100" t="str">
        <f t="shared" ca="1" si="5"/>
        <v>Y</v>
      </c>
      <c r="BL19" s="100"/>
      <c r="BM19" s="100"/>
      <c r="BN19" s="21"/>
    </row>
    <row r="20" spans="2:66" x14ac:dyDescent="0.35">
      <c r="B20" s="12">
        <f t="shared" ref="B20:B22" si="14">B19+1</f>
        <v>18</v>
      </c>
      <c r="C20" s="20" t="str">
        <f>'Personal Rankings'!C20</f>
        <v>Gardner Minshew II JAC</v>
      </c>
      <c r="D20" s="100">
        <f>INDEX('Default Rankings'!$I$3:$I$77,MATCH(E20,'Personal Rankings'!$D$3:$D$77,0))</f>
        <v>29.905475379354247</v>
      </c>
      <c r="E20" s="100">
        <f>'Personal Rankings'!D20</f>
        <v>220</v>
      </c>
      <c r="F20" s="100">
        <f ca="1">_xll.VoseLognormal(E20,D20)</f>
        <v>220.51227932876699</v>
      </c>
      <c r="G20" s="100" t="str">
        <f>IF(COUNTIF('Live Draft Picks'!$D$3:$D$254,'Player Availability'!E20)&gt;0,"Y"," ")</f>
        <v xml:space="preserve"> </v>
      </c>
      <c r="H20" s="100" t="str">
        <f t="shared" ca="1" si="0"/>
        <v xml:space="preserve"> </v>
      </c>
      <c r="I20" s="100"/>
      <c r="J20" s="100"/>
      <c r="K20" s="21"/>
      <c r="M20" s="12">
        <f t="shared" ref="M20:M22" si="15">M19+1</f>
        <v>18</v>
      </c>
      <c r="N20" s="20" t="str">
        <f>'Personal Rankings'!H20</f>
        <v>Jonathan Taylor IND</v>
      </c>
      <c r="O20" s="100">
        <f>INDEX('Default Rankings'!$N$3:$N$77,MATCH(P20,'Personal Rankings'!$I$3:$I$77,0))</f>
        <v>13.805005309304143</v>
      </c>
      <c r="P20" s="100">
        <f>'Personal Rankings'!I20</f>
        <v>45</v>
      </c>
      <c r="Q20" s="100">
        <f ca="1">_xll.VoseLognormal(P20,O20)</f>
        <v>52.69796189738782</v>
      </c>
      <c r="R20" s="100" t="str">
        <f>IF(COUNTIF('Live Draft Picks'!$D$3:$D$254,'Player Availability'!P20)&gt;0,"Y"," ")</f>
        <v>Y</v>
      </c>
      <c r="S20" s="100" t="str">
        <f t="shared" ca="1" si="1"/>
        <v>Y</v>
      </c>
      <c r="T20" s="100"/>
      <c r="U20" s="100"/>
      <c r="V20" s="21"/>
      <c r="X20" s="12">
        <f t="shared" ref="X20:X22" si="16">X19+1</f>
        <v>18</v>
      </c>
      <c r="Y20" s="20" t="str">
        <f>'Personal Rankings'!M20</f>
        <v>Robert Woods LAR</v>
      </c>
      <c r="Z20" s="100">
        <f>INDEX('Default Rankings'!$S$3:$S$77,MATCH(AA20,'Personal Rankings'!$N$3:$N$77,0))</f>
        <v>9.538518630966248</v>
      </c>
      <c r="AA20" s="100">
        <f>'Personal Rankings'!N20</f>
        <v>37</v>
      </c>
      <c r="AB20" s="100">
        <f ca="1">_xll.VoseLognormal(AA20,Z20)</f>
        <v>24.228175310971903</v>
      </c>
      <c r="AC20" s="100" t="str">
        <f>IF(COUNTIF('Live Draft Picks'!$D$3:$D$254,'Player Availability'!AA20)&gt;0,"Y"," ")</f>
        <v>Y</v>
      </c>
      <c r="AD20" s="100" t="str">
        <f t="shared" ca="1" si="2"/>
        <v>Y</v>
      </c>
      <c r="AE20" s="100"/>
      <c r="AF20" s="100"/>
      <c r="AG20" s="21"/>
      <c r="AI20" s="12">
        <f t="shared" ref="AI20:AI22" si="17">AI19+1</f>
        <v>18</v>
      </c>
      <c r="AJ20" s="20" t="str">
        <f>'Personal Rankings'!R20</f>
        <v>Jack Doyle IND</v>
      </c>
      <c r="AK20" s="100">
        <f>INDEX('Default Rankings'!$X$3:$X$77,MATCH(AL20,'Personal Rankings'!$S$3:$S$77,0))</f>
        <v>31.382839635787661</v>
      </c>
      <c r="AL20" s="100">
        <f>'Personal Rankings'!S20</f>
        <v>162</v>
      </c>
      <c r="AM20" s="100">
        <f ca="1">_xll.VoseLognormal(AL20,AK20)</f>
        <v>135.39939415242989</v>
      </c>
      <c r="AN20" s="100" t="str">
        <f>IF(COUNTIF('Live Draft Picks'!$D$3:$D$254,'Player Availability'!AL20)&gt;0,"Y"," ")</f>
        <v xml:space="preserve"> </v>
      </c>
      <c r="AO20" s="100" t="str">
        <f t="shared" ca="1" si="3"/>
        <v xml:space="preserve"> </v>
      </c>
      <c r="AP20" s="100"/>
      <c r="AQ20" s="100"/>
      <c r="AR20" s="21"/>
      <c r="AT20" s="12">
        <f t="shared" ref="AT20:AT22" si="18">AT19+1</f>
        <v>18</v>
      </c>
      <c r="AU20" s="20">
        <f>'Personal Rankings'!W20</f>
        <v>0</v>
      </c>
      <c r="AV20" s="100">
        <f>INDEX('Default Rankings'!$AC$3:$AC$77,MATCH(AW20,'Personal Rankings'!$X$3:$X$77,0))</f>
        <v>27.457864131566769</v>
      </c>
      <c r="AW20" s="100" t="str">
        <f>'Personal Rankings'!X20</f>
        <v/>
      </c>
      <c r="AX20" s="100" t="str">
        <f ca="1">_xll.VoseLognormal(AW20,AV20)</f>
        <v>Error: Mu must be &gt; 0</v>
      </c>
      <c r="AY20" s="100" t="str">
        <f>IF(COUNTIF('Live Draft Picks'!$D$3:$D$254,'Player Availability'!AW20)&gt;0,"Y"," ")</f>
        <v>Y</v>
      </c>
      <c r="AZ20" s="100" t="str">
        <f t="shared" ca="1" si="4"/>
        <v>Y</v>
      </c>
      <c r="BA20" s="100"/>
      <c r="BB20" s="100"/>
      <c r="BC20" s="21"/>
      <c r="BE20" s="12">
        <f t="shared" ref="BE20:BE22" si="19">BE19+1</f>
        <v>18</v>
      </c>
      <c r="BF20" s="20">
        <f>'Personal Rankings'!AB20</f>
        <v>0</v>
      </c>
      <c r="BG20" s="100">
        <f>INDEX('Default Rankings'!$AH$3:$AH$77,MATCH(BH20,'Personal Rankings'!$AC$3:$AC$77,0))</f>
        <v>23.225727533811355</v>
      </c>
      <c r="BH20" s="100" t="str">
        <f>'Personal Rankings'!AC20</f>
        <v/>
      </c>
      <c r="BI20" s="100" t="str">
        <f ca="1">_xll.VoseLognormal(BH20,BG20)</f>
        <v>Error: Mu must be &gt; 0</v>
      </c>
      <c r="BJ20" s="100" t="str">
        <f>IF(COUNTIF('Live Draft Picks'!$D$3:$D$254,'Player Availability'!BH20)&gt;0,"Y"," ")</f>
        <v>Y</v>
      </c>
      <c r="BK20" s="100" t="str">
        <f t="shared" ca="1" si="5"/>
        <v>Y</v>
      </c>
      <c r="BL20" s="100"/>
      <c r="BM20" s="100"/>
      <c r="BN20" s="21"/>
    </row>
    <row r="21" spans="2:66" x14ac:dyDescent="0.35">
      <c r="B21" s="12">
        <f t="shared" si="14"/>
        <v>19</v>
      </c>
      <c r="C21" s="20" t="str">
        <f>'Personal Rankings'!C21</f>
        <v>Ryan Tannehill TEN</v>
      </c>
      <c r="D21" s="100">
        <f>INDEX('Default Rankings'!$I$3:$I$77,MATCH(E21,'Personal Rankings'!$D$3:$D$77,0))</f>
        <v>30.085948133939162</v>
      </c>
      <c r="E21" s="100">
        <f>'Personal Rankings'!D21</f>
        <v>166</v>
      </c>
      <c r="F21" s="100">
        <f ca="1">_xll.VoseLognormal(E21,D21)</f>
        <v>228.67733409144</v>
      </c>
      <c r="G21" s="100" t="str">
        <f>IF(COUNTIF('Live Draft Picks'!$D$3:$D$254,'Player Availability'!E21)&gt;0,"Y"," ")</f>
        <v xml:space="preserve"> </v>
      </c>
      <c r="H21" s="100" t="str">
        <f t="shared" ca="1" si="0"/>
        <v xml:space="preserve"> </v>
      </c>
      <c r="I21" s="100"/>
      <c r="J21" s="100"/>
      <c r="K21" s="21"/>
      <c r="M21" s="12">
        <f t="shared" si="15"/>
        <v>19</v>
      </c>
      <c r="N21" s="20" t="str">
        <f>'Personal Rankings'!H21</f>
        <v>Melvin Gordon DEN</v>
      </c>
      <c r="O21" s="100">
        <f>INDEX('Default Rankings'!$N$3:$N$77,MATCH(P21,'Personal Rankings'!$I$3:$I$77,0))</f>
        <v>14.086147190390587</v>
      </c>
      <c r="P21" s="100">
        <f>'Personal Rankings'!I21</f>
        <v>46</v>
      </c>
      <c r="Q21" s="100">
        <f ca="1">_xll.VoseLognormal(P21,O21)</f>
        <v>36.185145788589026</v>
      </c>
      <c r="R21" s="100" t="str">
        <f>IF(COUNTIF('Live Draft Picks'!$D$3:$D$254,'Player Availability'!P21)&gt;0,"Y"," ")</f>
        <v>Y</v>
      </c>
      <c r="S21" s="100" t="str">
        <f t="shared" ca="1" si="1"/>
        <v>Y</v>
      </c>
      <c r="T21" s="100"/>
      <c r="U21" s="100"/>
      <c r="V21" s="21"/>
      <c r="X21" s="12">
        <f t="shared" si="16"/>
        <v>19</v>
      </c>
      <c r="Y21" s="20" t="str">
        <f>'Personal Rankings'!M21</f>
        <v>Cooper Kupp LAR</v>
      </c>
      <c r="Z21" s="100">
        <f>INDEX('Default Rankings'!$S$3:$S$77,MATCH(AA21,'Personal Rankings'!$N$3:$N$77,0))</f>
        <v>9.7829557360634993</v>
      </c>
      <c r="AA21" s="100">
        <f>'Personal Rankings'!N21</f>
        <v>38</v>
      </c>
      <c r="AB21" s="100">
        <f ca="1">_xll.VoseLognormal(AA21,Z21)</f>
        <v>31.573968751127843</v>
      </c>
      <c r="AC21" s="100" t="str">
        <f>IF(COUNTIF('Live Draft Picks'!$D$3:$D$254,'Player Availability'!AA21)&gt;0,"Y"," ")</f>
        <v>Y</v>
      </c>
      <c r="AD21" s="100" t="str">
        <f t="shared" ca="1" si="2"/>
        <v>Y</v>
      </c>
      <c r="AE21" s="100"/>
      <c r="AF21" s="100"/>
      <c r="AG21" s="21"/>
      <c r="AI21" s="12">
        <f t="shared" si="17"/>
        <v>19</v>
      </c>
      <c r="AJ21" s="20" t="str">
        <f>'Personal Rankings'!R21</f>
        <v>Jonnu Smith TEN</v>
      </c>
      <c r="AK21" s="100">
        <f>INDEX('Default Rankings'!$X$3:$X$77,MATCH(AL21,'Personal Rankings'!$S$3:$S$77,0))</f>
        <v>31.424206880176271</v>
      </c>
      <c r="AL21" s="100">
        <f>'Personal Rankings'!S21</f>
        <v>164</v>
      </c>
      <c r="AM21" s="100">
        <f ca="1">_xll.VoseLognormal(AL21,AK21)</f>
        <v>143.50363465038967</v>
      </c>
      <c r="AN21" s="100" t="str">
        <f>IF(COUNTIF('Live Draft Picks'!$D$3:$D$254,'Player Availability'!AL21)&gt;0,"Y"," ")</f>
        <v xml:space="preserve"> </v>
      </c>
      <c r="AO21" s="100" t="str">
        <f t="shared" ca="1" si="3"/>
        <v xml:space="preserve"> </v>
      </c>
      <c r="AP21" s="100"/>
      <c r="AQ21" s="100"/>
      <c r="AR21" s="21"/>
      <c r="AT21" s="12">
        <f t="shared" si="18"/>
        <v>19</v>
      </c>
      <c r="AU21" s="20">
        <f>'Personal Rankings'!W21</f>
        <v>0</v>
      </c>
      <c r="AV21" s="100">
        <f>INDEX('Default Rankings'!$AC$3:$AC$77,MATCH(AW21,'Personal Rankings'!$X$3:$X$77,0))</f>
        <v>27.457864131566769</v>
      </c>
      <c r="AW21" s="100" t="str">
        <f>'Personal Rankings'!X21</f>
        <v/>
      </c>
      <c r="AX21" s="100" t="str">
        <f ca="1">_xll.VoseLognormal(AW21,AV21)</f>
        <v>Error: Mu must be &gt; 0</v>
      </c>
      <c r="AY21" s="100" t="str">
        <f>IF(COUNTIF('Live Draft Picks'!$D$3:$D$254,'Player Availability'!AW21)&gt;0,"Y"," ")</f>
        <v>Y</v>
      </c>
      <c r="AZ21" s="100" t="str">
        <f t="shared" ca="1" si="4"/>
        <v>Y</v>
      </c>
      <c r="BA21" s="100"/>
      <c r="BB21" s="100"/>
      <c r="BC21" s="21"/>
      <c r="BE21" s="12">
        <f t="shared" si="19"/>
        <v>19</v>
      </c>
      <c r="BF21" s="20">
        <f>'Personal Rankings'!AB21</f>
        <v>0</v>
      </c>
      <c r="BG21" s="100">
        <f>INDEX('Default Rankings'!$AH$3:$AH$77,MATCH(BH21,'Personal Rankings'!$AC$3:$AC$77,0))</f>
        <v>23.225727533811355</v>
      </c>
      <c r="BH21" s="100" t="str">
        <f>'Personal Rankings'!AC21</f>
        <v/>
      </c>
      <c r="BI21" s="100" t="str">
        <f ca="1">_xll.VoseLognormal(BH21,BG21)</f>
        <v>Error: Mu must be &gt; 0</v>
      </c>
      <c r="BJ21" s="100" t="str">
        <f>IF(COUNTIF('Live Draft Picks'!$D$3:$D$254,'Player Availability'!BH21)&gt;0,"Y"," ")</f>
        <v>Y</v>
      </c>
      <c r="BK21" s="100" t="str">
        <f t="shared" ca="1" si="5"/>
        <v>Y</v>
      </c>
      <c r="BL21" s="100"/>
      <c r="BM21" s="100"/>
      <c r="BN21" s="21"/>
    </row>
    <row r="22" spans="2:66" x14ac:dyDescent="0.35">
      <c r="B22" s="12">
        <f t="shared" si="14"/>
        <v>20</v>
      </c>
      <c r="C22" s="20" t="str">
        <f>'Personal Rankings'!C22</f>
        <v>Daniel Jones NYG</v>
      </c>
      <c r="D22" s="100">
        <f>INDEX('Default Rankings'!$I$3:$I$77,MATCH(E22,'Personal Rankings'!$D$3:$D$77,0))</f>
        <v>30.2664392336387</v>
      </c>
      <c r="E22" s="100">
        <f>'Personal Rankings'!D22</f>
        <v>137</v>
      </c>
      <c r="F22" s="100">
        <f ca="1">_xll.VoseLognormal(E22,D22)</f>
        <v>125.21855269933903</v>
      </c>
      <c r="G22" s="100" t="str">
        <f>IF(COUNTIF('Live Draft Picks'!$D$3:$D$254,'Player Availability'!E22)&gt;0,"Y"," ")</f>
        <v xml:space="preserve"> </v>
      </c>
      <c r="H22" s="100" t="str">
        <f t="shared" ca="1" si="0"/>
        <v xml:space="preserve"> </v>
      </c>
      <c r="I22" s="100"/>
      <c r="J22" s="100"/>
      <c r="K22" s="21"/>
      <c r="M22" s="12">
        <f t="shared" si="15"/>
        <v>20</v>
      </c>
      <c r="N22" s="20" t="str">
        <f>'Personal Rankings'!H22</f>
        <v>Le'Veon Bell NYJ</v>
      </c>
      <c r="O22" s="100">
        <f>INDEX('Default Rankings'!$N$3:$N$77,MATCH(P22,'Personal Rankings'!$I$3:$I$77,0))</f>
        <v>14.36586847894797</v>
      </c>
      <c r="P22" s="100">
        <f>'Personal Rankings'!I22</f>
        <v>47</v>
      </c>
      <c r="Q22" s="100">
        <f ca="1">_xll.VoseLognormal(P22,O22)</f>
        <v>69.065420023062018</v>
      </c>
      <c r="R22" s="100" t="str">
        <f>IF(COUNTIF('Live Draft Picks'!$D$3:$D$254,'Player Availability'!P22)&gt;0,"Y"," ")</f>
        <v>Y</v>
      </c>
      <c r="S22" s="100" t="str">
        <f t="shared" ca="1" si="1"/>
        <v>Y</v>
      </c>
      <c r="T22" s="100"/>
      <c r="U22" s="100"/>
      <c r="V22" s="21"/>
      <c r="X22" s="12">
        <f t="shared" si="16"/>
        <v>20</v>
      </c>
      <c r="Y22" s="20" t="str">
        <f>'Personal Rankings'!M22</f>
        <v>DK Metcalf SEA</v>
      </c>
      <c r="Z22" s="100">
        <f>INDEX('Default Rankings'!$S$3:$S$77,MATCH(AA22,'Personal Rankings'!$N$3:$N$77,0))</f>
        <v>10.026143083244497</v>
      </c>
      <c r="AA22" s="100">
        <f>'Personal Rankings'!N22</f>
        <v>53</v>
      </c>
      <c r="AB22" s="100">
        <f ca="1">_xll.VoseLognormal(AA22,Z22)</f>
        <v>55.761250820974169</v>
      </c>
      <c r="AC22" s="100" t="str">
        <f>IF(COUNTIF('Live Draft Picks'!$D$3:$D$254,'Player Availability'!AA22)&gt;0,"Y"," ")</f>
        <v>Y</v>
      </c>
      <c r="AD22" s="100" t="str">
        <f t="shared" ca="1" si="2"/>
        <v>Y</v>
      </c>
      <c r="AE22" s="100"/>
      <c r="AF22" s="100"/>
      <c r="AG22" s="21"/>
      <c r="AI22" s="12">
        <f t="shared" si="17"/>
        <v>20</v>
      </c>
      <c r="AJ22" s="20" t="str">
        <f>'Personal Rankings'!R22</f>
        <v>Noah Fant DEN</v>
      </c>
      <c r="AK22" s="100">
        <f>INDEX('Default Rankings'!$X$3:$X$77,MATCH(AL22,'Personal Rankings'!$S$3:$S$77,0))</f>
        <v>31.820379836659903</v>
      </c>
      <c r="AL22" s="100">
        <f>'Personal Rankings'!S22</f>
        <v>113</v>
      </c>
      <c r="AM22" s="100">
        <f ca="1">_xll.VoseLognormal(AL22,AK22)</f>
        <v>71.224622116272826</v>
      </c>
      <c r="AN22" s="100" t="str">
        <f>IF(COUNTIF('Live Draft Picks'!$D$3:$D$254,'Player Availability'!AL22)&gt;0,"Y"," ")</f>
        <v xml:space="preserve"> </v>
      </c>
      <c r="AO22" s="100" t="str">
        <f t="shared" ca="1" si="3"/>
        <v xml:space="preserve"> </v>
      </c>
      <c r="AP22" s="100"/>
      <c r="AQ22" s="100"/>
      <c r="AR22" s="21"/>
      <c r="AT22" s="12">
        <f t="shared" si="18"/>
        <v>20</v>
      </c>
      <c r="AU22" s="20">
        <f>'Personal Rankings'!W22</f>
        <v>0</v>
      </c>
      <c r="AV22" s="100">
        <f>INDEX('Default Rankings'!$AC$3:$AC$77,MATCH(AW22,'Personal Rankings'!$X$3:$X$77,0))</f>
        <v>27.457864131566769</v>
      </c>
      <c r="AW22" s="100" t="str">
        <f>'Personal Rankings'!X22</f>
        <v/>
      </c>
      <c r="AX22" s="100" t="str">
        <f ca="1">_xll.VoseLognormal(AW22,AV22)</f>
        <v>Error: Mu must be &gt; 0</v>
      </c>
      <c r="AY22" s="100" t="str">
        <f>IF(COUNTIF('Live Draft Picks'!$D$3:$D$254,'Player Availability'!AW22)&gt;0,"Y"," ")</f>
        <v>Y</v>
      </c>
      <c r="AZ22" s="100" t="str">
        <f t="shared" ca="1" si="4"/>
        <v>Y</v>
      </c>
      <c r="BA22" s="100"/>
      <c r="BB22" s="100"/>
      <c r="BC22" s="21"/>
      <c r="BE22" s="12">
        <f t="shared" si="19"/>
        <v>20</v>
      </c>
      <c r="BF22" s="20">
        <f>'Personal Rankings'!AB22</f>
        <v>0</v>
      </c>
      <c r="BG22" s="100">
        <f>INDEX('Default Rankings'!$AH$3:$AH$77,MATCH(BH22,'Personal Rankings'!$AC$3:$AC$77,0))</f>
        <v>23.225727533811355</v>
      </c>
      <c r="BH22" s="100" t="str">
        <f>'Personal Rankings'!AC22</f>
        <v/>
      </c>
      <c r="BI22" s="100" t="str">
        <f ca="1">_xll.VoseLognormal(BH22,BG22)</f>
        <v>Error: Mu must be &gt; 0</v>
      </c>
      <c r="BJ22" s="100" t="str">
        <f>IF(COUNTIF('Live Draft Picks'!$D$3:$D$254,'Player Availability'!BH22)&gt;0,"Y"," ")</f>
        <v>Y</v>
      </c>
      <c r="BK22" s="100" t="str">
        <f t="shared" ca="1" si="5"/>
        <v>Y</v>
      </c>
      <c r="BL22" s="100"/>
      <c r="BM22" s="100"/>
      <c r="BN22" s="21"/>
    </row>
    <row r="23" spans="2:66" x14ac:dyDescent="0.35">
      <c r="B23" s="12">
        <f>B22+1</f>
        <v>21</v>
      </c>
      <c r="C23" s="20" t="str">
        <f>'Personal Rankings'!C23</f>
        <v>Kirk Cousins MIN</v>
      </c>
      <c r="D23" s="100">
        <f>INDEX('Default Rankings'!$I$3:$I$77,MATCH(E23,'Personal Rankings'!$D$3:$D$77,0))</f>
        <v>38.226209283899351</v>
      </c>
      <c r="E23" s="100">
        <f>'Personal Rankings'!D23</f>
        <v>213</v>
      </c>
      <c r="F23" s="100">
        <f ca="1">_xll.VoseLognormal(E23,D23)</f>
        <v>169.67854234906062</v>
      </c>
      <c r="G23" s="100" t="str">
        <f>IF(COUNTIF('Live Draft Picks'!$D$3:$D$254,'Player Availability'!E23)&gt;0,"Y"," ")</f>
        <v xml:space="preserve"> </v>
      </c>
      <c r="H23" s="100" t="str">
        <f t="shared" ca="1" si="0"/>
        <v xml:space="preserve"> </v>
      </c>
      <c r="I23" s="100"/>
      <c r="J23" s="100"/>
      <c r="K23" s="21"/>
      <c r="M23" s="12">
        <f>M22+1</f>
        <v>21</v>
      </c>
      <c r="N23" s="20" t="str">
        <f>'Personal Rankings'!H23</f>
        <v>David Johnson HOU</v>
      </c>
      <c r="O23" s="100">
        <f>INDEX('Default Rankings'!$N$3:$N$77,MATCH(P23,'Personal Rankings'!$I$3:$I$77,0))</f>
        <v>14.644169174976287</v>
      </c>
      <c r="P23" s="100">
        <f>'Personal Rankings'!I23</f>
        <v>40</v>
      </c>
      <c r="Q23" s="100">
        <f ca="1">_xll.VoseLognormal(P23,O23)</f>
        <v>60.350348733761905</v>
      </c>
      <c r="R23" s="100" t="str">
        <f>IF(COUNTIF('Live Draft Picks'!$D$3:$D$254,'Player Availability'!P23)&gt;0,"Y"," ")</f>
        <v>Y</v>
      </c>
      <c r="S23" s="100" t="str">
        <f t="shared" ca="1" si="1"/>
        <v>Y</v>
      </c>
      <c r="T23" s="100"/>
      <c r="U23" s="100"/>
      <c r="V23" s="21"/>
      <c r="X23" s="12">
        <f>X22+1</f>
        <v>21</v>
      </c>
      <c r="Y23" s="20" t="str">
        <f>'Personal Rankings'!M23</f>
        <v>Tyler Lockett SEA</v>
      </c>
      <c r="Z23" s="100">
        <f>INDEX('Default Rankings'!$S$3:$S$77,MATCH(AA23,'Personal Rankings'!$N$3:$N$77,0))</f>
        <v>12.846910131948544</v>
      </c>
      <c r="AA23" s="100">
        <f>'Personal Rankings'!N23</f>
        <v>36</v>
      </c>
      <c r="AB23" s="100">
        <f ca="1">_xll.VoseLognormal(AA23,Z23)</f>
        <v>42.638374738409446</v>
      </c>
      <c r="AC23" s="100" t="str">
        <f>IF(COUNTIF('Live Draft Picks'!$D$3:$D$254,'Player Availability'!AA23)&gt;0,"Y"," ")</f>
        <v>Y</v>
      </c>
      <c r="AD23" s="100" t="str">
        <f t="shared" ca="1" si="2"/>
        <v>Y</v>
      </c>
      <c r="AE23" s="100"/>
      <c r="AF23" s="100"/>
      <c r="AG23" s="21"/>
      <c r="AI23" s="12">
        <f>AI22+1</f>
        <v>21</v>
      </c>
      <c r="AJ23" s="20" t="str">
        <f>'Personal Rankings'!R23</f>
        <v>Eric Ebron PIT</v>
      </c>
      <c r="AK23" s="100">
        <f>INDEX('Default Rankings'!$X$3:$X$77,MATCH(AL23,'Personal Rankings'!$S$3:$S$77,0))</f>
        <v>31.284968047988798</v>
      </c>
      <c r="AL23" s="100">
        <f>'Personal Rankings'!S23</f>
        <v>163</v>
      </c>
      <c r="AM23" s="100">
        <f ca="1">_xll.VoseLognormal(AL23,AK23)</f>
        <v>168.41343408984704</v>
      </c>
      <c r="AN23" s="100" t="str">
        <f>IF(COUNTIF('Live Draft Picks'!$D$3:$D$254,'Player Availability'!AL23)&gt;0,"Y"," ")</f>
        <v>Y</v>
      </c>
      <c r="AO23" s="100" t="str">
        <f t="shared" ca="1" si="3"/>
        <v>Y</v>
      </c>
      <c r="AP23" s="100"/>
      <c r="AQ23" s="100"/>
      <c r="AR23" s="21"/>
      <c r="AT23" s="109"/>
      <c r="AU23" s="109"/>
      <c r="AV23" s="109"/>
      <c r="AW23" s="109"/>
      <c r="AX23" s="109"/>
      <c r="AY23" s="109"/>
      <c r="AZ23" s="109"/>
      <c r="BA23" s="109"/>
      <c r="BB23" s="109"/>
      <c r="BC23" s="109"/>
    </row>
    <row r="24" spans="2:66" x14ac:dyDescent="0.35">
      <c r="B24" s="12">
        <f t="shared" ref="B24:B30" si="20">B23+1</f>
        <v>22</v>
      </c>
      <c r="C24" s="20" t="str">
        <f>'Personal Rankings'!C24</f>
        <v>Jimmy Garoppolo SF</v>
      </c>
      <c r="D24" s="100">
        <f>INDEX('Default Rankings'!$I$3:$I$77,MATCH(E24,'Personal Rankings'!$D$3:$D$77,0))</f>
        <v>39.495810940310847</v>
      </c>
      <c r="E24" s="100">
        <f>'Personal Rankings'!D24</f>
        <v>169</v>
      </c>
      <c r="F24" s="100">
        <f ca="1">_xll.VoseLognormal(E24,D24)</f>
        <v>90.723187133088331</v>
      </c>
      <c r="G24" s="100" t="str">
        <f>IF(COUNTIF('Live Draft Picks'!$D$3:$D$254,'Player Availability'!E24)&gt;0,"Y"," ")</f>
        <v xml:space="preserve"> </v>
      </c>
      <c r="H24" s="100" t="str">
        <f t="shared" ca="1" si="0"/>
        <v xml:space="preserve"> </v>
      </c>
      <c r="I24" s="100"/>
      <c r="J24" s="100"/>
      <c r="K24" s="21"/>
      <c r="M24" s="12">
        <f t="shared" ref="M24:M30" si="21">M23+1</f>
        <v>22</v>
      </c>
      <c r="N24" s="20" t="str">
        <f>'Personal Rankings'!H24</f>
        <v>Kareem Hunt CLE</v>
      </c>
      <c r="O24" s="100">
        <f>INDEX('Default Rankings'!$N$3:$N$77,MATCH(P24,'Personal Rankings'!$I$3:$I$77,0))</f>
        <v>14.92104927847555</v>
      </c>
      <c r="P24" s="100">
        <f>'Personal Rankings'!I24</f>
        <v>59</v>
      </c>
      <c r="Q24" s="100">
        <f ca="1">_xll.VoseLognormal(P24,O24)</f>
        <v>44.012196078370906</v>
      </c>
      <c r="R24" s="100" t="str">
        <f>IF(COUNTIF('Live Draft Picks'!$D$3:$D$254,'Player Availability'!P24)&gt;0,"Y"," ")</f>
        <v>Y</v>
      </c>
      <c r="S24" s="100" t="str">
        <f t="shared" ca="1" si="1"/>
        <v>Y</v>
      </c>
      <c r="T24" s="100"/>
      <c r="U24" s="100"/>
      <c r="V24" s="21"/>
      <c r="X24" s="12">
        <f t="shared" ref="X24:X30" si="22">X23+1</f>
        <v>22</v>
      </c>
      <c r="Y24" s="20" t="str">
        <f>'Personal Rankings'!M24</f>
        <v>DJ Chark Jr. JAC</v>
      </c>
      <c r="Z24" s="100">
        <f>INDEX('Default Rankings'!$S$3:$S$77,MATCH(AA24,'Personal Rankings'!$N$3:$N$77,0))</f>
        <v>13.073850626218222</v>
      </c>
      <c r="AA24" s="100">
        <f>'Personal Rankings'!N24</f>
        <v>55</v>
      </c>
      <c r="AB24" s="100">
        <f ca="1">_xll.VoseLognormal(AA24,Z24)</f>
        <v>53.539133202380995</v>
      </c>
      <c r="AC24" s="100" t="str">
        <f>IF(COUNTIF('Live Draft Picks'!$D$3:$D$254,'Player Availability'!AA24)&gt;0,"Y"," ")</f>
        <v>Y</v>
      </c>
      <c r="AD24" s="100" t="str">
        <f t="shared" ca="1" si="2"/>
        <v>Y</v>
      </c>
      <c r="AE24" s="100"/>
      <c r="AF24" s="100"/>
      <c r="AG24" s="21"/>
      <c r="AI24" s="12">
        <f t="shared" ref="AI24:AI30" si="23">AI23+1</f>
        <v>22</v>
      </c>
      <c r="AJ24" s="20">
        <f>'Personal Rankings'!R24</f>
        <v>0</v>
      </c>
      <c r="AK24" s="100">
        <f>INDEX('Default Rankings'!$X$3:$X$77,MATCH(AL24,'Personal Rankings'!$S$3:$S$77,0))</f>
        <v>31.237675746911371</v>
      </c>
      <c r="AL24" s="100" t="str">
        <f>'Personal Rankings'!S24</f>
        <v/>
      </c>
      <c r="AM24" s="100" t="str">
        <f ca="1">_xll.VoseLognormal(AL24,AK24)</f>
        <v>Error: Mu must be &gt; 0</v>
      </c>
      <c r="AN24" s="100" t="str">
        <f>IF(COUNTIF('Live Draft Picks'!$D$3:$D$254,'Player Availability'!AL24)&gt;0,"Y"," ")</f>
        <v>Y</v>
      </c>
      <c r="AO24" s="100" t="str">
        <f t="shared" ca="1" si="3"/>
        <v>Y</v>
      </c>
      <c r="AP24" s="100"/>
      <c r="AQ24" s="100"/>
      <c r="AR24" s="21"/>
      <c r="AT24" s="52"/>
      <c r="AU24" s="52"/>
      <c r="AV24" s="52"/>
      <c r="AW24" s="52"/>
      <c r="AX24" s="52"/>
      <c r="AY24" s="52"/>
      <c r="AZ24" s="52"/>
      <c r="BA24" s="52"/>
      <c r="BB24" s="52"/>
      <c r="BC24" s="52"/>
    </row>
    <row r="25" spans="2:66" x14ac:dyDescent="0.35">
      <c r="B25" s="12">
        <f t="shared" si="20"/>
        <v>23</v>
      </c>
      <c r="C25" s="20" t="str">
        <f>'Personal Rankings'!C25</f>
        <v>Baker Mayfield CLE</v>
      </c>
      <c r="D25" s="100">
        <f>INDEX('Default Rankings'!$I$3:$I$77,MATCH(E25,'Personal Rankings'!$D$3:$D$77,0))</f>
        <v>39.677255985970994</v>
      </c>
      <c r="E25" s="100">
        <f>'Personal Rankings'!D25</f>
        <v>168</v>
      </c>
      <c r="F25" s="100">
        <f ca="1">_xll.VoseLognormal(E25,D25)</f>
        <v>115.25079418483345</v>
      </c>
      <c r="G25" s="100" t="str">
        <f>IF(COUNTIF('Live Draft Picks'!$D$3:$D$254,'Player Availability'!E25)&gt;0,"Y"," ")</f>
        <v xml:space="preserve"> </v>
      </c>
      <c r="H25" s="100" t="str">
        <f t="shared" ca="1" si="0"/>
        <v xml:space="preserve"> </v>
      </c>
      <c r="I25" s="100"/>
      <c r="J25" s="100"/>
      <c r="K25" s="21"/>
      <c r="M25" s="12">
        <f t="shared" si="21"/>
        <v>23</v>
      </c>
      <c r="N25" s="20" t="str">
        <f>'Personal Rankings'!H25</f>
        <v>Raheem Mostert SF</v>
      </c>
      <c r="O25" s="100">
        <f>INDEX('Default Rankings'!$N$3:$N$77,MATCH(P25,'Personal Rankings'!$I$3:$I$77,0))</f>
        <v>15.196508789445744</v>
      </c>
      <c r="P25" s="100">
        <f>'Personal Rankings'!I25</f>
        <v>56</v>
      </c>
      <c r="Q25" s="100">
        <f ca="1">_xll.VoseLognormal(P25,O25)</f>
        <v>73.741842798520906</v>
      </c>
      <c r="R25" s="100" t="str">
        <f>IF(COUNTIF('Live Draft Picks'!$D$3:$D$254,'Player Availability'!P25)&gt;0,"Y"," ")</f>
        <v>Y</v>
      </c>
      <c r="S25" s="100" t="str">
        <f t="shared" ca="1" si="1"/>
        <v>Y</v>
      </c>
      <c r="T25" s="100"/>
      <c r="U25" s="100"/>
      <c r="V25" s="21"/>
      <c r="X25" s="12">
        <f t="shared" si="22"/>
        <v>23</v>
      </c>
      <c r="Y25" s="20" t="str">
        <f>'Personal Rankings'!M25</f>
        <v>Courtland Sutton DEN</v>
      </c>
      <c r="Z25" s="100">
        <f>INDEX('Default Rankings'!$S$3:$S$77,MATCH(AA25,'Personal Rankings'!$N$3:$N$77,0))</f>
        <v>13.299541362571647</v>
      </c>
      <c r="AA25" s="100">
        <f>'Personal Rankings'!N25</f>
        <v>31</v>
      </c>
      <c r="AB25" s="100">
        <f ca="1">_xll.VoseLognormal(AA25,Z25)</f>
        <v>34.680227453823072</v>
      </c>
      <c r="AC25" s="100" t="str">
        <f>IF(COUNTIF('Live Draft Picks'!$D$3:$D$254,'Player Availability'!AA25)&gt;0,"Y"," ")</f>
        <v>Y</v>
      </c>
      <c r="AD25" s="100" t="str">
        <f t="shared" ca="1" si="2"/>
        <v>Y</v>
      </c>
      <c r="AE25" s="100"/>
      <c r="AF25" s="100"/>
      <c r="AG25" s="21"/>
      <c r="AI25" s="12">
        <f t="shared" si="23"/>
        <v>23</v>
      </c>
      <c r="AJ25" s="20">
        <f>'Personal Rankings'!R25</f>
        <v>0</v>
      </c>
      <c r="AK25" s="100">
        <f>INDEX('Default Rankings'!$X$3:$X$77,MATCH(AL25,'Personal Rankings'!$S$3:$S$77,0))</f>
        <v>31.237675746911371</v>
      </c>
      <c r="AL25" s="100" t="str">
        <f>'Personal Rankings'!S25</f>
        <v/>
      </c>
      <c r="AM25" s="100" t="str">
        <f ca="1">_xll.VoseLognormal(AL25,AK25)</f>
        <v>Error: Mu must be &gt; 0</v>
      </c>
      <c r="AN25" s="100" t="str">
        <f>IF(COUNTIF('Live Draft Picks'!$D$3:$D$254,'Player Availability'!AL25)&gt;0,"Y"," ")</f>
        <v>Y</v>
      </c>
      <c r="AO25" s="100" t="str">
        <f t="shared" ca="1" si="3"/>
        <v>Y</v>
      </c>
      <c r="AP25" s="100"/>
      <c r="AQ25" s="100"/>
      <c r="AR25" s="21"/>
      <c r="AT25" s="52"/>
      <c r="AU25" s="52"/>
      <c r="AV25" s="52"/>
      <c r="AW25" s="52"/>
      <c r="AX25" s="52"/>
      <c r="AY25" s="52"/>
      <c r="AZ25" s="52"/>
      <c r="BA25" s="52"/>
      <c r="BB25" s="52"/>
      <c r="BC25" s="52"/>
    </row>
    <row r="26" spans="2:66" x14ac:dyDescent="0.35">
      <c r="B26" s="12">
        <f t="shared" si="20"/>
        <v>24</v>
      </c>
      <c r="C26" s="20" t="str">
        <f>'Personal Rankings'!C26</f>
        <v>Philip Rivers IND</v>
      </c>
      <c r="D26" s="100">
        <f>INDEX('Default Rankings'!$I$3:$I$77,MATCH(E26,'Personal Rankings'!$D$3:$D$77,0))</f>
        <v>43.855555287791574</v>
      </c>
      <c r="E26" s="100">
        <f>'Personal Rankings'!D26</f>
        <v>246</v>
      </c>
      <c r="F26" s="100">
        <f ca="1">_xll.VoseLognormal(E26,D26)</f>
        <v>264.77007883414421</v>
      </c>
      <c r="G26" s="100" t="str">
        <f>IF(COUNTIF('Live Draft Picks'!$D$3:$D$254,'Player Availability'!E26)&gt;0,"Y"," ")</f>
        <v xml:space="preserve"> </v>
      </c>
      <c r="H26" s="100" t="str">
        <f t="shared" ca="1" si="0"/>
        <v xml:space="preserve"> </v>
      </c>
      <c r="I26" s="100"/>
      <c r="J26" s="100"/>
      <c r="K26" s="21"/>
      <c r="M26" s="12">
        <f t="shared" si="21"/>
        <v>24</v>
      </c>
      <c r="N26" s="20" t="str">
        <f>'Personal Rankings'!H26</f>
        <v>Mark Ingram II BAL</v>
      </c>
      <c r="O26" s="100">
        <f>INDEX('Default Rankings'!$N$3:$N$77,MATCH(P26,'Personal Rankings'!$I$3:$I$77,0))</f>
        <v>17.084948775423388</v>
      </c>
      <c r="P26" s="100">
        <f>'Personal Rankings'!I26</f>
        <v>70</v>
      </c>
      <c r="Q26" s="100">
        <f ca="1">_xll.VoseLognormal(P26,O26)</f>
        <v>86.760576942282327</v>
      </c>
      <c r="R26" s="100" t="str">
        <f>IF(COUNTIF('Live Draft Picks'!$D$3:$D$254,'Player Availability'!P26)&gt;0,"Y"," ")</f>
        <v>Y</v>
      </c>
      <c r="S26" s="100" t="str">
        <f t="shared" ca="1" si="1"/>
        <v>Y</v>
      </c>
      <c r="T26" s="100"/>
      <c r="U26" s="100"/>
      <c r="V26" s="21"/>
      <c r="X26" s="12">
        <f t="shared" si="22"/>
        <v>24</v>
      </c>
      <c r="Y26" s="20" t="str">
        <f>'Personal Rankings'!M26</f>
        <v>DeVante Parker MIA</v>
      </c>
      <c r="Z26" s="100">
        <f>INDEX('Default Rankings'!$S$3:$S$77,MATCH(AA26,'Personal Rankings'!$N$3:$N$77,0))</f>
        <v>13.523982341008812</v>
      </c>
      <c r="AA26" s="100">
        <f>'Personal Rankings'!N26</f>
        <v>61</v>
      </c>
      <c r="AB26" s="100">
        <f ca="1">_xll.VoseLognormal(AA26,Z26)</f>
        <v>63.112705738277135</v>
      </c>
      <c r="AC26" s="100" t="str">
        <f>IF(COUNTIF('Live Draft Picks'!$D$3:$D$254,'Player Availability'!AA26)&gt;0,"Y"," ")</f>
        <v>Y</v>
      </c>
      <c r="AD26" s="100" t="str">
        <f t="shared" ca="1" si="2"/>
        <v>Y</v>
      </c>
      <c r="AE26" s="100"/>
      <c r="AF26" s="100"/>
      <c r="AG26" s="21"/>
      <c r="AI26" s="12">
        <f t="shared" si="23"/>
        <v>24</v>
      </c>
      <c r="AJ26" s="20">
        <f>'Personal Rankings'!R26</f>
        <v>0</v>
      </c>
      <c r="AK26" s="100">
        <f>INDEX('Default Rankings'!$X$3:$X$77,MATCH(AL26,'Personal Rankings'!$S$3:$S$77,0))</f>
        <v>31.237675746911371</v>
      </c>
      <c r="AL26" s="100" t="str">
        <f>'Personal Rankings'!S26</f>
        <v/>
      </c>
      <c r="AM26" s="100" t="str">
        <f ca="1">_xll.VoseLognormal(AL26,AK26)</f>
        <v>Error: Mu must be &gt; 0</v>
      </c>
      <c r="AN26" s="100" t="str">
        <f>IF(COUNTIF('Live Draft Picks'!$D$3:$D$254,'Player Availability'!AL26)&gt;0,"Y"," ")</f>
        <v>Y</v>
      </c>
      <c r="AO26" s="100" t="str">
        <f t="shared" ca="1" si="3"/>
        <v>Y</v>
      </c>
      <c r="AP26" s="100"/>
      <c r="AQ26" s="100"/>
      <c r="AR26" s="21"/>
      <c r="AT26" s="52"/>
      <c r="AU26" s="52"/>
      <c r="AV26" s="52"/>
      <c r="AW26" s="52"/>
      <c r="AX26" s="52"/>
      <c r="AY26" s="52"/>
      <c r="AZ26" s="52"/>
      <c r="BA26" s="52"/>
      <c r="BB26" s="52"/>
      <c r="BC26" s="52"/>
    </row>
    <row r="27" spans="2:66" x14ac:dyDescent="0.35">
      <c r="B27" s="12">
        <f t="shared" si="20"/>
        <v>25</v>
      </c>
      <c r="C27" s="20" t="str">
        <f>'Personal Rankings'!C27</f>
        <v>Drew Lock DEN</v>
      </c>
      <c r="D27" s="100">
        <f>INDEX('Default Rankings'!$I$3:$I$77,MATCH(E27,'Personal Rankings'!$D$3:$D$77,0))</f>
        <v>44.037440616202773</v>
      </c>
      <c r="E27" s="100">
        <f>'Personal Rankings'!D27</f>
        <v>244</v>
      </c>
      <c r="F27" s="100">
        <f ca="1">_xll.VoseLognormal(E27,D27)</f>
        <v>204.64671945465147</v>
      </c>
      <c r="G27" s="100" t="str">
        <f>IF(COUNTIF('Live Draft Picks'!$D$3:$D$254,'Player Availability'!E27)&gt;0,"Y"," ")</f>
        <v xml:space="preserve"> </v>
      </c>
      <c r="H27" s="100" t="str">
        <f t="shared" ca="1" si="0"/>
        <v xml:space="preserve"> </v>
      </c>
      <c r="I27" s="100"/>
      <c r="J27" s="100"/>
      <c r="K27" s="21"/>
      <c r="M27" s="12">
        <f t="shared" si="21"/>
        <v>25</v>
      </c>
      <c r="N27" s="20" t="str">
        <f>'Personal Rankings'!H27</f>
        <v>David Montgomery CHI</v>
      </c>
      <c r="O27" s="100">
        <f>INDEX('Default Rankings'!$N$3:$N$77,MATCH(P27,'Personal Rankings'!$I$3:$I$77,0))</f>
        <v>17.349043546161091</v>
      </c>
      <c r="P27" s="100">
        <f>'Personal Rankings'!I27</f>
        <v>57</v>
      </c>
      <c r="Q27" s="100">
        <f ca="1">_xll.VoseLognormal(P27,O27)</f>
        <v>67.130571913649675</v>
      </c>
      <c r="R27" s="100" t="str">
        <f>IF(COUNTIF('Live Draft Picks'!$D$3:$D$254,'Player Availability'!P27)&gt;0,"Y"," ")</f>
        <v>Y</v>
      </c>
      <c r="S27" s="100" t="str">
        <f t="shared" ca="1" si="1"/>
        <v>Y</v>
      </c>
      <c r="T27" s="100"/>
      <c r="U27" s="100"/>
      <c r="V27" s="21"/>
      <c r="X27" s="12">
        <f t="shared" si="22"/>
        <v>25</v>
      </c>
      <c r="Y27" s="20" t="str">
        <f>'Personal Rankings'!M27</f>
        <v>Keenan Allen LAC</v>
      </c>
      <c r="Z27" s="100">
        <f>INDEX('Default Rankings'!$S$3:$S$77,MATCH(AA27,'Personal Rankings'!$N$3:$N$77,0))</f>
        <v>13.747173561529726</v>
      </c>
      <c r="AA27" s="100">
        <f>'Personal Rankings'!N27</f>
        <v>52</v>
      </c>
      <c r="AB27" s="100">
        <f ca="1">_xll.VoseLognormal(AA27,Z27)</f>
        <v>35.878292510146096</v>
      </c>
      <c r="AC27" s="100" t="str">
        <f>IF(COUNTIF('Live Draft Picks'!$D$3:$D$254,'Player Availability'!AA27)&gt;0,"Y"," ")</f>
        <v>Y</v>
      </c>
      <c r="AD27" s="100" t="str">
        <f t="shared" ca="1" si="2"/>
        <v>Y</v>
      </c>
      <c r="AE27" s="100"/>
      <c r="AF27" s="100"/>
      <c r="AG27" s="21"/>
      <c r="AI27" s="12">
        <f t="shared" si="23"/>
        <v>25</v>
      </c>
      <c r="AJ27" s="20">
        <f>'Personal Rankings'!R27</f>
        <v>0</v>
      </c>
      <c r="AK27" s="100">
        <f>INDEX('Default Rankings'!$X$3:$X$77,MATCH(AL27,'Personal Rankings'!$S$3:$S$77,0))</f>
        <v>31.237675746911371</v>
      </c>
      <c r="AL27" s="100" t="str">
        <f>'Personal Rankings'!S27</f>
        <v/>
      </c>
      <c r="AM27" s="100" t="str">
        <f ca="1">_xll.VoseLognormal(AL27,AK27)</f>
        <v>Error: Mu must be &gt; 0</v>
      </c>
      <c r="AN27" s="100" t="str">
        <f>IF(COUNTIF('Live Draft Picks'!$D$3:$D$254,'Player Availability'!AL27)&gt;0,"Y"," ")</f>
        <v>Y</v>
      </c>
      <c r="AO27" s="100" t="str">
        <f t="shared" ca="1" si="3"/>
        <v>Y</v>
      </c>
      <c r="AP27" s="100"/>
      <c r="AQ27" s="100"/>
      <c r="AR27" s="21"/>
      <c r="AT27" s="52"/>
      <c r="AU27" s="52"/>
      <c r="AV27" s="52"/>
      <c r="AW27" s="52"/>
      <c r="AX27" s="52"/>
      <c r="AY27" s="52"/>
      <c r="AZ27" s="52"/>
      <c r="BA27" s="52"/>
      <c r="BB27" s="52"/>
      <c r="BC27" s="52"/>
    </row>
    <row r="28" spans="2:66" x14ac:dyDescent="0.35">
      <c r="B28" s="12">
        <f t="shared" si="20"/>
        <v>26</v>
      </c>
      <c r="C28" s="20">
        <f>'Personal Rankings'!C28</f>
        <v>0</v>
      </c>
      <c r="D28" s="100">
        <f>INDEX('Default Rankings'!$I$3:$I$77,MATCH(E28,'Personal Rankings'!$D$3:$D$77,0))</f>
        <v>44.219344289728603</v>
      </c>
      <c r="E28" s="100" t="str">
        <f>'Personal Rankings'!D28</f>
        <v/>
      </c>
      <c r="F28" s="100" t="str">
        <f ca="1">_xll.VoseLognormal(E28,D28)</f>
        <v>Error: Mu must be &gt; 0</v>
      </c>
      <c r="G28" s="100" t="str">
        <f>IF(COUNTIF('Live Draft Picks'!$D$3:$D$254,'Player Availability'!E28)&gt;0,"Y"," ")</f>
        <v>Y</v>
      </c>
      <c r="H28" s="100" t="str">
        <f t="shared" ca="1" si="0"/>
        <v>Y</v>
      </c>
      <c r="I28" s="100"/>
      <c r="J28" s="100"/>
      <c r="K28" s="21"/>
      <c r="M28" s="12">
        <f t="shared" si="21"/>
        <v>26</v>
      </c>
      <c r="N28" s="20" t="str">
        <f>'Personal Rankings'!H28</f>
        <v>Leonard Fournette JAC</v>
      </c>
      <c r="O28" s="100">
        <f>INDEX('Default Rankings'!$N$3:$N$77,MATCH(P28,'Personal Rankings'!$I$3:$I$77,0))</f>
        <v>17.611717724369733</v>
      </c>
      <c r="P28" s="100">
        <f>'Personal Rankings'!I28</f>
        <v>85</v>
      </c>
      <c r="Q28" s="100">
        <f ca="1">_xll.VoseLognormal(P28,O28)</f>
        <v>56.713079335423949</v>
      </c>
      <c r="R28" s="100" t="str">
        <f>IF(COUNTIF('Live Draft Picks'!$D$3:$D$254,'Player Availability'!P28)&gt;0,"Y"," ")</f>
        <v>Y</v>
      </c>
      <c r="S28" s="100" t="str">
        <f t="shared" ca="1" si="1"/>
        <v>Y</v>
      </c>
      <c r="T28" s="100"/>
      <c r="U28" s="100"/>
      <c r="V28" s="21"/>
      <c r="X28" s="12">
        <f t="shared" si="22"/>
        <v>26</v>
      </c>
      <c r="Y28" s="20" t="str">
        <f>'Personal Rankings'!M28</f>
        <v>Stefon Diggs BUF</v>
      </c>
      <c r="Z28" s="100">
        <f>INDEX('Default Rankings'!$S$3:$S$77,MATCH(AA28,'Personal Rankings'!$N$3:$N$77,0))</f>
        <v>13.969115024134382</v>
      </c>
      <c r="AA28" s="100">
        <f>'Personal Rankings'!N28</f>
        <v>64</v>
      </c>
      <c r="AB28" s="100">
        <f ca="1">_xll.VoseLognormal(AA28,Z28)</f>
        <v>72.166415351690802</v>
      </c>
      <c r="AC28" s="100" t="str">
        <f>IF(COUNTIF('Live Draft Picks'!$D$3:$D$254,'Player Availability'!AA28)&gt;0,"Y"," ")</f>
        <v>Y</v>
      </c>
      <c r="AD28" s="100" t="str">
        <f t="shared" ca="1" si="2"/>
        <v>Y</v>
      </c>
      <c r="AE28" s="100"/>
      <c r="AF28" s="100"/>
      <c r="AG28" s="21"/>
      <c r="AI28" s="12">
        <f t="shared" si="23"/>
        <v>26</v>
      </c>
      <c r="AJ28" s="20">
        <f>'Personal Rankings'!R28</f>
        <v>0</v>
      </c>
      <c r="AK28" s="100">
        <f>INDEX('Default Rankings'!$X$3:$X$77,MATCH(AL28,'Personal Rankings'!$S$3:$S$77,0))</f>
        <v>31.237675746911371</v>
      </c>
      <c r="AL28" s="100" t="str">
        <f>'Personal Rankings'!S28</f>
        <v/>
      </c>
      <c r="AM28" s="100" t="str">
        <f ca="1">_xll.VoseLognormal(AL28,AK28)</f>
        <v>Error: Mu must be &gt; 0</v>
      </c>
      <c r="AN28" s="100" t="str">
        <f>IF(COUNTIF('Live Draft Picks'!$D$3:$D$254,'Player Availability'!AL28)&gt;0,"Y"," ")</f>
        <v>Y</v>
      </c>
      <c r="AO28" s="100" t="str">
        <f t="shared" ca="1" si="3"/>
        <v>Y</v>
      </c>
      <c r="AP28" s="100"/>
      <c r="AQ28" s="100"/>
      <c r="AR28" s="21"/>
      <c r="AT28" s="52"/>
      <c r="AU28" s="52"/>
      <c r="AV28" s="52"/>
      <c r="AW28" s="52"/>
      <c r="AX28" s="52"/>
      <c r="AY28" s="52"/>
      <c r="AZ28" s="52"/>
      <c r="BA28" s="52"/>
      <c r="BB28" s="52"/>
      <c r="BC28" s="52"/>
    </row>
    <row r="29" spans="2:66" x14ac:dyDescent="0.35">
      <c r="B29" s="12">
        <f t="shared" si="20"/>
        <v>27</v>
      </c>
      <c r="C29" s="20">
        <f>'Personal Rankings'!C29</f>
        <v>0</v>
      </c>
      <c r="D29" s="100">
        <f>INDEX('Default Rankings'!$I$3:$I$77,MATCH(E29,'Personal Rankings'!$D$3:$D$77,0))</f>
        <v>44.219344289728603</v>
      </c>
      <c r="E29" s="100" t="str">
        <f>'Personal Rankings'!D29</f>
        <v/>
      </c>
      <c r="F29" s="100" t="str">
        <f ca="1">_xll.VoseLognormal(E29,D29)</f>
        <v>Error: Mu must be &gt; 0</v>
      </c>
      <c r="G29" s="100" t="str">
        <f>IF(COUNTIF('Live Draft Picks'!$D$3:$D$254,'Player Availability'!E29)&gt;0,"Y"," ")</f>
        <v>Y</v>
      </c>
      <c r="H29" s="100" t="str">
        <f t="shared" ca="1" si="0"/>
        <v>Y</v>
      </c>
      <c r="I29" s="100"/>
      <c r="J29" s="100"/>
      <c r="K29" s="21"/>
      <c r="M29" s="12">
        <f t="shared" si="21"/>
        <v>27</v>
      </c>
      <c r="N29" s="20" t="str">
        <f>'Personal Rankings'!H29</f>
        <v>Antonio Gibson WAS</v>
      </c>
      <c r="O29" s="100">
        <f>INDEX('Default Rankings'!$N$3:$N$77,MATCH(P29,'Personal Rankings'!$I$3:$I$77,0))</f>
        <v>17.872971310049309</v>
      </c>
      <c r="P29" s="100">
        <f>'Personal Rankings'!I29</f>
        <v>60</v>
      </c>
      <c r="Q29" s="100">
        <f ca="1">_xll.VoseLognormal(P29,O29)</f>
        <v>53.317760808348559</v>
      </c>
      <c r="R29" s="100" t="str">
        <f>IF(COUNTIF('Live Draft Picks'!$D$3:$D$254,'Player Availability'!P29)&gt;0,"Y"," ")</f>
        <v>Y</v>
      </c>
      <c r="S29" s="100" t="str">
        <f t="shared" ca="1" si="1"/>
        <v>Y</v>
      </c>
      <c r="T29" s="100"/>
      <c r="U29" s="100"/>
      <c r="V29" s="21"/>
      <c r="X29" s="12">
        <f t="shared" si="22"/>
        <v>27</v>
      </c>
      <c r="Y29" s="20" t="str">
        <f>'Personal Rankings'!M29</f>
        <v>Tyler Boyd CIN</v>
      </c>
      <c r="Z29" s="100">
        <f>INDEX('Default Rankings'!$S$3:$S$77,MATCH(AA29,'Personal Rankings'!$N$3:$N$77,0))</f>
        <v>15.274518883520965</v>
      </c>
      <c r="AA29" s="100">
        <f>'Personal Rankings'!N29</f>
        <v>65</v>
      </c>
      <c r="AB29" s="100">
        <f ca="1">_xll.VoseLognormal(AA29,Z29)</f>
        <v>68.96769141683788</v>
      </c>
      <c r="AC29" s="100" t="str">
        <f>IF(COUNTIF('Live Draft Picks'!$D$3:$D$254,'Player Availability'!AA29)&gt;0,"Y"," ")</f>
        <v>Y</v>
      </c>
      <c r="AD29" s="100" t="str">
        <f t="shared" ca="1" si="2"/>
        <v>Y</v>
      </c>
      <c r="AE29" s="100"/>
      <c r="AF29" s="100"/>
      <c r="AG29" s="21"/>
      <c r="AI29" s="12">
        <f t="shared" si="23"/>
        <v>27</v>
      </c>
      <c r="AJ29" s="20">
        <f>'Personal Rankings'!R29</f>
        <v>0</v>
      </c>
      <c r="AK29" s="100">
        <f>INDEX('Default Rankings'!$X$3:$X$77,MATCH(AL29,'Personal Rankings'!$S$3:$S$77,0))</f>
        <v>31.237675746911371</v>
      </c>
      <c r="AL29" s="100" t="str">
        <f>'Personal Rankings'!S29</f>
        <v/>
      </c>
      <c r="AM29" s="100" t="str">
        <f ca="1">_xll.VoseLognormal(AL29,AK29)</f>
        <v>Error: Mu must be &gt; 0</v>
      </c>
      <c r="AN29" s="100" t="str">
        <f>IF(COUNTIF('Live Draft Picks'!$D$3:$D$254,'Player Availability'!AL29)&gt;0,"Y"," ")</f>
        <v>Y</v>
      </c>
      <c r="AO29" s="100" t="str">
        <f t="shared" ca="1" si="3"/>
        <v>Y</v>
      </c>
      <c r="AP29" s="100"/>
      <c r="AQ29" s="100"/>
      <c r="AR29" s="21"/>
      <c r="AT29" s="52"/>
      <c r="AU29" s="52"/>
      <c r="AV29" s="52"/>
      <c r="AW29" s="52"/>
      <c r="AX29" s="52"/>
      <c r="AY29" s="52"/>
      <c r="AZ29" s="52"/>
      <c r="BA29" s="52"/>
      <c r="BB29" s="52"/>
      <c r="BC29" s="52"/>
    </row>
    <row r="30" spans="2:66" x14ac:dyDescent="0.35">
      <c r="B30" s="12">
        <f t="shared" si="20"/>
        <v>28</v>
      </c>
      <c r="C30" s="20">
        <f>'Personal Rankings'!C30</f>
        <v>0</v>
      </c>
      <c r="D30" s="100">
        <f>INDEX('Default Rankings'!$I$3:$I$77,MATCH(E30,'Personal Rankings'!$D$3:$D$77,0))</f>
        <v>44.219344289728603</v>
      </c>
      <c r="E30" s="100" t="str">
        <f>'Personal Rankings'!D30</f>
        <v/>
      </c>
      <c r="F30" s="100" t="str">
        <f ca="1">_xll.VoseLognormal(E30,D30)</f>
        <v>Error: Mu must be &gt; 0</v>
      </c>
      <c r="G30" s="100" t="str">
        <f>IF(COUNTIF('Live Draft Picks'!$D$3:$D$254,'Player Availability'!E30)&gt;0,"Y"," ")</f>
        <v>Y</v>
      </c>
      <c r="H30" s="100" t="str">
        <f t="shared" ca="1" si="0"/>
        <v>Y</v>
      </c>
      <c r="I30" s="100"/>
      <c r="J30" s="100"/>
      <c r="K30" s="21"/>
      <c r="M30" s="12">
        <f t="shared" si="21"/>
        <v>28</v>
      </c>
      <c r="N30" s="20" t="str">
        <f>'Personal Rankings'!H30</f>
        <v>Cam Akers LAR</v>
      </c>
      <c r="O30" s="100">
        <f>INDEX('Default Rankings'!$N$3:$N$77,MATCH(P30,'Personal Rankings'!$I$3:$I$77,0))</f>
        <v>18.132804303199826</v>
      </c>
      <c r="P30" s="100">
        <f>'Personal Rankings'!I30</f>
        <v>48</v>
      </c>
      <c r="Q30" s="100">
        <f ca="1">_xll.VoseLognormal(P30,O30)</f>
        <v>40.833527066627241</v>
      </c>
      <c r="R30" s="100" t="str">
        <f>IF(COUNTIF('Live Draft Picks'!$D$3:$D$254,'Player Availability'!P30)&gt;0,"Y"," ")</f>
        <v>Y</v>
      </c>
      <c r="S30" s="100" t="str">
        <f t="shared" ca="1" si="1"/>
        <v>Y</v>
      </c>
      <c r="T30" s="100"/>
      <c r="U30" s="100"/>
      <c r="V30" s="21"/>
      <c r="X30" s="12">
        <f t="shared" si="22"/>
        <v>28</v>
      </c>
      <c r="Y30" s="20" t="str">
        <f>'Personal Rankings'!M30</f>
        <v>Michael Gallup DAL</v>
      </c>
      <c r="Z30" s="100">
        <f>INDEX('Default Rankings'!$S$3:$S$77,MATCH(AA30,'Personal Rankings'!$N$3:$N$77,0))</f>
        <v>15.487712040711836</v>
      </c>
      <c r="AA30" s="100">
        <f>'Personal Rankings'!N30</f>
        <v>62</v>
      </c>
      <c r="AB30" s="100">
        <f ca="1">_xll.VoseLognormal(AA30,Z30)</f>
        <v>50.231190961935717</v>
      </c>
      <c r="AC30" s="100" t="str">
        <f>IF(COUNTIF('Live Draft Picks'!$D$3:$D$254,'Player Availability'!AA30)&gt;0,"Y"," ")</f>
        <v>Y</v>
      </c>
      <c r="AD30" s="100" t="str">
        <f t="shared" ca="1" si="2"/>
        <v>Y</v>
      </c>
      <c r="AE30" s="100"/>
      <c r="AF30" s="100"/>
      <c r="AG30" s="21"/>
      <c r="AI30" s="12">
        <f t="shared" si="23"/>
        <v>28</v>
      </c>
      <c r="AJ30" s="20">
        <f>'Personal Rankings'!R30</f>
        <v>0</v>
      </c>
      <c r="AK30" s="100">
        <f>INDEX('Default Rankings'!$X$3:$X$77,MATCH(AL30,'Personal Rankings'!$S$3:$S$77,0))</f>
        <v>31.237675746911371</v>
      </c>
      <c r="AL30" s="100" t="str">
        <f>'Personal Rankings'!S30</f>
        <v/>
      </c>
      <c r="AM30" s="100" t="str">
        <f ca="1">_xll.VoseLognormal(AL30,AK30)</f>
        <v>Error: Mu must be &gt; 0</v>
      </c>
      <c r="AN30" s="100" t="str">
        <f>IF(COUNTIF('Live Draft Picks'!$D$3:$D$254,'Player Availability'!AL30)&gt;0,"Y"," ")</f>
        <v>Y</v>
      </c>
      <c r="AO30" s="100" t="str">
        <f t="shared" ca="1" si="3"/>
        <v>Y</v>
      </c>
      <c r="AP30" s="100"/>
      <c r="AQ30" s="100"/>
      <c r="AR30" s="21"/>
      <c r="AT30" s="52"/>
      <c r="AU30" s="52"/>
      <c r="AV30" s="52"/>
      <c r="AW30" s="52"/>
      <c r="AX30" s="52"/>
      <c r="AY30" s="52"/>
      <c r="AZ30" s="52"/>
      <c r="BA30" s="52"/>
      <c r="BB30" s="52"/>
      <c r="BC30" s="52"/>
    </row>
    <row r="31" spans="2:66" x14ac:dyDescent="0.35">
      <c r="B31" s="12">
        <f>B30+1</f>
        <v>29</v>
      </c>
      <c r="C31" s="20">
        <f>'Personal Rankings'!C31</f>
        <v>0</v>
      </c>
      <c r="D31" s="100">
        <f>INDEX('Default Rankings'!$I$3:$I$77,MATCH(E31,'Personal Rankings'!$D$3:$D$77,0))</f>
        <v>44.219344289728603</v>
      </c>
      <c r="E31" s="100" t="str">
        <f>'Personal Rankings'!D31</f>
        <v/>
      </c>
      <c r="F31" s="100" t="str">
        <f ca="1">_xll.VoseLognormal(E31,D31)</f>
        <v>Error: Mu must be &gt; 0</v>
      </c>
      <c r="G31" s="100" t="str">
        <f>IF(COUNTIF('Live Draft Picks'!$D$3:$D$254,'Player Availability'!E31)&gt;0,"Y"," ")</f>
        <v>Y</v>
      </c>
      <c r="H31" s="100" t="str">
        <f t="shared" ca="1" si="0"/>
        <v>Y</v>
      </c>
      <c r="I31" s="100"/>
      <c r="J31" s="100"/>
      <c r="K31" s="21"/>
      <c r="M31" s="12">
        <f>M30+1</f>
        <v>29</v>
      </c>
      <c r="N31" s="20" t="str">
        <f>'Personal Rankings'!H31</f>
        <v>D'Andre Swift DET</v>
      </c>
      <c r="O31" s="100">
        <f>INDEX('Default Rankings'!$N$3:$N$77,MATCH(P31,'Personal Rankings'!$I$3:$I$77,0))</f>
        <v>20.653001645606594</v>
      </c>
      <c r="P31" s="100">
        <f>'Personal Rankings'!I31</f>
        <v>49</v>
      </c>
      <c r="Q31" s="100">
        <f ca="1">_xll.VoseLognormal(P31,O31)</f>
        <v>45.052221382763364</v>
      </c>
      <c r="R31" s="100" t="str">
        <f>IF(COUNTIF('Live Draft Picks'!$D$3:$D$254,'Player Availability'!P31)&gt;0,"Y"," ")</f>
        <v>Y</v>
      </c>
      <c r="S31" s="100" t="str">
        <f t="shared" ca="1" si="1"/>
        <v>Y</v>
      </c>
      <c r="T31" s="100"/>
      <c r="U31" s="100"/>
      <c r="V31" s="21"/>
      <c r="X31" s="12">
        <f>X30+1</f>
        <v>29</v>
      </c>
      <c r="Y31" s="20" t="str">
        <f>'Personal Rankings'!M31</f>
        <v>T.Y. Hilton IND</v>
      </c>
      <c r="Z31" s="100">
        <f>INDEX('Default Rankings'!$S$3:$S$77,MATCH(AA31,'Personal Rankings'!$N$3:$N$77,0))</f>
        <v>15.699655439986449</v>
      </c>
      <c r="AA31" s="100">
        <f>'Personal Rankings'!N31</f>
        <v>51</v>
      </c>
      <c r="AB31" s="100">
        <f ca="1">_xll.VoseLognormal(AA31,Z31)</f>
        <v>43.42113123929586</v>
      </c>
      <c r="AC31" s="100" t="str">
        <f>IF(COUNTIF('Live Draft Picks'!$D$3:$D$254,'Player Availability'!AA31)&gt;0,"Y"," ")</f>
        <v>Y</v>
      </c>
      <c r="AD31" s="100" t="str">
        <f t="shared" ca="1" si="2"/>
        <v>Y</v>
      </c>
      <c r="AE31" s="100"/>
      <c r="AF31" s="100"/>
      <c r="AG31" s="21"/>
      <c r="AI31" s="12">
        <f>AI30+1</f>
        <v>29</v>
      </c>
      <c r="AJ31" s="20">
        <f>'Personal Rankings'!R31</f>
        <v>0</v>
      </c>
      <c r="AK31" s="100">
        <f>INDEX('Default Rankings'!$X$3:$X$77,MATCH(AL31,'Personal Rankings'!$S$3:$S$77,0))</f>
        <v>31.237675746911371</v>
      </c>
      <c r="AL31" s="100" t="str">
        <f>'Personal Rankings'!S31</f>
        <v/>
      </c>
      <c r="AM31" s="100" t="str">
        <f ca="1">_xll.VoseLognormal(AL31,AK31)</f>
        <v>Error: Mu must be &gt; 0</v>
      </c>
      <c r="AN31" s="100" t="str">
        <f>IF(COUNTIF('Live Draft Picks'!$D$3:$D$254,'Player Availability'!AL31)&gt;0,"Y"," ")</f>
        <v>Y</v>
      </c>
      <c r="AO31" s="100" t="str">
        <f t="shared" ca="1" si="3"/>
        <v>Y</v>
      </c>
      <c r="AP31" s="100"/>
      <c r="AQ31" s="100"/>
      <c r="AR31" s="21"/>
      <c r="AT31" s="52"/>
      <c r="AU31" s="52"/>
      <c r="AV31" s="52"/>
      <c r="AW31" s="52"/>
      <c r="AX31" s="52"/>
      <c r="AY31" s="52"/>
      <c r="AZ31" s="52"/>
      <c r="BA31" s="52"/>
      <c r="BB31" s="52"/>
      <c r="BC31" s="52"/>
    </row>
    <row r="32" spans="2:66" ht="15" thickBot="1" x14ac:dyDescent="0.4">
      <c r="B32" s="13">
        <f t="shared" ref="B32" si="24">B31+1</f>
        <v>30</v>
      </c>
      <c r="C32" s="20">
        <f>'Personal Rankings'!C32</f>
        <v>0</v>
      </c>
      <c r="D32" s="100">
        <f>INDEX('Default Rankings'!$I$3:$I$77,MATCH(E32,'Personal Rankings'!$D$3:$D$77,0))</f>
        <v>44.219344289728603</v>
      </c>
      <c r="E32" s="100" t="str">
        <f>'Personal Rankings'!D32</f>
        <v/>
      </c>
      <c r="F32" s="100" t="str">
        <f ca="1">_xll.VoseLognormal(E32,D32)</f>
        <v>Error: Mu must be &gt; 0</v>
      </c>
      <c r="G32" s="100" t="str">
        <f>IF(COUNTIF('Live Draft Picks'!$D$3:$D$254,'Player Availability'!E32)&gt;0,"Y"," ")</f>
        <v>Y</v>
      </c>
      <c r="H32" s="100" t="str">
        <f t="shared" ca="1" si="0"/>
        <v>Y</v>
      </c>
      <c r="I32" s="100"/>
      <c r="J32" s="100"/>
      <c r="K32" s="21"/>
      <c r="M32" s="12">
        <f t="shared" ref="M32:M77" si="25">M31+1</f>
        <v>30</v>
      </c>
      <c r="N32" s="20" t="str">
        <f>'Personal Rankings'!H32</f>
        <v>Devin Singletary BUF</v>
      </c>
      <c r="O32" s="100">
        <f>INDEX('Default Rankings'!$N$3:$N$77,MATCH(P32,'Personal Rankings'!$I$3:$I$77,0))</f>
        <v>20.897208120937432</v>
      </c>
      <c r="P32" s="100">
        <f>'Personal Rankings'!I32</f>
        <v>58</v>
      </c>
      <c r="Q32" s="100">
        <f ca="1">_xll.VoseLognormal(P32,O32)</f>
        <v>47.465992942695458</v>
      </c>
      <c r="R32" s="100" t="str">
        <f>IF(COUNTIF('Live Draft Picks'!$D$3:$D$254,'Player Availability'!P32)&gt;0,"Y"," ")</f>
        <v>Y</v>
      </c>
      <c r="S32" s="100" t="str">
        <f t="shared" ca="1" si="1"/>
        <v>Y</v>
      </c>
      <c r="T32" s="100"/>
      <c r="U32" s="100"/>
      <c r="V32" s="21"/>
      <c r="X32" s="12">
        <f t="shared" ref="X32:X77" si="26">X31+1</f>
        <v>30</v>
      </c>
      <c r="Y32" s="20" t="str">
        <f>'Personal Rankings'!M32</f>
        <v>Will Fuller V HOU</v>
      </c>
      <c r="Z32" s="100">
        <f>INDEX('Default Rankings'!$S$3:$S$77,MATCH(AA32,'Personal Rankings'!$N$3:$N$77,0))</f>
        <v>15.91034908134481</v>
      </c>
      <c r="AA32" s="100">
        <f>'Personal Rankings'!N32</f>
        <v>66</v>
      </c>
      <c r="AB32" s="100">
        <f ca="1">_xll.VoseLognormal(AA32,Z32)</f>
        <v>75.547241295269444</v>
      </c>
      <c r="AC32" s="100" t="str">
        <f>IF(COUNTIF('Live Draft Picks'!$D$3:$D$254,'Player Availability'!AA32)&gt;0,"Y"," ")</f>
        <v>Y</v>
      </c>
      <c r="AD32" s="100" t="str">
        <f t="shared" ca="1" si="2"/>
        <v>Y</v>
      </c>
      <c r="AE32" s="100"/>
      <c r="AF32" s="100"/>
      <c r="AG32" s="21"/>
      <c r="AI32" s="12">
        <f t="shared" ref="AI32" si="27">AI31+1</f>
        <v>30</v>
      </c>
      <c r="AJ32" s="20">
        <f>'Personal Rankings'!R32</f>
        <v>0</v>
      </c>
      <c r="AK32" s="100">
        <f>INDEX('Default Rankings'!$X$3:$X$77,MATCH(AL32,'Personal Rankings'!$S$3:$S$77,0))</f>
        <v>31.237675746911371</v>
      </c>
      <c r="AL32" s="100" t="str">
        <f>'Personal Rankings'!S32</f>
        <v/>
      </c>
      <c r="AM32" s="100" t="str">
        <f ca="1">_xll.VoseLognormal(AL32,AK32)</f>
        <v>Error: Mu must be &gt; 0</v>
      </c>
      <c r="AN32" s="100" t="str">
        <f>IF(COUNTIF('Live Draft Picks'!$D$3:$D$254,'Player Availability'!AL32)&gt;0,"Y"," ")</f>
        <v>Y</v>
      </c>
      <c r="AO32" s="100" t="str">
        <f t="shared" ca="1" si="3"/>
        <v>Y</v>
      </c>
      <c r="AP32" s="100"/>
      <c r="AQ32" s="100"/>
      <c r="AR32" s="21"/>
      <c r="AT32" s="52"/>
      <c r="AU32" s="52"/>
      <c r="AV32" s="52"/>
      <c r="AW32" s="52"/>
      <c r="AX32" s="52"/>
      <c r="AY32" s="52"/>
      <c r="AZ32" s="52"/>
      <c r="BA32" s="52"/>
      <c r="BB32" s="52"/>
      <c r="BC32" s="52"/>
    </row>
    <row r="33" spans="2:33" x14ac:dyDescent="0.35">
      <c r="M33" s="12">
        <f t="shared" si="25"/>
        <v>31</v>
      </c>
      <c r="N33" s="20" t="str">
        <f>'Personal Rankings'!H33</f>
        <v>Jordan Howard MIA</v>
      </c>
      <c r="O33" s="100">
        <f>INDEX('Default Rankings'!$N$3:$N$77,MATCH(P33,'Personal Rankings'!$I$3:$I$77,0))</f>
        <v>21.139994003739204</v>
      </c>
      <c r="P33" s="100">
        <f>'Personal Rankings'!I33</f>
        <v>87</v>
      </c>
      <c r="Q33" s="100">
        <f ca="1">_xll.VoseLognormal(P33,O33)</f>
        <v>75.326644980817775</v>
      </c>
      <c r="R33" s="100" t="str">
        <f>IF(COUNTIF('Live Draft Picks'!$D$3:$D$254,'Player Availability'!P33)&gt;0,"Y"," ")</f>
        <v xml:space="preserve"> </v>
      </c>
      <c r="S33" s="100" t="str">
        <f t="shared" ca="1" si="1"/>
        <v xml:space="preserve"> </v>
      </c>
      <c r="T33" s="100"/>
      <c r="U33" s="100"/>
      <c r="V33" s="21"/>
      <c r="X33" s="12">
        <f t="shared" si="26"/>
        <v>31</v>
      </c>
      <c r="Y33" s="20" t="str">
        <f>'Personal Rankings'!M33</f>
        <v>Marquise Brown BAL</v>
      </c>
      <c r="Z33" s="100">
        <f>INDEX('Default Rankings'!$S$3:$S$77,MATCH(AA33,'Personal Rankings'!$N$3:$N$77,0))</f>
        <v>16.119792964786914</v>
      </c>
      <c r="AA33" s="100">
        <f>'Personal Rankings'!N33</f>
        <v>67</v>
      </c>
      <c r="AB33" s="100">
        <f ca="1">_xll.VoseLognormal(AA33,Z33)</f>
        <v>60.771949256076539</v>
      </c>
      <c r="AC33" s="100" t="str">
        <f>IF(COUNTIF('Live Draft Picks'!$D$3:$D$254,'Player Availability'!AA33)&gt;0,"Y"," ")</f>
        <v>Y</v>
      </c>
      <c r="AD33" s="100" t="str">
        <f t="shared" ca="1" si="2"/>
        <v>Y</v>
      </c>
      <c r="AE33" s="100"/>
      <c r="AF33" s="100"/>
      <c r="AG33" s="21"/>
    </row>
    <row r="34" spans="2:33" x14ac:dyDescent="0.35">
      <c r="B34" t="s">
        <v>1358</v>
      </c>
      <c r="M34" s="12">
        <f t="shared" si="25"/>
        <v>32</v>
      </c>
      <c r="N34" s="20" t="str">
        <f>'Personal Rankings'!H34</f>
        <v>J.K. Dobbins BAL</v>
      </c>
      <c r="O34" s="100">
        <f>INDEX('Default Rankings'!$N$3:$N$77,MATCH(P34,'Personal Rankings'!$I$3:$I$77,0))</f>
        <v>24.166936560017657</v>
      </c>
      <c r="P34" s="100">
        <f>'Personal Rankings'!I34</f>
        <v>88</v>
      </c>
      <c r="Q34" s="100">
        <f ca="1">_xll.VoseLognormal(P34,O34)</f>
        <v>119.08943794501039</v>
      </c>
      <c r="R34" s="100" t="str">
        <f>IF(COUNTIF('Live Draft Picks'!$D$3:$D$254,'Player Availability'!P34)&gt;0,"Y"," ")</f>
        <v xml:space="preserve"> </v>
      </c>
      <c r="S34" s="100" t="str">
        <f t="shared" ca="1" si="1"/>
        <v xml:space="preserve"> </v>
      </c>
      <c r="T34" s="100"/>
      <c r="U34" s="100"/>
      <c r="V34" s="21"/>
      <c r="X34" s="12">
        <f t="shared" si="26"/>
        <v>32</v>
      </c>
      <c r="Y34" s="20" t="str">
        <f>'Personal Rankings'!M34</f>
        <v>Diontae Johnson PIT</v>
      </c>
      <c r="Z34" s="100">
        <f>INDEX('Default Rankings'!$S$3:$S$77,MATCH(AA34,'Personal Rankings'!$N$3:$N$77,0))</f>
        <v>16.327987090312764</v>
      </c>
      <c r="AA34" s="100">
        <f>'Personal Rankings'!N34</f>
        <v>81</v>
      </c>
      <c r="AB34" s="100">
        <f ca="1">_xll.VoseLognormal(AA34,Z34)</f>
        <v>72.796821236925993</v>
      </c>
      <c r="AC34" s="100" t="str">
        <f>IF(COUNTIF('Live Draft Picks'!$D$3:$D$254,'Player Availability'!AA34)&gt;0,"Y"," ")</f>
        <v>Y</v>
      </c>
      <c r="AD34" s="100" t="str">
        <f t="shared" ca="1" si="2"/>
        <v>Y</v>
      </c>
      <c r="AE34" s="100"/>
      <c r="AF34" s="100"/>
      <c r="AG34" s="21"/>
    </row>
    <row r="35" spans="2:33" x14ac:dyDescent="0.35">
      <c r="C35" t="s">
        <v>1357</v>
      </c>
      <c r="M35" s="12">
        <f t="shared" si="25"/>
        <v>33</v>
      </c>
      <c r="N35" s="20" t="str">
        <f>'Personal Rankings'!H35</f>
        <v>Tarik Cohen CHI</v>
      </c>
      <c r="O35" s="100">
        <f>INDEX('Default Rankings'!$N$3:$N$77,MATCH(P35,'Personal Rankings'!$I$3:$I$77,0))</f>
        <v>24.389834147412568</v>
      </c>
      <c r="P35" s="100">
        <f>'Personal Rankings'!I35</f>
        <v>90</v>
      </c>
      <c r="Q35" s="100">
        <f ca="1">_xll.VoseLognormal(P35,O35)</f>
        <v>39.72964846129711</v>
      </c>
      <c r="R35" s="100" t="str">
        <f>IF(COUNTIF('Live Draft Picks'!$D$3:$D$254,'Player Availability'!P35)&gt;0,"Y"," ")</f>
        <v>Y</v>
      </c>
      <c r="S35" s="100" t="str">
        <f t="shared" ca="1" si="1"/>
        <v>Y</v>
      </c>
      <c r="T35" s="100"/>
      <c r="U35" s="100"/>
      <c r="V35" s="21"/>
      <c r="X35" s="12">
        <f t="shared" si="26"/>
        <v>33</v>
      </c>
      <c r="Y35" s="20" t="str">
        <f>'Personal Rankings'!M35</f>
        <v>Marvin Jones Jr. DET</v>
      </c>
      <c r="Z35" s="100">
        <f>INDEX('Default Rankings'!$S$3:$S$77,MATCH(AA35,'Personal Rankings'!$N$3:$N$77,0))</f>
        <v>16.534931457922358</v>
      </c>
      <c r="AA35" s="100">
        <f>'Personal Rankings'!N35</f>
        <v>77</v>
      </c>
      <c r="AB35" s="100">
        <f ca="1">_xll.VoseLognormal(AA35,Z35)</f>
        <v>119.37571461363139</v>
      </c>
      <c r="AC35" s="100" t="str">
        <f>IF(COUNTIF('Live Draft Picks'!$D$3:$D$254,'Player Availability'!AA35)&gt;0,"Y"," ")</f>
        <v>Y</v>
      </c>
      <c r="AD35" s="100" t="str">
        <f t="shared" ca="1" si="2"/>
        <v>Y</v>
      </c>
      <c r="AE35" s="100"/>
      <c r="AF35" s="100"/>
      <c r="AG35" s="21"/>
    </row>
    <row r="36" spans="2:33" x14ac:dyDescent="0.35">
      <c r="M36" s="12">
        <f t="shared" si="25"/>
        <v>34</v>
      </c>
      <c r="N36" s="20" t="str">
        <f>'Personal Rankings'!H36</f>
        <v>Phillip Lindsay DEN</v>
      </c>
      <c r="O36" s="100">
        <f>INDEX('Default Rankings'!$N$3:$N$77,MATCH(P36,'Personal Rankings'!$I$3:$I$77,0))</f>
        <v>24.611311142278414</v>
      </c>
      <c r="P36" s="100">
        <f>'Personal Rankings'!I36</f>
        <v>86</v>
      </c>
      <c r="Q36" s="100">
        <f ca="1">_xll.VoseLognormal(P36,O36)</f>
        <v>83.630356062450502</v>
      </c>
      <c r="R36" s="100" t="str">
        <f>IF(COUNTIF('Live Draft Picks'!$D$3:$D$254,'Player Availability'!P36)&gt;0,"Y"," ")</f>
        <v>Y</v>
      </c>
      <c r="S36" s="100" t="str">
        <f t="shared" ca="1" si="1"/>
        <v>Y</v>
      </c>
      <c r="T36" s="100"/>
      <c r="U36" s="100"/>
      <c r="V36" s="21"/>
      <c r="X36" s="12">
        <f t="shared" si="26"/>
        <v>34</v>
      </c>
      <c r="Y36" s="20" t="str">
        <f>'Personal Rankings'!M36</f>
        <v>Brandin Cooks HOU</v>
      </c>
      <c r="Z36" s="100">
        <f>INDEX('Default Rankings'!$S$3:$S$77,MATCH(AA36,'Personal Rankings'!$N$3:$N$77,0))</f>
        <v>16.740626067615697</v>
      </c>
      <c r="AA36" s="100">
        <f>'Personal Rankings'!N36</f>
        <v>80</v>
      </c>
      <c r="AB36" s="100">
        <f ca="1">_xll.VoseLognormal(AA36,Z36)</f>
        <v>62.264736268047635</v>
      </c>
      <c r="AC36" s="100" t="str">
        <f>IF(COUNTIF('Live Draft Picks'!$D$3:$D$254,'Player Availability'!AA36)&gt;0,"Y"," ")</f>
        <v xml:space="preserve"> </v>
      </c>
      <c r="AD36" s="100" t="str">
        <f t="shared" ca="1" si="2"/>
        <v xml:space="preserve"> </v>
      </c>
      <c r="AE36" s="100"/>
      <c r="AF36" s="100"/>
      <c r="AG36" s="21"/>
    </row>
    <row r="37" spans="2:33" x14ac:dyDescent="0.35">
      <c r="B37" t="s">
        <v>1359</v>
      </c>
      <c r="M37" s="12">
        <f t="shared" si="25"/>
        <v>35</v>
      </c>
      <c r="N37" s="20" t="str">
        <f>'Personal Rankings'!H37</f>
        <v>James White NE</v>
      </c>
      <c r="O37" s="100">
        <f>INDEX('Default Rankings'!$N$3:$N$77,MATCH(P37,'Personal Rankings'!$I$3:$I$77,0))</f>
        <v>24.831367544615201</v>
      </c>
      <c r="P37" s="100">
        <f>'Personal Rankings'!I37</f>
        <v>93</v>
      </c>
      <c r="Q37" s="100">
        <f ca="1">_xll.VoseLognormal(P37,O37)</f>
        <v>141.07337115056305</v>
      </c>
      <c r="R37" s="100" t="str">
        <f>IF(COUNTIF('Live Draft Picks'!$D$3:$D$254,'Player Availability'!P37)&gt;0,"Y"," ")</f>
        <v>Y</v>
      </c>
      <c r="S37" s="100" t="str">
        <f t="shared" ca="1" si="1"/>
        <v>Y</v>
      </c>
      <c r="T37" s="100"/>
      <c r="U37" s="100"/>
      <c r="V37" s="21"/>
      <c r="X37" s="12">
        <f t="shared" si="26"/>
        <v>35</v>
      </c>
      <c r="Y37" s="20" t="str">
        <f>'Personal Rankings'!M37</f>
        <v>A.J. Green CIN</v>
      </c>
      <c r="Z37" s="100">
        <f>INDEX('Default Rankings'!$S$3:$S$77,MATCH(AA37,'Personal Rankings'!$N$3:$N$77,0))</f>
        <v>18.535638448624258</v>
      </c>
      <c r="AA37" s="100">
        <f>'Personal Rankings'!N37</f>
        <v>63</v>
      </c>
      <c r="AB37" s="100">
        <f ca="1">_xll.VoseLognormal(AA37,Z37)</f>
        <v>135.84861006165249</v>
      </c>
      <c r="AC37" s="100" t="str">
        <f>IF(COUNTIF('Live Draft Picks'!$D$3:$D$254,'Player Availability'!AA37)&gt;0,"Y"," ")</f>
        <v>Y</v>
      </c>
      <c r="AD37" s="100" t="str">
        <f t="shared" ca="1" si="2"/>
        <v>Y</v>
      </c>
      <c r="AE37" s="100"/>
      <c r="AF37" s="100"/>
      <c r="AG37" s="21"/>
    </row>
    <row r="38" spans="2:33" x14ac:dyDescent="0.35">
      <c r="C38" t="s">
        <v>1365</v>
      </c>
      <c r="M38" s="12">
        <f t="shared" si="25"/>
        <v>36</v>
      </c>
      <c r="N38" s="20" t="str">
        <f>'Personal Rankings'!H38</f>
        <v>Zack Moss BUF</v>
      </c>
      <c r="O38" s="100">
        <f>INDEX('Default Rankings'!$N$3:$N$77,MATCH(P38,'Personal Rankings'!$I$3:$I$77,0))</f>
        <v>25.050003354422923</v>
      </c>
      <c r="P38" s="100">
        <f>'Personal Rankings'!I38</f>
        <v>89</v>
      </c>
      <c r="Q38" s="100">
        <f ca="1">_xll.VoseLognormal(P38,O38)</f>
        <v>135.12032775091913</v>
      </c>
      <c r="R38" s="100" t="str">
        <f>IF(COUNTIF('Live Draft Picks'!$D$3:$D$254,'Player Availability'!P38)&gt;0,"Y"," ")</f>
        <v>Y</v>
      </c>
      <c r="S38" s="100" t="str">
        <f t="shared" ca="1" si="1"/>
        <v>Y</v>
      </c>
      <c r="T38" s="100"/>
      <c r="U38" s="100"/>
      <c r="V38" s="21"/>
      <c r="X38" s="12">
        <f t="shared" si="26"/>
        <v>36</v>
      </c>
      <c r="Y38" s="20" t="str">
        <f>'Personal Rankings'!M38</f>
        <v>Jarvis Landry CLE</v>
      </c>
      <c r="Z38" s="100">
        <f>INDEX('Default Rankings'!$S$3:$S$77,MATCH(AA38,'Personal Rankings'!$N$3:$N$77,0))</f>
        <v>18.728835479155045</v>
      </c>
      <c r="AA38" s="100">
        <f>'Personal Rankings'!N38</f>
        <v>54</v>
      </c>
      <c r="AB38" s="100">
        <f ca="1">_xll.VoseLognormal(AA38,Z38)</f>
        <v>49.427654561144166</v>
      </c>
      <c r="AC38" s="100" t="str">
        <f>IF(COUNTIF('Live Draft Picks'!$D$3:$D$254,'Player Availability'!AA38)&gt;0,"Y"," ")</f>
        <v>Y</v>
      </c>
      <c r="AD38" s="100" t="str">
        <f t="shared" ca="1" si="2"/>
        <v>Y</v>
      </c>
      <c r="AE38" s="100"/>
      <c r="AF38" s="100"/>
      <c r="AG38" s="21"/>
    </row>
    <row r="39" spans="2:33" x14ac:dyDescent="0.35">
      <c r="C39" t="s">
        <v>1360</v>
      </c>
      <c r="M39" s="12">
        <f t="shared" si="25"/>
        <v>37</v>
      </c>
      <c r="N39" s="20" t="str">
        <f>'Personal Rankings'!H39</f>
        <v>Latavius Murray NO</v>
      </c>
      <c r="O39" s="100">
        <f>INDEX('Default Rankings'!$N$3:$N$77,MATCH(P39,'Personal Rankings'!$I$3:$I$77,0))</f>
        <v>25.267218571701587</v>
      </c>
      <c r="P39" s="100">
        <f>'Personal Rankings'!I39</f>
        <v>105</v>
      </c>
      <c r="Q39" s="100">
        <f ca="1">_xll.VoseLognormal(P39,O39)</f>
        <v>111.01326627002248</v>
      </c>
      <c r="R39" s="100" t="str">
        <f>IF(COUNTIF('Live Draft Picks'!$D$3:$D$254,'Player Availability'!P39)&gt;0,"Y"," ")</f>
        <v xml:space="preserve"> </v>
      </c>
      <c r="S39" s="100" t="str">
        <f t="shared" ca="1" si="1"/>
        <v xml:space="preserve"> </v>
      </c>
      <c r="T39" s="100"/>
      <c r="U39" s="100"/>
      <c r="V39" s="21"/>
      <c r="X39" s="12">
        <f t="shared" si="26"/>
        <v>37</v>
      </c>
      <c r="Y39" s="20" t="str">
        <f>'Personal Rankings'!M39</f>
        <v>Julian Edelman NE</v>
      </c>
      <c r="Z39" s="100">
        <f>INDEX('Default Rankings'!$S$3:$S$77,MATCH(AA39,'Personal Rankings'!$N$3:$N$77,0))</f>
        <v>18.920782751769579</v>
      </c>
      <c r="AA39" s="100">
        <f>'Personal Rankings'!N39</f>
        <v>78</v>
      </c>
      <c r="AB39" s="100">
        <f ca="1">_xll.VoseLognormal(AA39,Z39)</f>
        <v>102.9955491819384</v>
      </c>
      <c r="AC39" s="100" t="str">
        <f>IF(COUNTIF('Live Draft Picks'!$D$3:$D$254,'Player Availability'!AA39)&gt;0,"Y"," ")</f>
        <v>Y</v>
      </c>
      <c r="AD39" s="100" t="str">
        <f t="shared" ca="1" si="2"/>
        <v>Y</v>
      </c>
      <c r="AE39" s="100"/>
      <c r="AF39" s="100"/>
      <c r="AG39" s="21"/>
    </row>
    <row r="40" spans="2:33" x14ac:dyDescent="0.35">
      <c r="M40" s="12">
        <f t="shared" si="25"/>
        <v>38</v>
      </c>
      <c r="N40" s="20" t="str">
        <f>'Personal Rankings'!H40</f>
        <v>Sony Michel NE</v>
      </c>
      <c r="O40" s="100">
        <f>INDEX('Default Rankings'!$N$3:$N$77,MATCH(P40,'Personal Rankings'!$I$3:$I$77,0))</f>
        <v>25.483013196451186</v>
      </c>
      <c r="P40" s="100">
        <f>'Personal Rankings'!I40</f>
        <v>131</v>
      </c>
      <c r="Q40" s="100">
        <f ca="1">_xll.VoseLognormal(P40,O40)</f>
        <v>95.693718203008771</v>
      </c>
      <c r="R40" s="100" t="str">
        <f>IF(COUNTIF('Live Draft Picks'!$D$3:$D$254,'Player Availability'!P40)&gt;0,"Y"," ")</f>
        <v xml:space="preserve"> </v>
      </c>
      <c r="S40" s="100" t="str">
        <f t="shared" ca="1" si="1"/>
        <v xml:space="preserve"> </v>
      </c>
      <c r="T40" s="100"/>
      <c r="U40" s="100"/>
      <c r="V40" s="21"/>
      <c r="X40" s="12">
        <f t="shared" si="26"/>
        <v>38</v>
      </c>
      <c r="Y40" s="20" t="str">
        <f>'Personal Rankings'!M40</f>
        <v>CeeDee Lamb DAL</v>
      </c>
      <c r="Z40" s="100">
        <f>INDEX('Default Rankings'!$S$3:$S$77,MATCH(AA40,'Personal Rankings'!$N$3:$N$77,0))</f>
        <v>19.111480266467851</v>
      </c>
      <c r="AA40" s="100">
        <f>'Personal Rankings'!N40</f>
        <v>109</v>
      </c>
      <c r="AB40" s="100">
        <f ca="1">_xll.VoseLognormal(AA40,Z40)</f>
        <v>128.41129946645813</v>
      </c>
      <c r="AC40" s="100" t="str">
        <f>IF(COUNTIF('Live Draft Picks'!$D$3:$D$254,'Player Availability'!AA40)&gt;0,"Y"," ")</f>
        <v xml:space="preserve"> </v>
      </c>
      <c r="AD40" s="100" t="str">
        <f t="shared" ca="1" si="2"/>
        <v xml:space="preserve"> </v>
      </c>
      <c r="AE40" s="100"/>
      <c r="AF40" s="100"/>
      <c r="AG40" s="21"/>
    </row>
    <row r="41" spans="2:33" x14ac:dyDescent="0.35">
      <c r="B41" t="s">
        <v>1367</v>
      </c>
      <c r="M41" s="12">
        <f t="shared" si="25"/>
        <v>39</v>
      </c>
      <c r="N41" s="20" t="str">
        <f>'Personal Rankings'!H41</f>
        <v>Matt Breida MIA</v>
      </c>
      <c r="O41" s="100">
        <f>INDEX('Default Rankings'!$N$3:$N$77,MATCH(P41,'Personal Rankings'!$I$3:$I$77,0))</f>
        <v>25.697387228671726</v>
      </c>
      <c r="P41" s="100">
        <f>'Personal Rankings'!I41</f>
        <v>91</v>
      </c>
      <c r="Q41" s="100">
        <f ca="1">_xll.VoseLognormal(P41,O41)</f>
        <v>131.61566448394908</v>
      </c>
      <c r="R41" s="100" t="str">
        <f>IF(COUNTIF('Live Draft Picks'!$D$3:$D$254,'Player Availability'!P41)&gt;0,"Y"," ")</f>
        <v xml:space="preserve"> </v>
      </c>
      <c r="S41" s="100" t="str">
        <f t="shared" ca="1" si="1"/>
        <v xml:space="preserve"> </v>
      </c>
      <c r="T41" s="100"/>
      <c r="U41" s="100"/>
      <c r="V41" s="21"/>
      <c r="X41" s="12">
        <f t="shared" si="26"/>
        <v>39</v>
      </c>
      <c r="Y41" s="20" t="str">
        <f>'Personal Rankings'!M41</f>
        <v>Jamison Crowder NYJ</v>
      </c>
      <c r="Z41" s="100">
        <f>INDEX('Default Rankings'!$S$3:$S$77,MATCH(AA41,'Personal Rankings'!$N$3:$N$77,0))</f>
        <v>19.300928023249874</v>
      </c>
      <c r="AA41" s="100">
        <f>'Personal Rankings'!N41</f>
        <v>95</v>
      </c>
      <c r="AB41" s="100">
        <f ca="1">_xll.VoseLognormal(AA41,Z41)</f>
        <v>71.271554485494079</v>
      </c>
      <c r="AC41" s="100" t="str">
        <f>IF(COUNTIF('Live Draft Picks'!$D$3:$D$254,'Player Availability'!AA41)&gt;0,"Y"," ")</f>
        <v xml:space="preserve"> </v>
      </c>
      <c r="AD41" s="100" t="str">
        <f t="shared" ca="1" si="2"/>
        <v xml:space="preserve"> </v>
      </c>
      <c r="AE41" s="100"/>
      <c r="AF41" s="100"/>
      <c r="AG41" s="21"/>
    </row>
    <row r="42" spans="2:33" x14ac:dyDescent="0.35">
      <c r="C42" t="s">
        <v>1368</v>
      </c>
      <c r="M42" s="12">
        <f t="shared" si="25"/>
        <v>40</v>
      </c>
      <c r="N42" s="20" t="str">
        <f>'Personal Rankings'!H42</f>
        <v>Marlon Mack IND</v>
      </c>
      <c r="O42" s="100">
        <f>INDEX('Default Rankings'!$N$3:$N$77,MATCH(P42,'Personal Rankings'!$I$3:$I$77,0))</f>
        <v>25.910340668363201</v>
      </c>
      <c r="P42" s="100">
        <f>'Personal Rankings'!I42</f>
        <v>129</v>
      </c>
      <c r="Q42" s="100">
        <f ca="1">_xll.VoseLognormal(P42,O42)</f>
        <v>90.334754100179552</v>
      </c>
      <c r="R42" s="100" t="str">
        <f>IF(COUNTIF('Live Draft Picks'!$D$3:$D$254,'Player Availability'!P42)&gt;0,"Y"," ")</f>
        <v>Y</v>
      </c>
      <c r="S42" s="100" t="str">
        <f t="shared" ca="1" si="1"/>
        <v>Y</v>
      </c>
      <c r="T42" s="100"/>
      <c r="U42" s="100"/>
      <c r="V42" s="21"/>
      <c r="X42" s="12">
        <f t="shared" si="26"/>
        <v>40</v>
      </c>
      <c r="Y42" s="20" t="str">
        <f>'Personal Rankings'!M42</f>
        <v>Christian Kirk ARI</v>
      </c>
      <c r="Z42" s="100">
        <f>INDEX('Default Rankings'!$S$3:$S$77,MATCH(AA42,'Personal Rankings'!$N$3:$N$77,0))</f>
        <v>19.861772746098406</v>
      </c>
      <c r="AA42" s="100">
        <f>'Personal Rankings'!N42</f>
        <v>84</v>
      </c>
      <c r="AB42" s="100">
        <f ca="1">_xll.VoseLognormal(AA42,Z42)</f>
        <v>76.47749224677959</v>
      </c>
      <c r="AC42" s="100" t="str">
        <f>IF(COUNTIF('Live Draft Picks'!$D$3:$D$254,'Player Availability'!AA42)&gt;0,"Y"," ")</f>
        <v xml:space="preserve"> </v>
      </c>
      <c r="AD42" s="100" t="str">
        <f t="shared" ca="1" si="2"/>
        <v xml:space="preserve"> </v>
      </c>
      <c r="AE42" s="100"/>
      <c r="AF42" s="100"/>
      <c r="AG42" s="21"/>
    </row>
    <row r="43" spans="2:33" x14ac:dyDescent="0.35">
      <c r="C43" t="s">
        <v>1369</v>
      </c>
      <c r="M43" s="12">
        <f t="shared" si="25"/>
        <v>41</v>
      </c>
      <c r="N43" s="20" t="str">
        <f>'Personal Rankings'!H43</f>
        <v>Ronald Jones II TB</v>
      </c>
      <c r="O43" s="100">
        <f>INDEX('Default Rankings'!$N$3:$N$77,MATCH(P43,'Personal Rankings'!$I$3:$I$77,0))</f>
        <v>27.961742476179577</v>
      </c>
      <c r="P43" s="100">
        <f>'Personal Rankings'!I43</f>
        <v>72</v>
      </c>
      <c r="Q43" s="100">
        <f ca="1">_xll.VoseLognormal(P43,O43)</f>
        <v>76.890347717614191</v>
      </c>
      <c r="R43" s="100" t="str">
        <f>IF(COUNTIF('Live Draft Picks'!$D$3:$D$254,'Player Availability'!P43)&gt;0,"Y"," ")</f>
        <v>Y</v>
      </c>
      <c r="S43" s="100" t="str">
        <f t="shared" ca="1" si="1"/>
        <v>Y</v>
      </c>
      <c r="T43" s="100"/>
      <c r="U43" s="100"/>
      <c r="V43" s="21"/>
      <c r="X43" s="12">
        <f t="shared" si="26"/>
        <v>41</v>
      </c>
      <c r="Y43" s="20" t="str">
        <f>'Personal Rankings'!M43</f>
        <v>Anthony Miller CHI</v>
      </c>
      <c r="Z43" s="100">
        <f>INDEX('Default Rankings'!$S$3:$S$77,MATCH(AA43,'Personal Rankings'!$N$3:$N$77,0))</f>
        <v>21.650020891036913</v>
      </c>
      <c r="AA43" s="100">
        <f>'Personal Rankings'!N43</f>
        <v>127</v>
      </c>
      <c r="AB43" s="100">
        <f ca="1">_xll.VoseLognormal(AA43,Z43)</f>
        <v>152.9157011040148</v>
      </c>
      <c r="AC43" s="100" t="str">
        <f>IF(COUNTIF('Live Draft Picks'!$D$3:$D$254,'Player Availability'!AA43)&gt;0,"Y"," ")</f>
        <v xml:space="preserve"> </v>
      </c>
      <c r="AD43" s="100" t="str">
        <f t="shared" ca="1" si="2"/>
        <v xml:space="preserve"> </v>
      </c>
      <c r="AE43" s="100"/>
      <c r="AF43" s="100"/>
      <c r="AG43" s="21"/>
    </row>
    <row r="44" spans="2:33" x14ac:dyDescent="0.35">
      <c r="M44" s="12">
        <f t="shared" si="25"/>
        <v>42</v>
      </c>
      <c r="N44" s="20" t="str">
        <f>'Personal Rankings'!H44</f>
        <v>Boston Scott PHI</v>
      </c>
      <c r="O44" s="100">
        <f>INDEX('Default Rankings'!$N$3:$N$77,MATCH(P44,'Personal Rankings'!$I$3:$I$77,0))</f>
        <v>28.159069398051376</v>
      </c>
      <c r="P44" s="100">
        <f>'Personal Rankings'!I44</f>
        <v>143</v>
      </c>
      <c r="Q44" s="100">
        <f ca="1">_xll.VoseLognormal(P44,O44)</f>
        <v>145.11616762742688</v>
      </c>
      <c r="R44" s="100" t="str">
        <f>IF(COUNTIF('Live Draft Picks'!$D$3:$D$254,'Player Availability'!P44)&gt;0,"Y"," ")</f>
        <v xml:space="preserve"> </v>
      </c>
      <c r="S44" s="100" t="str">
        <f t="shared" ca="1" si="1"/>
        <v xml:space="preserve"> </v>
      </c>
      <c r="T44" s="100"/>
      <c r="U44" s="100"/>
      <c r="V44" s="21"/>
      <c r="X44" s="12">
        <f t="shared" si="26"/>
        <v>42</v>
      </c>
      <c r="Y44" s="20" t="str">
        <f>'Personal Rankings'!M44</f>
        <v>Henry Ruggs III LV</v>
      </c>
      <c r="Z44" s="100">
        <f>INDEX('Default Rankings'!$S$3:$S$77,MATCH(AA44,'Personal Rankings'!$N$3:$N$77,0))</f>
        <v>21.821972036991362</v>
      </c>
      <c r="AA44" s="100">
        <f>'Personal Rankings'!N44</f>
        <v>101</v>
      </c>
      <c r="AB44" s="100">
        <f ca="1">_xll.VoseLognormal(AA44,Z44)</f>
        <v>104.15421925364785</v>
      </c>
      <c r="AC44" s="100" t="str">
        <f>IF(COUNTIF('Live Draft Picks'!$D$3:$D$254,'Player Availability'!AA44)&gt;0,"Y"," ")</f>
        <v>Y</v>
      </c>
      <c r="AD44" s="100" t="str">
        <f t="shared" ca="1" si="2"/>
        <v>Y</v>
      </c>
      <c r="AE44" s="100"/>
      <c r="AF44" s="100"/>
      <c r="AG44" s="21"/>
    </row>
    <row r="45" spans="2:33" x14ac:dyDescent="0.35">
      <c r="M45" s="12">
        <f t="shared" si="25"/>
        <v>43</v>
      </c>
      <c r="N45" s="20" t="str">
        <f>'Personal Rankings'!H45</f>
        <v>Tevin Coleman SF</v>
      </c>
      <c r="O45" s="100">
        <f>INDEX('Default Rankings'!$N$3:$N$77,MATCH(P45,'Personal Rankings'!$I$3:$I$77,0))</f>
        <v>28.354975727394102</v>
      </c>
      <c r="P45" s="100">
        <f>'Personal Rankings'!I45</f>
        <v>92</v>
      </c>
      <c r="Q45" s="100">
        <f ca="1">_xll.VoseLognormal(P45,O45)</f>
        <v>73.363650412076083</v>
      </c>
      <c r="R45" s="100" t="str">
        <f>IF(COUNTIF('Live Draft Picks'!$D$3:$D$254,'Player Availability'!P45)&gt;0,"Y"," ")</f>
        <v xml:space="preserve"> </v>
      </c>
      <c r="S45" s="100" t="str">
        <f t="shared" ca="1" si="1"/>
        <v xml:space="preserve"> </v>
      </c>
      <c r="T45" s="100"/>
      <c r="U45" s="100"/>
      <c r="V45" s="21"/>
      <c r="X45" s="12">
        <f t="shared" si="26"/>
        <v>43</v>
      </c>
      <c r="Y45" s="20" t="str">
        <f>'Personal Rankings'!M45</f>
        <v>Sterling Shepard NYG</v>
      </c>
      <c r="Z45" s="100">
        <f>INDEX('Default Rankings'!$S$3:$S$77,MATCH(AA45,'Personal Rankings'!$N$3:$N$77,0))</f>
        <v>21.992673425029555</v>
      </c>
      <c r="AA45" s="100">
        <f>'Personal Rankings'!N45</f>
        <v>79</v>
      </c>
      <c r="AB45" s="100">
        <f ca="1">_xll.VoseLognormal(AA45,Z45)</f>
        <v>48.435722880989289</v>
      </c>
      <c r="AC45" s="100" t="str">
        <f>IF(COUNTIF('Live Draft Picks'!$D$3:$D$254,'Player Availability'!AA45)&gt;0,"Y"," ")</f>
        <v>Y</v>
      </c>
      <c r="AD45" s="100" t="str">
        <f t="shared" ca="1" si="2"/>
        <v>Y</v>
      </c>
      <c r="AE45" s="100"/>
      <c r="AF45" s="100"/>
      <c r="AG45" s="21"/>
    </row>
    <row r="46" spans="2:33" x14ac:dyDescent="0.35">
      <c r="M46" s="12">
        <f t="shared" si="25"/>
        <v>44</v>
      </c>
      <c r="N46" s="20" t="str">
        <f>'Personal Rankings'!H46</f>
        <v>Kerryon Johnson DET</v>
      </c>
      <c r="O46" s="100">
        <f>INDEX('Default Rankings'!$N$3:$N$77,MATCH(P46,'Personal Rankings'!$I$3:$I$77,0))</f>
        <v>32.468737764255962</v>
      </c>
      <c r="P46" s="100">
        <f>'Personal Rankings'!I46</f>
        <v>71</v>
      </c>
      <c r="Q46" s="100">
        <f ca="1">_xll.VoseLognormal(P46,O46)</f>
        <v>22.332197333367059</v>
      </c>
      <c r="R46" s="100" t="str">
        <f>IF(COUNTIF('Live Draft Picks'!$D$3:$D$254,'Player Availability'!P46)&gt;0,"Y"," ")</f>
        <v xml:space="preserve"> </v>
      </c>
      <c r="S46" s="100" t="str">
        <f t="shared" ca="1" si="1"/>
        <v>Y</v>
      </c>
      <c r="T46" s="100"/>
      <c r="U46" s="100"/>
      <c r="V46" s="21"/>
      <c r="X46" s="12">
        <f t="shared" si="26"/>
        <v>44</v>
      </c>
      <c r="Y46" s="20" t="str">
        <f>'Personal Rankings'!M46</f>
        <v>John Brown BUF</v>
      </c>
      <c r="Z46" s="100">
        <f>INDEX('Default Rankings'!$S$3:$S$77,MATCH(AA46,'Personal Rankings'!$N$3:$N$77,0))</f>
        <v>22.162125055151488</v>
      </c>
      <c r="AA46" s="100">
        <f>'Personal Rankings'!N46</f>
        <v>99</v>
      </c>
      <c r="AB46" s="100">
        <f ca="1">_xll.VoseLognormal(AA46,Z46)</f>
        <v>78.393290763709331</v>
      </c>
      <c r="AC46" s="100" t="str">
        <f>IF(COUNTIF('Live Draft Picks'!$D$3:$D$254,'Player Availability'!AA46)&gt;0,"Y"," ")</f>
        <v xml:space="preserve"> </v>
      </c>
      <c r="AD46" s="100" t="str">
        <f t="shared" ca="1" si="2"/>
        <v xml:space="preserve"> </v>
      </c>
      <c r="AE46" s="100"/>
      <c r="AF46" s="100"/>
      <c r="AG46" s="21"/>
    </row>
    <row r="47" spans="2:33" x14ac:dyDescent="0.35">
      <c r="M47" s="12">
        <f t="shared" si="25"/>
        <v>45</v>
      </c>
      <c r="N47" s="20" t="str">
        <f>'Personal Rankings'!H47</f>
        <v>Chris Thompson JAC</v>
      </c>
      <c r="O47" s="100">
        <f>INDEX('Default Rankings'!$N$3:$N$77,MATCH(P47,'Personal Rankings'!$I$3:$I$77,0))</f>
        <v>32.630549872901213</v>
      </c>
      <c r="P47" s="100">
        <f>'Personal Rankings'!I47</f>
        <v>140</v>
      </c>
      <c r="Q47" s="100">
        <f ca="1">_xll.VoseLognormal(P47,O47)</f>
        <v>205.24997265499059</v>
      </c>
      <c r="R47" s="100" t="str">
        <f>IF(COUNTIF('Live Draft Picks'!$D$3:$D$254,'Player Availability'!P47)&gt;0,"Y"," ")</f>
        <v xml:space="preserve"> </v>
      </c>
      <c r="S47" s="100" t="str">
        <f t="shared" ca="1" si="1"/>
        <v xml:space="preserve"> </v>
      </c>
      <c r="T47" s="100"/>
      <c r="U47" s="100"/>
      <c r="V47" s="21"/>
      <c r="X47" s="12">
        <f t="shared" si="26"/>
        <v>45</v>
      </c>
      <c r="Y47" s="20" t="str">
        <f>'Personal Rankings'!M47</f>
        <v>Deebo Samuel SF</v>
      </c>
      <c r="Z47" s="100">
        <f>INDEX('Default Rankings'!$S$3:$S$77,MATCH(AA47,'Personal Rankings'!$N$3:$N$77,0))</f>
        <v>22.33032692735717</v>
      </c>
      <c r="AA47" s="100">
        <f>'Personal Rankings'!N47</f>
        <v>68</v>
      </c>
      <c r="AB47" s="100">
        <f ca="1">_xll.VoseLognormal(AA47,Z47)</f>
        <v>63.753102713963813</v>
      </c>
      <c r="AC47" s="100" t="str">
        <f>IF(COUNTIF('Live Draft Picks'!$D$3:$D$254,'Player Availability'!AA47)&gt;0,"Y"," ")</f>
        <v>Y</v>
      </c>
      <c r="AD47" s="100" t="str">
        <f t="shared" ca="1" si="2"/>
        <v>Y</v>
      </c>
      <c r="AE47" s="100"/>
      <c r="AF47" s="100"/>
      <c r="AG47" s="21"/>
    </row>
    <row r="48" spans="2:33" x14ac:dyDescent="0.35">
      <c r="M48" s="12">
        <f t="shared" si="25"/>
        <v>46</v>
      </c>
      <c r="N48" s="20" t="str">
        <f>'Personal Rankings'!H48</f>
        <v>Alexander Mattison MIN</v>
      </c>
      <c r="O48" s="100">
        <f>INDEX('Default Rankings'!$N$3:$N$77,MATCH(P48,'Personal Rankings'!$I$3:$I$77,0))</f>
        <v>32.790941389017405</v>
      </c>
      <c r="P48" s="100">
        <f>'Personal Rankings'!I48</f>
        <v>103</v>
      </c>
      <c r="Q48" s="100">
        <f ca="1">_xll.VoseLognormal(P48,O48)</f>
        <v>69.320123730648206</v>
      </c>
      <c r="R48" s="100" t="str">
        <f>IF(COUNTIF('Live Draft Picks'!$D$3:$D$254,'Player Availability'!P48)&gt;0,"Y"," ")</f>
        <v xml:space="preserve"> </v>
      </c>
      <c r="S48" s="100" t="str">
        <f t="shared" ca="1" si="1"/>
        <v xml:space="preserve"> </v>
      </c>
      <c r="T48" s="100"/>
      <c r="U48" s="100"/>
      <c r="V48" s="21"/>
      <c r="X48" s="12">
        <f t="shared" si="26"/>
        <v>46</v>
      </c>
      <c r="Y48" s="20" t="str">
        <f>'Personal Rankings'!M48</f>
        <v>Darius Slayton NYG</v>
      </c>
      <c r="Z48" s="100">
        <f>INDEX('Default Rankings'!$S$3:$S$77,MATCH(AA48,'Personal Rankings'!$N$3:$N$77,0))</f>
        <v>22.497279041646596</v>
      </c>
      <c r="AA48" s="100">
        <f>'Personal Rankings'!N48</f>
        <v>96</v>
      </c>
      <c r="AB48" s="100">
        <f ca="1">_xll.VoseLognormal(AA48,Z48)</f>
        <v>103.03338894026048</v>
      </c>
      <c r="AC48" s="100" t="str">
        <f>IF(COUNTIF('Live Draft Picks'!$D$3:$D$254,'Player Availability'!AA48)&gt;0,"Y"," ")</f>
        <v>Y</v>
      </c>
      <c r="AD48" s="100" t="str">
        <f t="shared" ca="1" si="2"/>
        <v>Y</v>
      </c>
      <c r="AE48" s="100"/>
      <c r="AF48" s="100"/>
      <c r="AG48" s="21"/>
    </row>
    <row r="49" spans="13:33" x14ac:dyDescent="0.35">
      <c r="M49" s="12">
        <f t="shared" si="25"/>
        <v>47</v>
      </c>
      <c r="N49" s="20" t="str">
        <f>'Personal Rankings'!H49</f>
        <v>Tony Pollard DAL</v>
      </c>
      <c r="O49" s="100">
        <f>INDEX('Default Rankings'!$N$3:$N$77,MATCH(P49,'Personal Rankings'!$I$3:$I$77,0))</f>
        <v>32.949912312604532</v>
      </c>
      <c r="P49" s="100">
        <f>'Personal Rankings'!I49</f>
        <v>132</v>
      </c>
      <c r="Q49" s="100">
        <f ca="1">_xll.VoseLognormal(P49,O49)</f>
        <v>154.54982249836604</v>
      </c>
      <c r="R49" s="100" t="str">
        <f>IF(COUNTIF('Live Draft Picks'!$D$3:$D$254,'Player Availability'!P49)&gt;0,"Y"," ")</f>
        <v xml:space="preserve"> </v>
      </c>
      <c r="S49" s="100" t="str">
        <f t="shared" ca="1" si="1"/>
        <v xml:space="preserve"> </v>
      </c>
      <c r="T49" s="100"/>
      <c r="U49" s="100"/>
      <c r="V49" s="21"/>
      <c r="X49" s="12">
        <f t="shared" si="26"/>
        <v>47</v>
      </c>
      <c r="Y49" s="20" t="str">
        <f>'Personal Rankings'!M49</f>
        <v>Jerry Jeudy DEN</v>
      </c>
      <c r="Z49" s="100">
        <f>INDEX('Default Rankings'!$S$3:$S$77,MATCH(AA49,'Personal Rankings'!$N$3:$N$77,0))</f>
        <v>22.662981398019767</v>
      </c>
      <c r="AA49" s="100">
        <f>'Personal Rankings'!N49</f>
        <v>107</v>
      </c>
      <c r="AB49" s="100">
        <f ca="1">_xll.VoseLognormal(AA49,Z49)</f>
        <v>112.59471587881916</v>
      </c>
      <c r="AC49" s="100" t="str">
        <f>IF(COUNTIF('Live Draft Picks'!$D$3:$D$254,'Player Availability'!AA49)&gt;0,"Y"," ")</f>
        <v>Y</v>
      </c>
      <c r="AD49" s="100" t="str">
        <f t="shared" ca="1" si="2"/>
        <v>Y</v>
      </c>
      <c r="AE49" s="100"/>
      <c r="AF49" s="100"/>
      <c r="AG49" s="21"/>
    </row>
    <row r="50" spans="13:33" x14ac:dyDescent="0.35">
      <c r="M50" s="12">
        <f t="shared" si="25"/>
        <v>48</v>
      </c>
      <c r="N50" s="20" t="str">
        <f>'Personal Rankings'!H50</f>
        <v>Duke Johnson HOU</v>
      </c>
      <c r="O50" s="100">
        <f>INDEX('Default Rankings'!$N$3:$N$77,MATCH(P50,'Personal Rankings'!$I$3:$I$77,0))</f>
        <v>33.1074626436626</v>
      </c>
      <c r="P50" s="100">
        <f>'Personal Rankings'!I50</f>
        <v>128</v>
      </c>
      <c r="Q50" s="100">
        <f ca="1">_xll.VoseLognormal(P50,O50)</f>
        <v>169.9206745779114</v>
      </c>
      <c r="R50" s="100" t="str">
        <f>IF(COUNTIF('Live Draft Picks'!$D$3:$D$254,'Player Availability'!P50)&gt;0,"Y"," ")</f>
        <v xml:space="preserve"> </v>
      </c>
      <c r="S50" s="100" t="str">
        <f t="shared" ca="1" si="1"/>
        <v xml:space="preserve"> </v>
      </c>
      <c r="T50" s="100"/>
      <c r="U50" s="100"/>
      <c r="V50" s="21"/>
      <c r="X50" s="12">
        <f t="shared" si="26"/>
        <v>48</v>
      </c>
      <c r="Y50" s="20" t="str">
        <f>'Personal Rankings'!M50</f>
        <v>Golden Tate NYG</v>
      </c>
      <c r="Z50" s="100">
        <f>INDEX('Default Rankings'!$S$3:$S$77,MATCH(AA50,'Personal Rankings'!$N$3:$N$77,0))</f>
        <v>22.827433996476685</v>
      </c>
      <c r="AA50" s="100">
        <f>'Personal Rankings'!N50</f>
        <v>97</v>
      </c>
      <c r="AB50" s="100">
        <f ca="1">_xll.VoseLognormal(AA50,Z50)</f>
        <v>95.178727302407111</v>
      </c>
      <c r="AC50" s="100" t="str">
        <f>IF(COUNTIF('Live Draft Picks'!$D$3:$D$254,'Player Availability'!AA50)&gt;0,"Y"," ")</f>
        <v xml:space="preserve"> </v>
      </c>
      <c r="AD50" s="100" t="str">
        <f t="shared" ca="1" si="2"/>
        <v xml:space="preserve"> </v>
      </c>
      <c r="AE50" s="100"/>
      <c r="AF50" s="100"/>
      <c r="AG50" s="21"/>
    </row>
    <row r="51" spans="13:33" x14ac:dyDescent="0.35">
      <c r="M51" s="12">
        <f t="shared" si="25"/>
        <v>49</v>
      </c>
      <c r="N51" s="20" t="str">
        <f>'Personal Rankings'!H51</f>
        <v>Devine Ozigbo JAC</v>
      </c>
      <c r="O51" s="100">
        <f>INDEX('Default Rankings'!$N$3:$N$77,MATCH(P51,'Personal Rankings'!$I$3:$I$77,0))</f>
        <v>33.263592382191604</v>
      </c>
      <c r="P51" s="100">
        <f>'Personal Rankings'!I51</f>
        <v>142</v>
      </c>
      <c r="Q51" s="100">
        <f ca="1">_xll.VoseLognormal(P51,O51)</f>
        <v>178.87885048839286</v>
      </c>
      <c r="R51" s="100" t="str">
        <f>IF(COUNTIF('Live Draft Picks'!$D$3:$D$254,'Player Availability'!P51)&gt;0,"Y"," ")</f>
        <v xml:space="preserve"> </v>
      </c>
      <c r="S51" s="100" t="str">
        <f t="shared" ca="1" si="1"/>
        <v xml:space="preserve"> </v>
      </c>
      <c r="T51" s="100"/>
      <c r="U51" s="100"/>
      <c r="V51" s="21"/>
      <c r="X51" s="12">
        <f t="shared" si="26"/>
        <v>49</v>
      </c>
      <c r="Y51" s="20" t="str">
        <f>'Personal Rankings'!M51</f>
        <v>Emmanuel Sanders NO</v>
      </c>
      <c r="Z51" s="100">
        <f>INDEX('Default Rankings'!$S$3:$S$77,MATCH(AA51,'Personal Rankings'!$N$3:$N$77,0))</f>
        <v>22.990636837017341</v>
      </c>
      <c r="AA51" s="100">
        <f>'Personal Rankings'!N51</f>
        <v>100</v>
      </c>
      <c r="AB51" s="100">
        <f ca="1">_xll.VoseLognormal(AA51,Z51)</f>
        <v>90.818119735935113</v>
      </c>
      <c r="AC51" s="100" t="str">
        <f>IF(COUNTIF('Live Draft Picks'!$D$3:$D$254,'Player Availability'!AA51)&gt;0,"Y"," ")</f>
        <v xml:space="preserve"> </v>
      </c>
      <c r="AD51" s="100" t="str">
        <f t="shared" ca="1" si="2"/>
        <v xml:space="preserve"> </v>
      </c>
      <c r="AE51" s="100"/>
      <c r="AF51" s="100"/>
      <c r="AG51" s="21"/>
    </row>
    <row r="52" spans="13:33" x14ac:dyDescent="0.35">
      <c r="M52" s="12">
        <f t="shared" si="25"/>
        <v>50</v>
      </c>
      <c r="N52" s="20" t="str">
        <f>'Personal Rankings'!H52</f>
        <v>Damien Harris NE</v>
      </c>
      <c r="O52" s="100">
        <f>INDEX('Default Rankings'!$N$3:$N$77,MATCH(P52,'Personal Rankings'!$I$3:$I$77,0))</f>
        <v>34.170538370255329</v>
      </c>
      <c r="P52" s="100">
        <f>'Personal Rankings'!I52</f>
        <v>133</v>
      </c>
      <c r="Q52" s="100">
        <f ca="1">_xll.VoseLognormal(P52,O52)</f>
        <v>178.14094549243984</v>
      </c>
      <c r="R52" s="100" t="str">
        <f>IF(COUNTIF('Live Draft Picks'!$D$3:$D$254,'Player Availability'!P52)&gt;0,"Y"," ")</f>
        <v xml:space="preserve"> </v>
      </c>
      <c r="S52" s="100" t="str">
        <f t="shared" ca="1" si="1"/>
        <v xml:space="preserve"> </v>
      </c>
      <c r="T52" s="100"/>
      <c r="U52" s="100"/>
      <c r="V52" s="21"/>
      <c r="X52" s="12">
        <f t="shared" si="26"/>
        <v>50</v>
      </c>
      <c r="Y52" s="20" t="str">
        <f>'Personal Rankings'!M52</f>
        <v>Preston Williams MIA</v>
      </c>
      <c r="Z52" s="100">
        <f>INDEX('Default Rankings'!$S$3:$S$77,MATCH(AA52,'Personal Rankings'!$N$3:$N$77,0))</f>
        <v>23.630950620017433</v>
      </c>
      <c r="AA52" s="100">
        <f>'Personal Rankings'!N52</f>
        <v>94</v>
      </c>
      <c r="AB52" s="100">
        <f ca="1">_xll.VoseLognormal(AA52,Z52)</f>
        <v>116.57161220945416</v>
      </c>
      <c r="AC52" s="100" t="str">
        <f>IF(COUNTIF('Live Draft Picks'!$D$3:$D$254,'Player Availability'!AA52)&gt;0,"Y"," ")</f>
        <v xml:space="preserve"> </v>
      </c>
      <c r="AD52" s="100" t="str">
        <f t="shared" ca="1" si="2"/>
        <v xml:space="preserve"> </v>
      </c>
      <c r="AE52" s="100"/>
      <c r="AF52" s="100"/>
      <c r="AG52" s="21"/>
    </row>
    <row r="53" spans="13:33" x14ac:dyDescent="0.35">
      <c r="M53" s="12">
        <f t="shared" si="25"/>
        <v>51</v>
      </c>
      <c r="N53" s="20" t="str">
        <f>'Personal Rankings'!H53</f>
        <v>Darrell Henderson Jr. LAR</v>
      </c>
      <c r="O53" s="100">
        <f>INDEX('Default Rankings'!$N$3:$N$77,MATCH(P53,'Personal Rankings'!$I$3:$I$77,0))</f>
        <v>34.316723961080903</v>
      </c>
      <c r="P53" s="100">
        <f>'Personal Rankings'!I53</f>
        <v>104</v>
      </c>
      <c r="Q53" s="100">
        <f ca="1">_xll.VoseLognormal(P53,O53)</f>
        <v>116.18056376626699</v>
      </c>
      <c r="R53" s="100" t="str">
        <f>IF(COUNTIF('Live Draft Picks'!$D$3:$D$254,'Player Availability'!P53)&gt;0,"Y"," ")</f>
        <v xml:space="preserve"> </v>
      </c>
      <c r="S53" s="100" t="str">
        <f t="shared" ca="1" si="1"/>
        <v xml:space="preserve"> </v>
      </c>
      <c r="T53" s="100"/>
      <c r="U53" s="100"/>
      <c r="V53" s="21"/>
      <c r="X53" s="12">
        <f t="shared" si="26"/>
        <v>51</v>
      </c>
      <c r="Y53" s="20" t="str">
        <f>'Personal Rankings'!M53</f>
        <v>Justin Jefferson MIN</v>
      </c>
      <c r="Z53" s="100">
        <f>INDEX('Default Rankings'!$S$3:$S$77,MATCH(AA53,'Personal Rankings'!$N$3:$N$77,0))</f>
        <v>23.787904670976818</v>
      </c>
      <c r="AA53" s="100">
        <f>'Personal Rankings'!N53</f>
        <v>145</v>
      </c>
      <c r="AB53" s="100">
        <f ca="1">_xll.VoseLognormal(AA53,Z53)</f>
        <v>101.93784073910295</v>
      </c>
      <c r="AC53" s="100" t="str">
        <f>IF(COUNTIF('Live Draft Picks'!$D$3:$D$254,'Player Availability'!AA53)&gt;0,"Y"," ")</f>
        <v xml:space="preserve"> </v>
      </c>
      <c r="AD53" s="100" t="str">
        <f t="shared" ca="1" si="2"/>
        <v xml:space="preserve"> </v>
      </c>
      <c r="AE53" s="100"/>
      <c r="AF53" s="100"/>
      <c r="AG53" s="21"/>
    </row>
    <row r="54" spans="13:33" x14ac:dyDescent="0.35">
      <c r="M54" s="12">
        <f t="shared" si="25"/>
        <v>52</v>
      </c>
      <c r="N54" s="20" t="str">
        <f>'Personal Rankings'!H54</f>
        <v>Chase Edmonds ARI</v>
      </c>
      <c r="O54" s="100">
        <f>INDEX('Default Rankings'!$N$3:$N$77,MATCH(P54,'Personal Rankings'!$I$3:$I$77,0))</f>
        <v>34.461488959377419</v>
      </c>
      <c r="P54" s="100">
        <f>'Personal Rankings'!I54</f>
        <v>130</v>
      </c>
      <c r="Q54" s="100">
        <f ca="1">_xll.VoseLognormal(P54,O54)</f>
        <v>91.242244100857391</v>
      </c>
      <c r="R54" s="100" t="str">
        <f>IF(COUNTIF('Live Draft Picks'!$D$3:$D$254,'Player Availability'!P54)&gt;0,"Y"," ")</f>
        <v xml:space="preserve"> </v>
      </c>
      <c r="S54" s="100" t="str">
        <f t="shared" ca="1" si="1"/>
        <v xml:space="preserve"> </v>
      </c>
      <c r="T54" s="100"/>
      <c r="U54" s="100"/>
      <c r="V54" s="21"/>
      <c r="X54" s="12">
        <f t="shared" si="26"/>
        <v>52</v>
      </c>
      <c r="Y54" s="20" t="str">
        <f>'Personal Rankings'!M54</f>
        <v>DeSean Jackson PHI</v>
      </c>
      <c r="Z54" s="100">
        <f>INDEX('Default Rankings'!$S$3:$S$77,MATCH(AA54,'Personal Rankings'!$N$3:$N$77,0))</f>
        <v>23.943608964019944</v>
      </c>
      <c r="AA54" s="100">
        <f>'Personal Rankings'!N54</f>
        <v>102</v>
      </c>
      <c r="AB54" s="100">
        <f ca="1">_xll.VoseLognormal(AA54,Z54)</f>
        <v>103.96175804084196</v>
      </c>
      <c r="AC54" s="100" t="str">
        <f>IF(COUNTIF('Live Draft Picks'!$D$3:$D$254,'Player Availability'!AA54)&gt;0,"Y"," ")</f>
        <v xml:space="preserve"> </v>
      </c>
      <c r="AD54" s="100" t="str">
        <f t="shared" ca="1" si="2"/>
        <v xml:space="preserve"> </v>
      </c>
      <c r="AE54" s="100"/>
      <c r="AF54" s="100"/>
      <c r="AG54" s="21"/>
    </row>
    <row r="55" spans="13:33" x14ac:dyDescent="0.35">
      <c r="M55" s="12">
        <f t="shared" si="25"/>
        <v>53</v>
      </c>
      <c r="N55" s="20" t="str">
        <f>'Personal Rankings'!H55</f>
        <v>Carlos Hyde SEA</v>
      </c>
      <c r="O55" s="100">
        <f>INDEX('Default Rankings'!$N$3:$N$77,MATCH(P55,'Personal Rankings'!$I$3:$I$77,0))</f>
        <v>34.60483336514487</v>
      </c>
      <c r="P55" s="100">
        <f>'Personal Rankings'!I55</f>
        <v>199</v>
      </c>
      <c r="Q55" s="100">
        <f ca="1">_xll.VoseLognormal(P55,O55)</f>
        <v>176.77474985216884</v>
      </c>
      <c r="R55" s="100" t="str">
        <f>IF(COUNTIF('Live Draft Picks'!$D$3:$D$254,'Player Availability'!P55)&gt;0,"Y"," ")</f>
        <v xml:space="preserve"> </v>
      </c>
      <c r="S55" s="100" t="str">
        <f t="shared" ca="1" si="1"/>
        <v xml:space="preserve"> </v>
      </c>
      <c r="T55" s="100"/>
      <c r="U55" s="100"/>
      <c r="V55" s="21"/>
      <c r="X55" s="12">
        <f t="shared" si="26"/>
        <v>53</v>
      </c>
      <c r="Y55" s="20" t="str">
        <f>'Personal Rankings'!M55</f>
        <v>Allen Lazard GB</v>
      </c>
      <c r="Z55" s="100">
        <f>INDEX('Default Rankings'!$S$3:$S$77,MATCH(AA55,'Personal Rankings'!$N$3:$N$77,0))</f>
        <v>24.098063499146818</v>
      </c>
      <c r="AA55" s="100">
        <f>'Personal Rankings'!N55</f>
        <v>153</v>
      </c>
      <c r="AB55" s="100">
        <f ca="1">_xll.VoseLognormal(AA55,Z55)</f>
        <v>154.29783539805345</v>
      </c>
      <c r="AC55" s="100" t="str">
        <f>IF(COUNTIF('Live Draft Picks'!$D$3:$D$254,'Player Availability'!AA55)&gt;0,"Y"," ")</f>
        <v xml:space="preserve"> </v>
      </c>
      <c r="AD55" s="100" t="str">
        <f t="shared" ca="1" si="2"/>
        <v xml:space="preserve"> </v>
      </c>
      <c r="AE55" s="100"/>
      <c r="AF55" s="100"/>
      <c r="AG55" s="21"/>
    </row>
    <row r="56" spans="13:33" x14ac:dyDescent="0.35">
      <c r="M56" s="12">
        <f t="shared" si="25"/>
        <v>54</v>
      </c>
      <c r="N56" s="20" t="str">
        <f>'Personal Rankings'!H56</f>
        <v>Ryquell Armstead JAC</v>
      </c>
      <c r="O56" s="100">
        <f>INDEX('Default Rankings'!$N$3:$N$77,MATCH(P56,'Personal Rankings'!$I$3:$I$77,0))</f>
        <v>34.746757178383248</v>
      </c>
      <c r="P56" s="100">
        <f>'Personal Rankings'!I56</f>
        <v>158</v>
      </c>
      <c r="Q56" s="100">
        <f ca="1">_xll.VoseLognormal(P56,O56)</f>
        <v>99.465382978795319</v>
      </c>
      <c r="R56" s="100" t="str">
        <f>IF(COUNTIF('Live Draft Picks'!$D$3:$D$254,'Player Availability'!P56)&gt;0,"Y"," ")</f>
        <v xml:space="preserve"> </v>
      </c>
      <c r="S56" s="100" t="str">
        <f t="shared" ca="1" si="1"/>
        <v xml:space="preserve"> </v>
      </c>
      <c r="T56" s="100"/>
      <c r="U56" s="100"/>
      <c r="V56" s="21"/>
      <c r="X56" s="12">
        <f t="shared" si="26"/>
        <v>54</v>
      </c>
      <c r="Y56" s="20" t="str">
        <f>'Personal Rankings'!M56</f>
        <v>Jalen Reagor PHI</v>
      </c>
      <c r="Z56" s="100">
        <f>INDEX('Default Rankings'!$S$3:$S$77,MATCH(AA56,'Personal Rankings'!$N$3:$N$77,0))</f>
        <v>26.12920240971625</v>
      </c>
      <c r="AA56" s="100">
        <f>'Personal Rankings'!N56</f>
        <v>150</v>
      </c>
      <c r="AB56" s="100">
        <f ca="1">_xll.VoseLognormal(AA56,Z56)</f>
        <v>121.78818571714747</v>
      </c>
      <c r="AC56" s="100" t="str">
        <f>IF(COUNTIF('Live Draft Picks'!$D$3:$D$254,'Player Availability'!AA56)&gt;0,"Y"," ")</f>
        <v xml:space="preserve"> </v>
      </c>
      <c r="AD56" s="100" t="str">
        <f t="shared" ca="1" si="2"/>
        <v xml:space="preserve"> </v>
      </c>
      <c r="AE56" s="100"/>
      <c r="AF56" s="100"/>
      <c r="AG56" s="21"/>
    </row>
    <row r="57" spans="13:33" x14ac:dyDescent="0.35">
      <c r="M57" s="12">
        <f t="shared" si="25"/>
        <v>55</v>
      </c>
      <c r="N57" s="20" t="str">
        <f>'Personal Rankings'!H57</f>
        <v>Nyheim Hines IND</v>
      </c>
      <c r="O57" s="100">
        <f>INDEX('Default Rankings'!$N$3:$N$77,MATCH(P57,'Personal Rankings'!$I$3:$I$77,0))</f>
        <v>34.887260399092575</v>
      </c>
      <c r="P57" s="100">
        <f>'Personal Rankings'!I57</f>
        <v>144</v>
      </c>
      <c r="Q57" s="100">
        <f ca="1">_xll.VoseLognormal(P57,O57)</f>
        <v>141.60142806551065</v>
      </c>
      <c r="R57" s="100" t="str">
        <f>IF(COUNTIF('Live Draft Picks'!$D$3:$D$254,'Player Availability'!P57)&gt;0,"Y"," ")</f>
        <v xml:space="preserve"> </v>
      </c>
      <c r="S57" s="100" t="str">
        <f t="shared" ca="1" si="1"/>
        <v xml:space="preserve"> </v>
      </c>
      <c r="T57" s="100"/>
      <c r="U57" s="100"/>
      <c r="V57" s="21"/>
      <c r="X57" s="12">
        <f t="shared" si="26"/>
        <v>55</v>
      </c>
      <c r="Y57" s="20" t="str">
        <f>'Personal Rankings'!M57</f>
        <v>Brandon Aiyuk SF</v>
      </c>
      <c r="Z57" s="100">
        <f>INDEX('Default Rankings'!$S$3:$S$77,MATCH(AA57,'Personal Rankings'!$N$3:$N$77,0))</f>
        <v>26.264910576099293</v>
      </c>
      <c r="AA57" s="100">
        <f>'Personal Rankings'!N57</f>
        <v>146</v>
      </c>
      <c r="AB57" s="100">
        <f ca="1">_xll.VoseLognormal(AA57,Z57)</f>
        <v>113.39152926411222</v>
      </c>
      <c r="AC57" s="100" t="str">
        <f>IF(COUNTIF('Live Draft Picks'!$D$3:$D$254,'Player Availability'!AA57)&gt;0,"Y"," ")</f>
        <v xml:space="preserve"> </v>
      </c>
      <c r="AD57" s="100" t="str">
        <f t="shared" ca="1" si="2"/>
        <v xml:space="preserve"> </v>
      </c>
      <c r="AE57" s="100"/>
      <c r="AF57" s="100"/>
      <c r="AG57" s="21"/>
    </row>
    <row r="58" spans="13:33" x14ac:dyDescent="0.35">
      <c r="M58" s="12">
        <f t="shared" si="25"/>
        <v>56</v>
      </c>
      <c r="N58" s="20" t="str">
        <f>'Personal Rankings'!H58</f>
        <v>Giovani Bernard CIN</v>
      </c>
      <c r="O58" s="100">
        <f>INDEX('Default Rankings'!$N$3:$N$77,MATCH(P58,'Personal Rankings'!$I$3:$I$77,0))</f>
        <v>36.462492830337652</v>
      </c>
      <c r="P58" s="100">
        <f>'Personal Rankings'!I58</f>
        <v>207</v>
      </c>
      <c r="Q58" s="100">
        <f ca="1">_xll.VoseLognormal(P58,O58)</f>
        <v>277.59794149955837</v>
      </c>
      <c r="R58" s="100" t="str">
        <f>IF(COUNTIF('Live Draft Picks'!$D$3:$D$254,'Player Availability'!P58)&gt;0,"Y"," ")</f>
        <v xml:space="preserve"> </v>
      </c>
      <c r="S58" s="100" t="str">
        <f t="shared" ca="1" si="1"/>
        <v xml:space="preserve"> </v>
      </c>
      <c r="T58" s="100"/>
      <c r="U58" s="100"/>
      <c r="V58" s="21"/>
      <c r="X58" s="12">
        <f t="shared" si="26"/>
        <v>56</v>
      </c>
      <c r="Y58" s="20" t="str">
        <f>'Personal Rankings'!M58</f>
        <v>Mike Williams LAC</v>
      </c>
      <c r="Z58" s="100">
        <f>INDEX('Default Rankings'!$S$3:$S$77,MATCH(AA58,'Personal Rankings'!$N$3:$N$77,0))</f>
        <v>26.399368984566085</v>
      </c>
      <c r="AA58" s="100">
        <f>'Personal Rankings'!N58</f>
        <v>108</v>
      </c>
      <c r="AB58" s="100">
        <f ca="1">_xll.VoseLognormal(AA58,Z58)</f>
        <v>87.567714064775259</v>
      </c>
      <c r="AC58" s="100" t="str">
        <f>IF(COUNTIF('Live Draft Picks'!$D$3:$D$254,'Player Availability'!AA58)&gt;0,"Y"," ")</f>
        <v xml:space="preserve"> </v>
      </c>
      <c r="AD58" s="100" t="str">
        <f t="shared" ca="1" si="2"/>
        <v xml:space="preserve"> </v>
      </c>
      <c r="AE58" s="100"/>
      <c r="AF58" s="100"/>
      <c r="AG58" s="21"/>
    </row>
    <row r="59" spans="13:33" x14ac:dyDescent="0.35">
      <c r="M59" s="12">
        <f t="shared" si="25"/>
        <v>57</v>
      </c>
      <c r="N59" s="20" t="str">
        <f>'Personal Rankings'!H59</f>
        <v>Bryce Love WAS</v>
      </c>
      <c r="O59" s="100">
        <f>INDEX('Default Rankings'!$N$3:$N$77,MATCH(P59,'Personal Rankings'!$I$3:$I$77,0))</f>
        <v>36.584528348169172</v>
      </c>
      <c r="P59" s="100">
        <f>'Personal Rankings'!I59</f>
        <v>201</v>
      </c>
      <c r="Q59" s="100">
        <f ca="1">_xll.VoseLognormal(P59,O59)</f>
        <v>213.36185644940042</v>
      </c>
      <c r="R59" s="100" t="str">
        <f>IF(COUNTIF('Live Draft Picks'!$D$3:$D$254,'Player Availability'!P59)&gt;0,"Y"," ")</f>
        <v xml:space="preserve"> </v>
      </c>
      <c r="S59" s="100" t="str">
        <f t="shared" ca="1" si="1"/>
        <v xml:space="preserve"> </v>
      </c>
      <c r="T59" s="100"/>
      <c r="U59" s="100"/>
      <c r="V59" s="21"/>
      <c r="X59" s="12">
        <f t="shared" si="26"/>
        <v>57</v>
      </c>
      <c r="Y59" s="20" t="str">
        <f>'Personal Rankings'!M59</f>
        <v>Sammy Watkins KC</v>
      </c>
      <c r="Z59" s="100">
        <f>INDEX('Default Rankings'!$S$3:$S$77,MATCH(AA59,'Personal Rankings'!$N$3:$N$77,0))</f>
        <v>26.532577635116613</v>
      </c>
      <c r="AA59" s="100">
        <f>'Personal Rankings'!N59</f>
        <v>147</v>
      </c>
      <c r="AB59" s="100">
        <f ca="1">_xll.VoseLognormal(AA59,Z59)</f>
        <v>147.32737702137393</v>
      </c>
      <c r="AC59" s="100" t="str">
        <f>IF(COUNTIF('Live Draft Picks'!$D$3:$D$254,'Player Availability'!AA59)&gt;0,"Y"," ")</f>
        <v xml:space="preserve"> </v>
      </c>
      <c r="AD59" s="100" t="str">
        <f t="shared" ca="1" si="2"/>
        <v xml:space="preserve"> </v>
      </c>
      <c r="AE59" s="100"/>
      <c r="AF59" s="100"/>
      <c r="AG59" s="21"/>
    </row>
    <row r="60" spans="13:33" x14ac:dyDescent="0.35">
      <c r="M60" s="12">
        <f t="shared" si="25"/>
        <v>58</v>
      </c>
      <c r="N60" s="20" t="str">
        <f>'Personal Rankings'!H60</f>
        <v>Darrel Williams KC</v>
      </c>
      <c r="O60" s="100">
        <f>INDEX('Default Rankings'!$N$3:$N$77,MATCH(P60,'Personal Rankings'!$I$3:$I$77,0))</f>
        <v>36.705143273471634</v>
      </c>
      <c r="P60" s="100">
        <f>'Personal Rankings'!I60</f>
        <v>200</v>
      </c>
      <c r="Q60" s="100">
        <f ca="1">_xll.VoseLognormal(P60,O60)</f>
        <v>212.06277957170875</v>
      </c>
      <c r="R60" s="100" t="str">
        <f>IF(COUNTIF('Live Draft Picks'!$D$3:$D$254,'Player Availability'!P60)&gt;0,"Y"," ")</f>
        <v xml:space="preserve"> </v>
      </c>
      <c r="S60" s="100" t="str">
        <f t="shared" ca="1" si="1"/>
        <v xml:space="preserve"> </v>
      </c>
      <c r="T60" s="100"/>
      <c r="U60" s="100"/>
      <c r="V60" s="21"/>
      <c r="X60" s="12">
        <f t="shared" si="26"/>
        <v>58</v>
      </c>
      <c r="Y60" s="20" t="str">
        <f>'Personal Rankings'!M60</f>
        <v>Parris Campbell IND</v>
      </c>
      <c r="Z60" s="100">
        <f>INDEX('Default Rankings'!$S$3:$S$77,MATCH(AA60,'Personal Rankings'!$N$3:$N$77,0))</f>
        <v>26.664536527750894</v>
      </c>
      <c r="AA60" s="100">
        <f>'Personal Rankings'!N60</f>
        <v>126</v>
      </c>
      <c r="AB60" s="100">
        <f ca="1">_xll.VoseLognormal(AA60,Z60)</f>
        <v>108.3425098506731</v>
      </c>
      <c r="AC60" s="100" t="str">
        <f>IF(COUNTIF('Live Draft Picks'!$D$3:$D$254,'Player Availability'!AA60)&gt;0,"Y"," ")</f>
        <v xml:space="preserve"> </v>
      </c>
      <c r="AD60" s="100" t="str">
        <f t="shared" ca="1" si="2"/>
        <v xml:space="preserve"> </v>
      </c>
      <c r="AE60" s="100"/>
      <c r="AF60" s="100"/>
      <c r="AG60" s="21"/>
    </row>
    <row r="61" spans="13:33" x14ac:dyDescent="0.35">
      <c r="M61" s="12">
        <f t="shared" si="25"/>
        <v>59</v>
      </c>
      <c r="N61" s="20" t="str">
        <f>'Personal Rankings'!H61</f>
        <v>Darrynton Evans TEN</v>
      </c>
      <c r="O61" s="100">
        <f>INDEX('Default Rankings'!$N$3:$N$77,MATCH(P61,'Personal Rankings'!$I$3:$I$77,0))</f>
        <v>36.824337606245031</v>
      </c>
      <c r="P61" s="100">
        <f>'Personal Rankings'!I61</f>
        <v>156</v>
      </c>
      <c r="Q61" s="100">
        <f ca="1">_xll.VoseLognormal(P61,O61)</f>
        <v>139.97563755312621</v>
      </c>
      <c r="R61" s="100" t="str">
        <f>IF(COUNTIF('Live Draft Picks'!$D$3:$D$254,'Player Availability'!P61)&gt;0,"Y"," ")</f>
        <v xml:space="preserve"> </v>
      </c>
      <c r="S61" s="100" t="str">
        <f t="shared" ca="1" si="1"/>
        <v xml:space="preserve"> </v>
      </c>
      <c r="T61" s="100"/>
      <c r="U61" s="100"/>
      <c r="V61" s="21"/>
      <c r="X61" s="12">
        <f t="shared" si="26"/>
        <v>59</v>
      </c>
      <c r="Y61" s="20" t="str">
        <f>'Personal Rankings'!M61</f>
        <v>Mecole Hardman KC</v>
      </c>
      <c r="Z61" s="100">
        <f>INDEX('Default Rankings'!$S$3:$S$77,MATCH(AA61,'Personal Rankings'!$N$3:$N$77,0))</f>
        <v>28.826087991488269</v>
      </c>
      <c r="AA61" s="100">
        <f>'Personal Rankings'!N61</f>
        <v>123</v>
      </c>
      <c r="AB61" s="100">
        <f ca="1">_xll.VoseLognormal(AA61,Z61)</f>
        <v>90.961943201670124</v>
      </c>
      <c r="AC61" s="100" t="str">
        <f>IF(COUNTIF('Live Draft Picks'!$D$3:$D$254,'Player Availability'!AA61)&gt;0,"Y"," ")</f>
        <v>Y</v>
      </c>
      <c r="AD61" s="100" t="str">
        <f t="shared" ca="1" si="2"/>
        <v>Y</v>
      </c>
      <c r="AE61" s="100"/>
      <c r="AF61" s="100"/>
      <c r="AG61" s="21"/>
    </row>
    <row r="62" spans="13:33" x14ac:dyDescent="0.35">
      <c r="M62" s="12">
        <f t="shared" si="25"/>
        <v>60</v>
      </c>
      <c r="N62" s="20" t="str">
        <f>'Personal Rankings'!H62</f>
        <v>AJ Dillon GB</v>
      </c>
      <c r="O62" s="100">
        <f>INDEX('Default Rankings'!$N$3:$N$77,MATCH(P62,'Personal Rankings'!$I$3:$I$77,0))</f>
        <v>36.942111346489362</v>
      </c>
      <c r="P62" s="100">
        <f>'Personal Rankings'!I62</f>
        <v>161</v>
      </c>
      <c r="Q62" s="100">
        <f ca="1">_xll.VoseLognormal(P62,O62)</f>
        <v>161.18772185739755</v>
      </c>
      <c r="R62" s="100" t="str">
        <f>IF(COUNTIF('Live Draft Picks'!$D$3:$D$254,'Player Availability'!P62)&gt;0,"Y"," ")</f>
        <v xml:space="preserve"> </v>
      </c>
      <c r="S62" s="100" t="str">
        <f t="shared" ca="1" si="1"/>
        <v xml:space="preserve"> </v>
      </c>
      <c r="T62" s="100"/>
      <c r="U62" s="100"/>
      <c r="V62" s="21"/>
      <c r="X62" s="12">
        <f t="shared" si="26"/>
        <v>60</v>
      </c>
      <c r="Y62" s="20" t="str">
        <f>'Personal Rankings'!M62</f>
        <v>N'Keal Harry NE</v>
      </c>
      <c r="Z62" s="100">
        <f>INDEX('Default Rankings'!$S$3:$S$77,MATCH(AA62,'Personal Rankings'!$N$3:$N$77,0))</f>
        <v>28.9343014837137</v>
      </c>
      <c r="AA62" s="100">
        <f>'Personal Rankings'!N62</f>
        <v>124</v>
      </c>
      <c r="AB62" s="100">
        <f ca="1">_xll.VoseLognormal(AA62,Z62)</f>
        <v>115.00283157415456</v>
      </c>
      <c r="AC62" s="100" t="str">
        <f>IF(COUNTIF('Live Draft Picks'!$D$3:$D$254,'Player Availability'!AA62)&gt;0,"Y"," ")</f>
        <v xml:space="preserve"> </v>
      </c>
      <c r="AD62" s="100" t="str">
        <f t="shared" ca="1" si="2"/>
        <v xml:space="preserve"> </v>
      </c>
      <c r="AE62" s="100"/>
      <c r="AF62" s="100"/>
      <c r="AG62" s="21"/>
    </row>
    <row r="63" spans="13:33" x14ac:dyDescent="0.35">
      <c r="M63" s="12">
        <f t="shared" si="25"/>
        <v>61</v>
      </c>
      <c r="N63" s="20" t="str">
        <f>'Personal Rankings'!H63</f>
        <v>Justin Jackson LAC</v>
      </c>
      <c r="O63" s="100">
        <f>INDEX('Default Rankings'!$N$3:$N$77,MATCH(P63,'Personal Rankings'!$I$3:$I$77,0))</f>
        <v>37.058464494204635</v>
      </c>
      <c r="P63" s="100">
        <f>'Personal Rankings'!I63</f>
        <v>139</v>
      </c>
      <c r="Q63" s="100">
        <f ca="1">_xll.VoseLognormal(P63,O63)</f>
        <v>133.77104580346119</v>
      </c>
      <c r="R63" s="100" t="str">
        <f>IF(COUNTIF('Live Draft Picks'!$D$3:$D$254,'Player Availability'!P63)&gt;0,"Y"," ")</f>
        <v xml:space="preserve"> </v>
      </c>
      <c r="S63" s="100" t="str">
        <f t="shared" ca="1" si="1"/>
        <v xml:space="preserve"> </v>
      </c>
      <c r="T63" s="100"/>
      <c r="U63" s="100"/>
      <c r="V63" s="21"/>
      <c r="X63" s="12">
        <f t="shared" si="26"/>
        <v>61</v>
      </c>
      <c r="Y63" s="20" t="str">
        <f>'Personal Rankings'!M63</f>
        <v>Breshad Perriman NYJ</v>
      </c>
      <c r="Z63" s="100">
        <f>INDEX('Default Rankings'!$S$3:$S$77,MATCH(AA63,'Personal Rankings'!$N$3:$N$77,0))</f>
        <v>29.041265218022875</v>
      </c>
      <c r="AA63" s="100">
        <f>'Personal Rankings'!N63</f>
        <v>106</v>
      </c>
      <c r="AB63" s="100">
        <f ca="1">_xll.VoseLognormal(AA63,Z63)</f>
        <v>96.864463752594702</v>
      </c>
      <c r="AC63" s="100" t="str">
        <f>IF(COUNTIF('Live Draft Picks'!$D$3:$D$254,'Player Availability'!AA63)&gt;0,"Y"," ")</f>
        <v xml:space="preserve"> </v>
      </c>
      <c r="AD63" s="100" t="str">
        <f t="shared" ca="1" si="2"/>
        <v xml:space="preserve"> </v>
      </c>
      <c r="AE63" s="100"/>
      <c r="AF63" s="100"/>
      <c r="AG63" s="21"/>
    </row>
    <row r="64" spans="13:33" x14ac:dyDescent="0.35">
      <c r="M64" s="12">
        <f t="shared" si="25"/>
        <v>62</v>
      </c>
      <c r="N64" s="20" t="str">
        <f>'Personal Rankings'!H64</f>
        <v>Joshua Kelley LAC</v>
      </c>
      <c r="O64" s="100">
        <f>INDEX('Default Rankings'!$N$3:$N$77,MATCH(P64,'Personal Rankings'!$I$3:$I$77,0))</f>
        <v>40.427225043350248</v>
      </c>
      <c r="P64" s="100">
        <f>'Personal Rankings'!I64</f>
        <v>159</v>
      </c>
      <c r="Q64" s="100">
        <f ca="1">_xll.VoseLognormal(P64,O64)</f>
        <v>117.43122543677339</v>
      </c>
      <c r="R64" s="100" t="str">
        <f>IF(COUNTIF('Live Draft Picks'!$D$3:$D$254,'Player Availability'!P64)&gt;0,"Y"," ")</f>
        <v xml:space="preserve"> </v>
      </c>
      <c r="S64" s="100" t="str">
        <f t="shared" ca="1" si="1"/>
        <v xml:space="preserve"> </v>
      </c>
      <c r="T64" s="100"/>
      <c r="U64" s="100"/>
      <c r="V64" s="21"/>
      <c r="X64" s="12">
        <f t="shared" si="26"/>
        <v>62</v>
      </c>
      <c r="Y64" s="20" t="str">
        <f>'Personal Rankings'!M64</f>
        <v>Robby Anderson CAR</v>
      </c>
      <c r="Z64" s="100">
        <f>INDEX('Default Rankings'!$S$3:$S$77,MATCH(AA64,'Personal Rankings'!$N$3:$N$77,0))</f>
        <v>29.146979194415788</v>
      </c>
      <c r="AA64" s="100">
        <f>'Personal Rankings'!N64</f>
        <v>98</v>
      </c>
      <c r="AB64" s="100">
        <f ca="1">_xll.VoseLognormal(AA64,Z64)</f>
        <v>101.7254785911049</v>
      </c>
      <c r="AC64" s="100" t="str">
        <f>IF(COUNTIF('Live Draft Picks'!$D$3:$D$254,'Player Availability'!AA64)&gt;0,"Y"," ")</f>
        <v xml:space="preserve"> </v>
      </c>
      <c r="AD64" s="100" t="str">
        <f t="shared" ca="1" si="2"/>
        <v xml:space="preserve"> </v>
      </c>
      <c r="AE64" s="100"/>
      <c r="AF64" s="100"/>
      <c r="AG64" s="21"/>
    </row>
    <row r="65" spans="13:33" x14ac:dyDescent="0.35">
      <c r="M65" s="12">
        <f t="shared" si="25"/>
        <v>63</v>
      </c>
      <c r="N65" s="20">
        <f>'Personal Rankings'!H65</f>
        <v>0</v>
      </c>
      <c r="O65" s="100">
        <f>INDEX('Default Rankings'!$N$3:$N$77,MATCH(P65,'Personal Rankings'!$I$3:$I$77,0))</f>
        <v>40.488175082432114</v>
      </c>
      <c r="P65" s="100" t="str">
        <f>'Personal Rankings'!I65</f>
        <v/>
      </c>
      <c r="Q65" s="100" t="str">
        <f ca="1">_xll.VoseLognormal(P65,O65)</f>
        <v>Error: Mu must be &gt; 0</v>
      </c>
      <c r="R65" s="100" t="str">
        <f>IF(COUNTIF('Live Draft Picks'!$D$3:$D$254,'Player Availability'!P65)&gt;0,"Y"," ")</f>
        <v>Y</v>
      </c>
      <c r="S65" s="100" t="str">
        <f t="shared" ca="1" si="1"/>
        <v>Y</v>
      </c>
      <c r="T65" s="100"/>
      <c r="U65" s="100"/>
      <c r="V65" s="21"/>
      <c r="X65" s="12">
        <f t="shared" si="26"/>
        <v>63</v>
      </c>
      <c r="Y65" s="20" t="str">
        <f>'Personal Rankings'!M65</f>
        <v>Curtis Samuel CAR</v>
      </c>
      <c r="Z65" s="100">
        <f>INDEX('Default Rankings'!$S$3:$S$77,MATCH(AA65,'Personal Rankings'!$N$3:$N$77,0))</f>
        <v>29.251443412892453</v>
      </c>
      <c r="AA65" s="100">
        <f>'Personal Rankings'!N65</f>
        <v>125</v>
      </c>
      <c r="AB65" s="100">
        <f ca="1">_xll.VoseLognormal(AA65,Z65)</f>
        <v>157.95041638324616</v>
      </c>
      <c r="AC65" s="100" t="str">
        <f>IF(COUNTIF('Live Draft Picks'!$D$3:$D$254,'Player Availability'!AA65)&gt;0,"Y"," ")</f>
        <v xml:space="preserve"> </v>
      </c>
      <c r="AD65" s="100" t="str">
        <f t="shared" ca="1" si="2"/>
        <v xml:space="preserve"> </v>
      </c>
      <c r="AE65" s="100"/>
      <c r="AF65" s="100"/>
      <c r="AG65" s="21"/>
    </row>
    <row r="66" spans="13:33" x14ac:dyDescent="0.35">
      <c r="M66" s="12">
        <f t="shared" si="25"/>
        <v>64</v>
      </c>
      <c r="N66" s="20">
        <f>'Personal Rankings'!H66</f>
        <v>0</v>
      </c>
      <c r="O66" s="100">
        <f>INDEX('Default Rankings'!$N$3:$N$77,MATCH(P66,'Personal Rankings'!$I$3:$I$77,0))</f>
        <v>40.488175082432114</v>
      </c>
      <c r="P66" s="100" t="str">
        <f>'Personal Rankings'!I66</f>
        <v/>
      </c>
      <c r="Q66" s="100" t="str">
        <f ca="1">_xll.VoseLognormal(P66,O66)</f>
        <v>Error: Mu must be &gt; 0</v>
      </c>
      <c r="R66" s="100" t="str">
        <f>IF(COUNTIF('Live Draft Picks'!$D$3:$D$254,'Player Availability'!P66)&gt;0,"Y"," ")</f>
        <v>Y</v>
      </c>
      <c r="S66" s="100" t="str">
        <f t="shared" ca="1" si="1"/>
        <v>Y</v>
      </c>
      <c r="T66" s="100"/>
      <c r="U66" s="100"/>
      <c r="V66" s="21"/>
      <c r="X66" s="12">
        <f t="shared" si="26"/>
        <v>64</v>
      </c>
      <c r="Y66" s="20">
        <f>'Personal Rankings'!M66</f>
        <v>0</v>
      </c>
      <c r="Z66" s="100">
        <f>INDEX('Default Rankings'!$S$3:$S$77,MATCH(AA66,'Personal Rankings'!$N$3:$N$77,0))</f>
        <v>29.354657873452862</v>
      </c>
      <c r="AA66" s="100" t="str">
        <f>'Personal Rankings'!N66</f>
        <v/>
      </c>
      <c r="AB66" s="100" t="str">
        <f ca="1">_xll.VoseLognormal(AA66,Z66)</f>
        <v>Error: Mu must be &gt; 0</v>
      </c>
      <c r="AC66" s="100" t="str">
        <f>IF(COUNTIF('Live Draft Picks'!$D$3:$D$254,'Player Availability'!AA66)&gt;0,"Y"," ")</f>
        <v>Y</v>
      </c>
      <c r="AD66" s="100" t="str">
        <f t="shared" ca="1" si="2"/>
        <v>Y</v>
      </c>
      <c r="AE66" s="100"/>
      <c r="AF66" s="100"/>
      <c r="AG66" s="21"/>
    </row>
    <row r="67" spans="13:33" x14ac:dyDescent="0.35">
      <c r="M67" s="12">
        <f t="shared" si="25"/>
        <v>65</v>
      </c>
      <c r="N67" s="20">
        <f>'Personal Rankings'!H67</f>
        <v>0</v>
      </c>
      <c r="O67" s="100">
        <f>INDEX('Default Rankings'!$N$3:$N$77,MATCH(P67,'Personal Rankings'!$I$3:$I$77,0))</f>
        <v>40.488175082432114</v>
      </c>
      <c r="P67" s="100" t="str">
        <f>'Personal Rankings'!I67</f>
        <v/>
      </c>
      <c r="Q67" s="100" t="str">
        <f ca="1">_xll.VoseLognormal(P67,O67)</f>
        <v>Error: Mu must be &gt; 0</v>
      </c>
      <c r="R67" s="100" t="str">
        <f>IF(COUNTIF('Live Draft Picks'!$D$3:$D$254,'Player Availability'!P67)&gt;0,"Y"," ")</f>
        <v>Y</v>
      </c>
      <c r="S67" s="100" t="str">
        <f t="shared" ca="1" si="1"/>
        <v>Y</v>
      </c>
      <c r="T67" s="100"/>
      <c r="U67" s="100"/>
      <c r="V67" s="21"/>
      <c r="X67" s="12">
        <f t="shared" si="26"/>
        <v>65</v>
      </c>
      <c r="Y67" s="20">
        <f>'Personal Rankings'!M67</f>
        <v>0</v>
      </c>
      <c r="Z67" s="100">
        <f>INDEX('Default Rankings'!$S$3:$S$77,MATCH(AA67,'Personal Rankings'!$N$3:$N$77,0))</f>
        <v>29.354657873452862</v>
      </c>
      <c r="AA67" s="100" t="str">
        <f>'Personal Rankings'!N67</f>
        <v/>
      </c>
      <c r="AB67" s="100" t="str">
        <f ca="1">_xll.VoseLognormal(AA67,Z67)</f>
        <v>Error: Mu must be &gt; 0</v>
      </c>
      <c r="AC67" s="100" t="str">
        <f>IF(COUNTIF('Live Draft Picks'!$D$3:$D$254,'Player Availability'!AA67)&gt;0,"Y"," ")</f>
        <v>Y</v>
      </c>
      <c r="AD67" s="100" t="str">
        <f t="shared" ca="1" si="2"/>
        <v>Y</v>
      </c>
      <c r="AE67" s="100"/>
      <c r="AF67" s="100"/>
      <c r="AG67" s="21"/>
    </row>
    <row r="68" spans="13:33" x14ac:dyDescent="0.35">
      <c r="M68" s="12">
        <f t="shared" si="25"/>
        <v>66</v>
      </c>
      <c r="N68" s="20">
        <f>'Personal Rankings'!H68</f>
        <v>0</v>
      </c>
      <c r="O68" s="100">
        <f>INDEX('Default Rankings'!$N$3:$N$77,MATCH(P68,'Personal Rankings'!$I$3:$I$77,0))</f>
        <v>40.488175082432114</v>
      </c>
      <c r="P68" s="100" t="str">
        <f>'Personal Rankings'!I68</f>
        <v/>
      </c>
      <c r="Q68" s="100" t="str">
        <f ca="1">_xll.VoseLognormal(P68,O68)</f>
        <v>Error: Mu must be &gt; 0</v>
      </c>
      <c r="R68" s="100" t="str">
        <f>IF(COUNTIF('Live Draft Picks'!$D$3:$D$254,'Player Availability'!P68)&gt;0,"Y"," ")</f>
        <v>Y</v>
      </c>
      <c r="S68" s="100" t="str">
        <f t="shared" ref="S68:S77" ca="1" si="28">IF(OR(Q68=$BP$3,R68="Y"),"Y"," ")</f>
        <v>Y</v>
      </c>
      <c r="T68" s="100"/>
      <c r="U68" s="100"/>
      <c r="V68" s="21"/>
      <c r="X68" s="12">
        <f t="shared" si="26"/>
        <v>66</v>
      </c>
      <c r="Y68" s="20">
        <f>'Personal Rankings'!M68</f>
        <v>0</v>
      </c>
      <c r="Z68" s="100">
        <f>INDEX('Default Rankings'!$S$3:$S$77,MATCH(AA68,'Personal Rankings'!$N$3:$N$77,0))</f>
        <v>29.354657873452862</v>
      </c>
      <c r="AA68" s="100" t="str">
        <f>'Personal Rankings'!N68</f>
        <v/>
      </c>
      <c r="AB68" s="100" t="str">
        <f ca="1">_xll.VoseLognormal(AA68,Z68)</f>
        <v>Error: Mu must be &gt; 0</v>
      </c>
      <c r="AC68" s="100" t="str">
        <f>IF(COUNTIF('Live Draft Picks'!$D$3:$D$254,'Player Availability'!AA68)&gt;0,"Y"," ")</f>
        <v>Y</v>
      </c>
      <c r="AD68" s="100" t="str">
        <f t="shared" ref="AD68:AD77" ca="1" si="29">IF(OR(AB68=$BP$3,AC68="Y"),"Y"," ")</f>
        <v>Y</v>
      </c>
      <c r="AE68" s="100"/>
      <c r="AF68" s="100"/>
      <c r="AG68" s="21"/>
    </row>
    <row r="69" spans="13:33" x14ac:dyDescent="0.35">
      <c r="M69" s="12">
        <f t="shared" si="25"/>
        <v>67</v>
      </c>
      <c r="N69" s="20">
        <f>'Personal Rankings'!H69</f>
        <v>0</v>
      </c>
      <c r="O69" s="100">
        <f>INDEX('Default Rankings'!$N$3:$N$77,MATCH(P69,'Personal Rankings'!$I$3:$I$77,0))</f>
        <v>40.488175082432114</v>
      </c>
      <c r="P69" s="100" t="str">
        <f>'Personal Rankings'!I69</f>
        <v/>
      </c>
      <c r="Q69" s="100" t="str">
        <f ca="1">_xll.VoseLognormal(P69,O69)</f>
        <v>Error: Mu must be &gt; 0</v>
      </c>
      <c r="R69" s="100" t="str">
        <f>IF(COUNTIF('Live Draft Picks'!$D$3:$D$254,'Player Availability'!P69)&gt;0,"Y"," ")</f>
        <v>Y</v>
      </c>
      <c r="S69" s="100" t="str">
        <f t="shared" ca="1" si="28"/>
        <v>Y</v>
      </c>
      <c r="T69" s="100"/>
      <c r="U69" s="100"/>
      <c r="V69" s="21"/>
      <c r="X69" s="12">
        <f t="shared" si="26"/>
        <v>67</v>
      </c>
      <c r="Y69" s="20">
        <f>'Personal Rankings'!M69</f>
        <v>0</v>
      </c>
      <c r="Z69" s="100">
        <f>INDEX('Default Rankings'!$S$3:$S$77,MATCH(AA69,'Personal Rankings'!$N$3:$N$77,0))</f>
        <v>29.354657873452862</v>
      </c>
      <c r="AA69" s="100" t="str">
        <f>'Personal Rankings'!N69</f>
        <v/>
      </c>
      <c r="AB69" s="100" t="str">
        <f ca="1">_xll.VoseLognormal(AA69,Z69)</f>
        <v>Error: Mu must be &gt; 0</v>
      </c>
      <c r="AC69" s="100" t="str">
        <f>IF(COUNTIF('Live Draft Picks'!$D$3:$D$254,'Player Availability'!AA69)&gt;0,"Y"," ")</f>
        <v>Y</v>
      </c>
      <c r="AD69" s="100" t="str">
        <f t="shared" ca="1" si="29"/>
        <v>Y</v>
      </c>
      <c r="AE69" s="100"/>
      <c r="AF69" s="100"/>
      <c r="AG69" s="21"/>
    </row>
    <row r="70" spans="13:33" x14ac:dyDescent="0.35">
      <c r="M70" s="12">
        <f t="shared" si="25"/>
        <v>68</v>
      </c>
      <c r="N70" s="20">
        <f>'Personal Rankings'!H70</f>
        <v>0</v>
      </c>
      <c r="O70" s="100">
        <f>INDEX('Default Rankings'!$N$3:$N$77,MATCH(P70,'Personal Rankings'!$I$3:$I$77,0))</f>
        <v>40.488175082432114</v>
      </c>
      <c r="P70" s="100" t="str">
        <f>'Personal Rankings'!I70</f>
        <v/>
      </c>
      <c r="Q70" s="100" t="str">
        <f ca="1">_xll.VoseLognormal(P70,O70)</f>
        <v>Error: Mu must be &gt; 0</v>
      </c>
      <c r="R70" s="100" t="str">
        <f>IF(COUNTIF('Live Draft Picks'!$D$3:$D$254,'Player Availability'!P70)&gt;0,"Y"," ")</f>
        <v>Y</v>
      </c>
      <c r="S70" s="100" t="str">
        <f t="shared" ca="1" si="28"/>
        <v>Y</v>
      </c>
      <c r="T70" s="100"/>
      <c r="U70" s="100"/>
      <c r="V70" s="21"/>
      <c r="X70" s="12">
        <f t="shared" si="26"/>
        <v>68</v>
      </c>
      <c r="Y70" s="20">
        <f>'Personal Rankings'!M70</f>
        <v>0</v>
      </c>
      <c r="Z70" s="100">
        <f>INDEX('Default Rankings'!$S$3:$S$77,MATCH(AA70,'Personal Rankings'!$N$3:$N$77,0))</f>
        <v>29.354657873452862</v>
      </c>
      <c r="AA70" s="100" t="str">
        <f>'Personal Rankings'!N70</f>
        <v/>
      </c>
      <c r="AB70" s="100" t="str">
        <f ca="1">_xll.VoseLognormal(AA70,Z70)</f>
        <v>Error: Mu must be &gt; 0</v>
      </c>
      <c r="AC70" s="100" t="str">
        <f>IF(COUNTIF('Live Draft Picks'!$D$3:$D$254,'Player Availability'!AA70)&gt;0,"Y"," ")</f>
        <v>Y</v>
      </c>
      <c r="AD70" s="100" t="str">
        <f t="shared" ca="1" si="29"/>
        <v>Y</v>
      </c>
      <c r="AE70" s="100"/>
      <c r="AF70" s="100"/>
      <c r="AG70" s="21"/>
    </row>
    <row r="71" spans="13:33" x14ac:dyDescent="0.35">
      <c r="M71" s="12">
        <f t="shared" si="25"/>
        <v>69</v>
      </c>
      <c r="N71" s="20">
        <f>'Personal Rankings'!H71</f>
        <v>0</v>
      </c>
      <c r="O71" s="100">
        <f>INDEX('Default Rankings'!$N$3:$N$77,MATCH(P71,'Personal Rankings'!$I$3:$I$77,0))</f>
        <v>40.488175082432114</v>
      </c>
      <c r="P71" s="100" t="str">
        <f>'Personal Rankings'!I71</f>
        <v/>
      </c>
      <c r="Q71" s="100" t="str">
        <f ca="1">_xll.VoseLognormal(P71,O71)</f>
        <v>Error: Mu must be &gt; 0</v>
      </c>
      <c r="R71" s="100" t="str">
        <f>IF(COUNTIF('Live Draft Picks'!$D$3:$D$254,'Player Availability'!P71)&gt;0,"Y"," ")</f>
        <v>Y</v>
      </c>
      <c r="S71" s="100" t="str">
        <f t="shared" ca="1" si="28"/>
        <v>Y</v>
      </c>
      <c r="T71" s="100"/>
      <c r="U71" s="100"/>
      <c r="V71" s="21"/>
      <c r="X71" s="12">
        <f t="shared" si="26"/>
        <v>69</v>
      </c>
      <c r="Y71" s="20">
        <f>'Personal Rankings'!M71</f>
        <v>0</v>
      </c>
      <c r="Z71" s="100">
        <f>INDEX('Default Rankings'!$S$3:$S$77,MATCH(AA71,'Personal Rankings'!$N$3:$N$77,0))</f>
        <v>29.354657873452862</v>
      </c>
      <c r="AA71" s="100" t="str">
        <f>'Personal Rankings'!N71</f>
        <v/>
      </c>
      <c r="AB71" s="100" t="str">
        <f ca="1">_xll.VoseLognormal(AA71,Z71)</f>
        <v>Error: Mu must be &gt; 0</v>
      </c>
      <c r="AC71" s="100" t="str">
        <f>IF(COUNTIF('Live Draft Picks'!$D$3:$D$254,'Player Availability'!AA71)&gt;0,"Y"," ")</f>
        <v>Y</v>
      </c>
      <c r="AD71" s="100" t="str">
        <f t="shared" ca="1" si="29"/>
        <v>Y</v>
      </c>
      <c r="AE71" s="100"/>
      <c r="AF71" s="100"/>
      <c r="AG71" s="21"/>
    </row>
    <row r="72" spans="13:33" x14ac:dyDescent="0.35">
      <c r="M72" s="12">
        <f t="shared" si="25"/>
        <v>70</v>
      </c>
      <c r="N72" s="20">
        <f>'Personal Rankings'!H72</f>
        <v>0</v>
      </c>
      <c r="O72" s="100">
        <f>INDEX('Default Rankings'!$N$3:$N$77,MATCH(P72,'Personal Rankings'!$I$3:$I$77,0))</f>
        <v>40.488175082432114</v>
      </c>
      <c r="P72" s="100" t="str">
        <f>'Personal Rankings'!I72</f>
        <v/>
      </c>
      <c r="Q72" s="100" t="str">
        <f ca="1">_xll.VoseLognormal(P72,O72)</f>
        <v>Error: Mu must be &gt; 0</v>
      </c>
      <c r="R72" s="100" t="str">
        <f>IF(COUNTIF('Live Draft Picks'!$D$3:$D$254,'Player Availability'!P72)&gt;0,"Y"," ")</f>
        <v>Y</v>
      </c>
      <c r="S72" s="100" t="str">
        <f t="shared" ca="1" si="28"/>
        <v>Y</v>
      </c>
      <c r="T72" s="100"/>
      <c r="U72" s="100"/>
      <c r="V72" s="21"/>
      <c r="X72" s="12">
        <f t="shared" si="26"/>
        <v>70</v>
      </c>
      <c r="Y72" s="20">
        <f>'Personal Rankings'!M72</f>
        <v>0</v>
      </c>
      <c r="Z72" s="100">
        <f>INDEX('Default Rankings'!$S$3:$S$77,MATCH(AA72,'Personal Rankings'!$N$3:$N$77,0))</f>
        <v>29.354657873452862</v>
      </c>
      <c r="AA72" s="100" t="str">
        <f>'Personal Rankings'!N72</f>
        <v/>
      </c>
      <c r="AB72" s="100" t="str">
        <f ca="1">_xll.VoseLognormal(AA72,Z72)</f>
        <v>Error: Mu must be &gt; 0</v>
      </c>
      <c r="AC72" s="100" t="str">
        <f>IF(COUNTIF('Live Draft Picks'!$D$3:$D$254,'Player Availability'!AA72)&gt;0,"Y"," ")</f>
        <v>Y</v>
      </c>
      <c r="AD72" s="100" t="str">
        <f t="shared" ca="1" si="29"/>
        <v>Y</v>
      </c>
      <c r="AE72" s="100"/>
      <c r="AF72" s="100"/>
      <c r="AG72" s="21"/>
    </row>
    <row r="73" spans="13:33" x14ac:dyDescent="0.35">
      <c r="M73" s="12">
        <f t="shared" si="25"/>
        <v>71</v>
      </c>
      <c r="N73" s="20">
        <f>'Personal Rankings'!H73</f>
        <v>0</v>
      </c>
      <c r="O73" s="100">
        <f>INDEX('Default Rankings'!$N$3:$N$77,MATCH(P73,'Personal Rankings'!$I$3:$I$77,0))</f>
        <v>40.488175082432114</v>
      </c>
      <c r="P73" s="100" t="str">
        <f>'Personal Rankings'!I73</f>
        <v/>
      </c>
      <c r="Q73" s="100" t="str">
        <f ca="1">_xll.VoseLognormal(P73,O73)</f>
        <v>Error: Mu must be &gt; 0</v>
      </c>
      <c r="R73" s="100" t="str">
        <f>IF(COUNTIF('Live Draft Picks'!$D$3:$D$254,'Player Availability'!P73)&gt;0,"Y"," ")</f>
        <v>Y</v>
      </c>
      <c r="S73" s="100" t="str">
        <f t="shared" ca="1" si="28"/>
        <v>Y</v>
      </c>
      <c r="T73" s="100"/>
      <c r="U73" s="100"/>
      <c r="V73" s="21"/>
      <c r="X73" s="12">
        <f t="shared" si="26"/>
        <v>71</v>
      </c>
      <c r="Y73" s="20">
        <f>'Personal Rankings'!M73</f>
        <v>0</v>
      </c>
      <c r="Z73" s="100">
        <f>INDEX('Default Rankings'!$S$3:$S$77,MATCH(AA73,'Personal Rankings'!$N$3:$N$77,0))</f>
        <v>29.354657873452862</v>
      </c>
      <c r="AA73" s="100" t="str">
        <f>'Personal Rankings'!N73</f>
        <v/>
      </c>
      <c r="AB73" s="100" t="str">
        <f ca="1">_xll.VoseLognormal(AA73,Z73)</f>
        <v>Error: Mu must be &gt; 0</v>
      </c>
      <c r="AC73" s="100" t="str">
        <f>IF(COUNTIF('Live Draft Picks'!$D$3:$D$254,'Player Availability'!AA73)&gt;0,"Y"," ")</f>
        <v>Y</v>
      </c>
      <c r="AD73" s="100" t="str">
        <f t="shared" ca="1" si="29"/>
        <v>Y</v>
      </c>
      <c r="AE73" s="100"/>
      <c r="AF73" s="100"/>
      <c r="AG73" s="21"/>
    </row>
    <row r="74" spans="13:33" x14ac:dyDescent="0.35">
      <c r="M74" s="12">
        <f t="shared" si="25"/>
        <v>72</v>
      </c>
      <c r="N74" s="20">
        <f>'Personal Rankings'!H74</f>
        <v>0</v>
      </c>
      <c r="O74" s="100">
        <f>INDEX('Default Rankings'!$N$3:$N$77,MATCH(P74,'Personal Rankings'!$I$3:$I$77,0))</f>
        <v>40.488175082432114</v>
      </c>
      <c r="P74" s="100" t="str">
        <f>'Personal Rankings'!I74</f>
        <v/>
      </c>
      <c r="Q74" s="100" t="str">
        <f ca="1">_xll.VoseLognormal(P74,O74)</f>
        <v>Error: Mu must be &gt; 0</v>
      </c>
      <c r="R74" s="100" t="str">
        <f>IF(COUNTIF('Live Draft Picks'!$D$3:$D$254,'Player Availability'!P74)&gt;0,"Y"," ")</f>
        <v>Y</v>
      </c>
      <c r="S74" s="100" t="str">
        <f t="shared" ca="1" si="28"/>
        <v>Y</v>
      </c>
      <c r="T74" s="100"/>
      <c r="U74" s="100"/>
      <c r="V74" s="21"/>
      <c r="X74" s="12">
        <f t="shared" si="26"/>
        <v>72</v>
      </c>
      <c r="Y74" s="20">
        <f>'Personal Rankings'!M74</f>
        <v>0</v>
      </c>
      <c r="Z74" s="100">
        <f>INDEX('Default Rankings'!$S$3:$S$77,MATCH(AA74,'Personal Rankings'!$N$3:$N$77,0))</f>
        <v>29.354657873452862</v>
      </c>
      <c r="AA74" s="100" t="str">
        <f>'Personal Rankings'!N74</f>
        <v/>
      </c>
      <c r="AB74" s="100" t="str">
        <f ca="1">_xll.VoseLognormal(AA74,Z74)</f>
        <v>Error: Mu must be &gt; 0</v>
      </c>
      <c r="AC74" s="100" t="str">
        <f>IF(COUNTIF('Live Draft Picks'!$D$3:$D$254,'Player Availability'!AA74)&gt;0,"Y"," ")</f>
        <v>Y</v>
      </c>
      <c r="AD74" s="100" t="str">
        <f t="shared" ca="1" si="29"/>
        <v>Y</v>
      </c>
      <c r="AE74" s="100"/>
      <c r="AF74" s="100"/>
      <c r="AG74" s="21"/>
    </row>
    <row r="75" spans="13:33" x14ac:dyDescent="0.35">
      <c r="M75" s="12">
        <f t="shared" si="25"/>
        <v>73</v>
      </c>
      <c r="N75" s="20">
        <f>'Personal Rankings'!H75</f>
        <v>0</v>
      </c>
      <c r="O75" s="100">
        <f>INDEX('Default Rankings'!$N$3:$N$77,MATCH(P75,'Personal Rankings'!$I$3:$I$77,0))</f>
        <v>40.488175082432114</v>
      </c>
      <c r="P75" s="100" t="str">
        <f>'Personal Rankings'!I75</f>
        <v/>
      </c>
      <c r="Q75" s="100" t="str">
        <f ca="1">_xll.VoseLognormal(P75,O75)</f>
        <v>Error: Mu must be &gt; 0</v>
      </c>
      <c r="R75" s="100" t="str">
        <f>IF(COUNTIF('Live Draft Picks'!$D$3:$D$254,'Player Availability'!P75)&gt;0,"Y"," ")</f>
        <v>Y</v>
      </c>
      <c r="S75" s="100" t="str">
        <f t="shared" ca="1" si="28"/>
        <v>Y</v>
      </c>
      <c r="T75" s="100"/>
      <c r="U75" s="100"/>
      <c r="V75" s="21"/>
      <c r="X75" s="12">
        <f t="shared" si="26"/>
        <v>73</v>
      </c>
      <c r="Y75" s="20">
        <f>'Personal Rankings'!M75</f>
        <v>0</v>
      </c>
      <c r="Z75" s="100">
        <f>INDEX('Default Rankings'!$S$3:$S$77,MATCH(AA75,'Personal Rankings'!$N$3:$N$77,0))</f>
        <v>29.354657873452862</v>
      </c>
      <c r="AA75" s="100" t="str">
        <f>'Personal Rankings'!N75</f>
        <v/>
      </c>
      <c r="AB75" s="100" t="str">
        <f ca="1">_xll.VoseLognormal(AA75,Z75)</f>
        <v>Error: Mu must be &gt; 0</v>
      </c>
      <c r="AC75" s="100" t="str">
        <f>IF(COUNTIF('Live Draft Picks'!$D$3:$D$254,'Player Availability'!AA75)&gt;0,"Y"," ")</f>
        <v>Y</v>
      </c>
      <c r="AD75" s="100" t="str">
        <f t="shared" ca="1" si="29"/>
        <v>Y</v>
      </c>
      <c r="AE75" s="100"/>
      <c r="AF75" s="100"/>
      <c r="AG75" s="21"/>
    </row>
    <row r="76" spans="13:33" x14ac:dyDescent="0.35">
      <c r="M76" s="12">
        <f t="shared" si="25"/>
        <v>74</v>
      </c>
      <c r="N76" s="20">
        <f>'Personal Rankings'!H76</f>
        <v>0</v>
      </c>
      <c r="O76" s="100">
        <f>INDEX('Default Rankings'!$N$3:$N$77,MATCH(P76,'Personal Rankings'!$I$3:$I$77,0))</f>
        <v>40.488175082432114</v>
      </c>
      <c r="P76" s="100" t="str">
        <f>'Personal Rankings'!I76</f>
        <v/>
      </c>
      <c r="Q76" s="100" t="str">
        <f ca="1">_xll.VoseLognormal(P76,O76)</f>
        <v>Error: Mu must be &gt; 0</v>
      </c>
      <c r="R76" s="100" t="str">
        <f>IF(COUNTIF('Live Draft Picks'!$D$3:$D$254,'Player Availability'!P76)&gt;0,"Y"," ")</f>
        <v>Y</v>
      </c>
      <c r="S76" s="100" t="str">
        <f t="shared" ca="1" si="28"/>
        <v>Y</v>
      </c>
      <c r="T76" s="100"/>
      <c r="U76" s="100"/>
      <c r="V76" s="21"/>
      <c r="X76" s="12">
        <f t="shared" si="26"/>
        <v>74</v>
      </c>
      <c r="Y76" s="20">
        <f>'Personal Rankings'!M76</f>
        <v>0</v>
      </c>
      <c r="Z76" s="100">
        <f>INDEX('Default Rankings'!$S$3:$S$77,MATCH(AA76,'Personal Rankings'!$N$3:$N$77,0))</f>
        <v>29.354657873452862</v>
      </c>
      <c r="AA76" s="100" t="str">
        <f>'Personal Rankings'!N76</f>
        <v/>
      </c>
      <c r="AB76" s="100" t="str">
        <f ca="1">_xll.VoseLognormal(AA76,Z76)</f>
        <v>Error: Mu must be &gt; 0</v>
      </c>
      <c r="AC76" s="100" t="str">
        <f>IF(COUNTIF('Live Draft Picks'!$D$3:$D$254,'Player Availability'!AA76)&gt;0,"Y"," ")</f>
        <v>Y</v>
      </c>
      <c r="AD76" s="100" t="str">
        <f t="shared" ca="1" si="29"/>
        <v>Y</v>
      </c>
      <c r="AE76" s="100"/>
      <c r="AF76" s="100"/>
      <c r="AG76" s="21"/>
    </row>
    <row r="77" spans="13:33" x14ac:dyDescent="0.35">
      <c r="M77" s="12">
        <f t="shared" si="25"/>
        <v>75</v>
      </c>
      <c r="N77" s="20">
        <f>'Personal Rankings'!H77</f>
        <v>0</v>
      </c>
      <c r="O77" s="100">
        <f>INDEX('Default Rankings'!$N$3:$N$77,MATCH(P77,'Personal Rankings'!$I$3:$I$77,0))</f>
        <v>40.488175082432114</v>
      </c>
      <c r="P77" s="100" t="str">
        <f>'Personal Rankings'!I77</f>
        <v/>
      </c>
      <c r="Q77" s="100" t="str">
        <f ca="1">_xll.VoseLognormal(P77,O77)</f>
        <v>Error: Mu must be &gt; 0</v>
      </c>
      <c r="R77" s="100" t="str">
        <f>IF(COUNTIF('Live Draft Picks'!$D$3:$D$254,'Player Availability'!P77)&gt;0,"Y"," ")</f>
        <v>Y</v>
      </c>
      <c r="S77" s="100" t="str">
        <f t="shared" ca="1" si="28"/>
        <v>Y</v>
      </c>
      <c r="T77" s="100"/>
      <c r="U77" s="100"/>
      <c r="V77" s="21"/>
      <c r="X77" s="12">
        <f t="shared" si="26"/>
        <v>75</v>
      </c>
      <c r="Y77" s="20">
        <f>'Personal Rankings'!M77</f>
        <v>0</v>
      </c>
      <c r="Z77" s="100">
        <f>INDEX('Default Rankings'!$S$3:$S$77,MATCH(AA77,'Personal Rankings'!$N$3:$N$77,0))</f>
        <v>29.354657873452862</v>
      </c>
      <c r="AA77" s="100" t="str">
        <f>'Personal Rankings'!N77</f>
        <v/>
      </c>
      <c r="AB77" s="100" t="str">
        <f ca="1">_xll.VoseLognormal(AA77,Z77)</f>
        <v>Error: Mu must be &gt; 0</v>
      </c>
      <c r="AC77" s="100" t="str">
        <f>IF(COUNTIF('Live Draft Picks'!$D$3:$D$254,'Player Availability'!AA77)&gt;0,"Y"," ")</f>
        <v>Y</v>
      </c>
      <c r="AD77" s="100" t="str">
        <f t="shared" ca="1" si="29"/>
        <v>Y</v>
      </c>
      <c r="AE77" s="100"/>
      <c r="AF77" s="100"/>
      <c r="AG77" s="21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984851-04BA-4CC1-A8D8-6CFCC2E2D3C7}">
  <sheetPr codeName="Sheet7"/>
  <dimension ref="B1:AQ400"/>
  <sheetViews>
    <sheetView topLeftCell="H1" zoomScale="80" zoomScaleNormal="80" workbookViewId="0">
      <selection activeCell="AD3" sqref="AD3"/>
    </sheetView>
  </sheetViews>
  <sheetFormatPr defaultRowHeight="14.5" x14ac:dyDescent="0.35"/>
  <cols>
    <col min="1" max="1" width="2" style="1" customWidth="1" collapsed="1"/>
    <col min="2" max="2" width="4.36328125" style="1" bestFit="1" customWidth="1" collapsed="1"/>
    <col min="3" max="3" width="22.453125" style="1" bestFit="1" customWidth="1" collapsed="1"/>
    <col min="4" max="4" width="5.453125" style="1" bestFit="1" customWidth="1" collapsed="1"/>
    <col min="5" max="5" width="4" style="1" bestFit="1" customWidth="1" collapsed="1"/>
    <col min="6" max="6" width="2.36328125" style="1" customWidth="1" collapsed="1"/>
    <col min="7" max="7" width="3.26953125" style="1" bestFit="1" customWidth="1" collapsed="1"/>
    <col min="8" max="8" width="20.90625" style="1" bestFit="1" customWidth="1" collapsed="1"/>
    <col min="9" max="9" width="6.08984375" style="1" bestFit="1" customWidth="1"/>
    <col min="10" max="10" width="4.36328125" style="1" bestFit="1" customWidth="1" collapsed="1"/>
    <col min="11" max="11" width="1.81640625" style="1" customWidth="1" collapsed="1"/>
    <col min="12" max="12" width="3" style="1" bestFit="1" customWidth="1" collapsed="1"/>
    <col min="13" max="13" width="22.81640625" style="1" bestFit="1" customWidth="1" collapsed="1"/>
    <col min="14" max="14" width="6.08984375" style="1" bestFit="1" customWidth="1"/>
    <col min="15" max="15" width="4.36328125" style="1" bestFit="1" customWidth="1" collapsed="1"/>
    <col min="16" max="16" width="1.7265625" style="1" customWidth="1" collapsed="1"/>
    <col min="17" max="17" width="3.7265625" style="1" bestFit="1" customWidth="1" collapsed="1"/>
    <col min="18" max="18" width="25.36328125" style="1" bestFit="1" customWidth="1" collapsed="1"/>
    <col min="19" max="19" width="6.08984375" style="1" bestFit="1" customWidth="1"/>
    <col min="20" max="20" width="4.36328125" style="1" bestFit="1" customWidth="1" collapsed="1"/>
    <col min="21" max="21" width="1.54296875" style="1" customWidth="1" collapsed="1"/>
    <col min="22" max="22" width="2.81640625" style="1" bestFit="1" customWidth="1" collapsed="1"/>
    <col min="23" max="23" width="23" style="1" bestFit="1" customWidth="1" collapsed="1"/>
    <col min="24" max="24" width="6.08984375" style="1" bestFit="1" customWidth="1"/>
    <col min="25" max="25" width="4.36328125" style="1" bestFit="1" customWidth="1" collapsed="1"/>
    <col min="26" max="26" width="2.1796875" style="1" customWidth="1" collapsed="1"/>
    <col min="27" max="27" width="4" style="1" bestFit="1" customWidth="1" collapsed="1"/>
    <col min="28" max="28" width="16.36328125" style="1" bestFit="1" customWidth="1" collapsed="1"/>
    <col min="29" max="29" width="6.08984375" style="1" bestFit="1" customWidth="1"/>
    <col min="30" max="30" width="4.36328125" style="1" bestFit="1" customWidth="1" collapsed="1"/>
    <col min="31" max="31" width="2" style="1" customWidth="1" collapsed="1"/>
    <col min="32" max="32" width="4.7265625" style="1" customWidth="1" collapsed="1"/>
    <col min="33" max="33" width="20.453125" style="1" bestFit="1" customWidth="1" collapsed="1"/>
    <col min="34" max="34" width="6.08984375" style="1" bestFit="1" customWidth="1"/>
    <col min="35" max="35" width="4.36328125" style="1" bestFit="1" customWidth="1" collapsed="1"/>
    <col min="36" max="36" width="8.7265625" style="1" collapsed="1"/>
    <col min="37" max="37" width="11.81640625" style="1" bestFit="1" customWidth="1"/>
    <col min="38" max="43" width="8.7265625" style="1"/>
    <col min="44" max="44" width="8.7265625" style="1" collapsed="1"/>
    <col min="45" max="45" width="8.7265625" style="1" customWidth="1" collapsed="1"/>
    <col min="46" max="16384" width="8.7265625" style="1" collapsed="1"/>
  </cols>
  <sheetData>
    <row r="1" spans="2:35" ht="8" customHeight="1" thickBot="1" x14ac:dyDescent="0.4"/>
    <row r="2" spans="2:35" x14ac:dyDescent="0.35">
      <c r="B2" s="14" t="s">
        <v>813</v>
      </c>
      <c r="C2" s="19" t="s">
        <v>31</v>
      </c>
      <c r="D2" s="19" t="s">
        <v>33</v>
      </c>
      <c r="E2" s="15" t="s">
        <v>32</v>
      </c>
      <c r="G2" s="14" t="s">
        <v>3</v>
      </c>
      <c r="H2" s="19" t="s">
        <v>814</v>
      </c>
      <c r="I2" s="99" t="s">
        <v>1351</v>
      </c>
      <c r="J2" s="15" t="s">
        <v>813</v>
      </c>
      <c r="L2" s="14" t="s">
        <v>4</v>
      </c>
      <c r="M2" s="19" t="s">
        <v>814</v>
      </c>
      <c r="N2" s="99" t="s">
        <v>1351</v>
      </c>
      <c r="O2" s="15" t="s">
        <v>813</v>
      </c>
      <c r="Q2" s="14" t="s">
        <v>5</v>
      </c>
      <c r="R2" s="19" t="s">
        <v>814</v>
      </c>
      <c r="S2" s="99" t="s">
        <v>1351</v>
      </c>
      <c r="T2" s="15" t="s">
        <v>813</v>
      </c>
      <c r="V2" s="14" t="s">
        <v>7</v>
      </c>
      <c r="W2" s="19" t="s">
        <v>814</v>
      </c>
      <c r="X2" s="99" t="s">
        <v>1351</v>
      </c>
      <c r="Y2" s="15" t="s">
        <v>813</v>
      </c>
      <c r="AA2" s="14" t="s">
        <v>8</v>
      </c>
      <c r="AB2" s="19" t="s">
        <v>814</v>
      </c>
      <c r="AC2" s="99" t="s">
        <v>1351</v>
      </c>
      <c r="AD2" s="15" t="s">
        <v>813</v>
      </c>
      <c r="AF2" s="14" t="s">
        <v>9</v>
      </c>
      <c r="AG2" s="19" t="s">
        <v>814</v>
      </c>
      <c r="AH2" s="99" t="s">
        <v>1351</v>
      </c>
      <c r="AI2" s="15" t="s">
        <v>813</v>
      </c>
    </row>
    <row r="3" spans="2:35" x14ac:dyDescent="0.35">
      <c r="B3" s="12">
        <v>1</v>
      </c>
      <c r="C3" s="20" t="str">
        <f>'Default Rankings Import 2020'!D2</f>
        <v>Christian McCaffrey</v>
      </c>
      <c r="D3" s="20" t="str">
        <f>'Default Rankings Import 2020'!E2</f>
        <v>CAR</v>
      </c>
      <c r="E3" s="21" t="str">
        <f>IF(LEFT('Default Rankings Import 2020'!F2,1)="D",LEFT('Default Rankings Import 2020'!F2,3),IF(LEFT('Default Rankings Import 2020'!F2,1)="K",LEFT('Default Rankings Import 2020'!F2,1),LEFT('Default Rankings Import 2020'!F2,2)))</f>
        <v>RB</v>
      </c>
      <c r="G3" s="12">
        <v>1</v>
      </c>
      <c r="H3" s="20" t="str">
        <f t="array" ref="H3">INDEX($C$3:$C$400,SMALL(IF($G$2=$E$3:$E$400,ROW($E$3:$E$400)-ROW($E$3)+1),ROW(1:1))) &amp; " " &amp; INDEX($D$3:$D$400,SMALL(IF($G$2=$E$3:$E$400,ROW($E$3:$E$400)-ROW($E$3)+1),ROW(1:1)))</f>
        <v>Lamar Jackson BAL</v>
      </c>
      <c r="I3" s="100">
        <f>'Default Rankings Import 2020'!$R$5*('Default Rankings'!J3)^2+'Default Rankings Import 2020'!$S$5*'Default Rankings'!J3+'Default Rankings Import 2020'!$T$5</f>
        <v>6.0660723360032138</v>
      </c>
      <c r="J3" s="21">
        <f t="array" ref="J3">_xlfn.NUMBERVALUE(INDEX($B$3:$B$400,SMALL(IF($G$2=$E$3:$E$400,ROW($E$3:$E$400)-ROW($E$3)+1),ROW(1:1))))</f>
        <v>34</v>
      </c>
      <c r="L3" s="12">
        <v>1</v>
      </c>
      <c r="M3" s="20" t="str">
        <f t="array" ref="M3">INDEX($C$3:$C$400,SMALL(IF($L$2=$E$3:$E$400,ROW($E$3:$E$400)-ROW($E$3)+1),ROW(1:1))) &amp; " " &amp; INDEX($D$3:$D$400,SMALL(IF($L$2=$E$3:$E$400,ROW($E$3:$E$400)-ROW($E$3)+1),ROW(1:1)))</f>
        <v>Christian McCaffrey CAR</v>
      </c>
      <c r="N3" s="20">
        <f>'Default Rankings Import 2020'!$R$6*('Default Rankings'!O3)^2+'Default Rankings Import 2020'!$S$6*'Default Rankings'!O3+'Default Rankings Import 2020'!$T$6</f>
        <v>0.37202389009458259</v>
      </c>
      <c r="O3" s="49">
        <f t="array" ref="O3">INDEX($B$3:$B$400,SMALL(IF($L$2=$E$3:$E$400,ROW($E$3:$E$400)-ROW($E$3)+1),ROW(1:1)))</f>
        <v>1</v>
      </c>
      <c r="Q3" s="12">
        <v>1</v>
      </c>
      <c r="R3" s="20" t="str">
        <f t="array" ref="R3">INDEX($C$3:$C$400,SMALL(IF($Q$2=$E$3:$E$400,ROW($E$3:$E$400)-ROW($E$3)+1),ROW(1:1))) &amp; " " &amp; INDEX($D$3:$D$400,SMALL(IF($Q$2=$E$3:$E$400,ROW($E$3:$E$400)-ROW($E$3)+1),ROW(1:1)))</f>
        <v>Michael Thomas NO</v>
      </c>
      <c r="S3" s="20">
        <f>'Default Rankings Import 2020'!$R$7*('Default Rankings'!T3)^2+'Default Rankings Import 2020'!$S$7*'Default Rankings'!T3+'Default Rankings Import 2020'!$T$7</f>
        <v>1.6242680469900035</v>
      </c>
      <c r="T3" s="21">
        <f t="array" ref="T3">INDEX($B$3:$B$400,SMALL(IF($Q$2=$E$3:$E$400,ROW($E$3:$E$400)-ROW($E$3)+1),ROW(1:1)))</f>
        <v>6</v>
      </c>
      <c r="V3" s="12">
        <v>1</v>
      </c>
      <c r="W3" s="20" t="str">
        <f t="array" ref="W3">INDEX($C$3:$C$400,SMALL(IF($V$2=$E$3:$E$400,ROW($E$3:$E$400)-ROW($E$3)+1),ROW(1:1))) &amp; " " &amp; INDEX($D$3:$D$400,SMALL(IF($V$2=$E$3:$E$400,ROW($E$3:$E$400)-ROW($E$3)+1),ROW(1:1)))</f>
        <v>Travis Kelce KC</v>
      </c>
      <c r="X3" s="20">
        <f>'Default Rankings Import 2020'!$R$8*('Default Rankings'!Y3)^2+'Default Rankings Import 2020'!$S$8*'Default Rankings'!Y3+'Default Rankings Import 2020'!$T$8</f>
        <v>6.4498511857484395</v>
      </c>
      <c r="Y3" s="21">
        <f t="array" ref="Y3">INDEX($B$3:$B$400,SMALL(IF($V$2=$E$3:$E$400,ROW($E$3:$E$400)-ROW($E$3)+1),ROW(1:1)))</f>
        <v>20</v>
      </c>
      <c r="AA3" s="12">
        <v>1</v>
      </c>
      <c r="AB3" s="20" t="str">
        <f t="array" ref="AB3">INDEX($C$3:$C$400,SMALL(IF($AA$2=$E$3:$E$400,ROW($E$3:$E$400)-ROW($E$3)+1),ROW(1:1))) &amp; " " &amp; INDEX($D$3:$D$400,SMALL(IF($AA$2=$E$3:$E$400,ROW($E$3:$E$400)-ROW($E$3)+1),ROW(1:1)))</f>
        <v xml:space="preserve">Steelers D/ST </v>
      </c>
      <c r="AC3" s="20">
        <f>'Default Rankings Import 2020'!$R$9*('Default Rankings'!AD3)^2+'Default Rankings Import 2020'!$S$9*'Default Rankings'!AD3+'Default Rankings Import 2020'!$T$9</f>
        <v>26.307106115939582</v>
      </c>
      <c r="AD3" s="21">
        <f t="array" ref="AD3">INDEX($B$3:$B$400,SMALL(IF($AA$2=$E$3:$E$400,ROW($E$3:$E$400)-ROW($E$3)+1),ROW(1:1)))</f>
        <v>170</v>
      </c>
      <c r="AF3" s="12">
        <v>1</v>
      </c>
      <c r="AG3" s="20" t="str">
        <f t="array" ref="AG3">INDEX($C$3:$C$400,SMALL(IF($AF$2=$E$3:$E$400,ROW($E$3:$E$400)-ROW($E$3)+1),ROW(1:1))) &amp; " " &amp; INDEX($D$3:$D$400,SMALL(IF($AF$2=$E$3:$E$400,ROW($E$3:$E$400)-ROW($E$3)+1),ROW(1:1)))</f>
        <v>Justin Tucker BAL</v>
      </c>
      <c r="AH3" s="20">
        <f>'Default Rankings Import 2020'!$R$10*('Default Rankings'!AI3)^2+'Default Rankings Import 2020'!$S$10*'Default Rankings'!AI3+'Default Rankings Import 2020'!$T$10</f>
        <v>22.458337703931253</v>
      </c>
      <c r="AI3" s="21">
        <f t="array" ref="AI3">INDEX($B$3:$B$400,SMALL(IF($AF$2=$E$3:$E$400,ROW($E$3:$E$400)-ROW($E$3)+1),ROW(1:1)))</f>
        <v>182</v>
      </c>
    </row>
    <row r="4" spans="2:35" x14ac:dyDescent="0.35">
      <c r="B4" s="12">
        <f>B3+1</f>
        <v>2</v>
      </c>
      <c r="C4" s="20" t="str">
        <f>'Default Rankings Import 2020'!D3</f>
        <v>Saquon Barkley</v>
      </c>
      <c r="D4" s="20" t="str">
        <f>'Default Rankings Import 2020'!E3</f>
        <v>NYG</v>
      </c>
      <c r="E4" s="21" t="str">
        <f>IF(LEFT('Default Rankings Import 2020'!F3,1)="D",LEFT('Default Rankings Import 2020'!F3,3),IF(LEFT('Default Rankings Import 2020'!F3,1)="K",LEFT('Default Rankings Import 2020'!F3,1),LEFT('Default Rankings Import 2020'!F3,2)))</f>
        <v>RB</v>
      </c>
      <c r="G4" s="12">
        <f>G3+1</f>
        <v>2</v>
      </c>
      <c r="H4" s="20" t="str">
        <f t="array" ref="H4">INDEX($C$3:$C$400,SMALL(IF($G$2=$E$3:$E$400,ROW($E$3:$E$400)-ROW($E$3)+1),ROW(2:2))) &amp; " " &amp; INDEX($D$3:$D$400,SMALL(IF($G$2=$E$3:$E$400,ROW($E$3:$E$400)-ROW($E$3)+1),ROW(2:2)))</f>
        <v>Patrick Mahomes KC</v>
      </c>
      <c r="I4" s="100">
        <f>'Default Rankings Import 2020'!$R$5*('Default Rankings'!J4)^2+'Default Rankings Import 2020'!$S$5*'Default Rankings'!J4+'Default Rankings Import 2020'!$T$5</f>
        <v>6.2441051903427178</v>
      </c>
      <c r="J4" s="21">
        <f t="array" ref="J4">_xlfn.NUMBERVALUE(INDEX($B$3:$B$400,SMALL(IF($G$2=$E$3:$E$400,ROW($E$3:$E$400)-ROW($E$3)+1),ROW(2:2))))</f>
        <v>35</v>
      </c>
      <c r="L4" s="12">
        <f>L3+1</f>
        <v>2</v>
      </c>
      <c r="M4" s="20" t="str">
        <f t="array" ref="M4">INDEX($C$3:$C$400,SMALL(IF($L$2=$E$3:$E$400,ROW($E$3:$E$400)-ROW($E$3)+1),ROW(2:2))) &amp; " " &amp; INDEX($D$3:$D$400,SMALL(IF($L$2=$E$3:$E$400,ROW($E$3:$E$400)-ROW($E$3)+1),ROW(2:2)))</f>
        <v>Saquon Barkley NYG</v>
      </c>
      <c r="N4" s="20">
        <f>'Default Rankings Import 2020'!$R$6*('Default Rankings'!O4)^2+'Default Rankings Import 2020'!$S$6*'Default Rankings'!O4+'Default Rankings Import 2020'!$T$6</f>
        <v>0.71425124993068434</v>
      </c>
      <c r="O4" s="49">
        <f t="array" ref="O4">INDEX($B$3:$B$400,SMALL(IF($L$2=$E$3:$E$400,ROW($E$3:$E$400)-ROW($E$3)+1),ROW(2:2)))</f>
        <v>2</v>
      </c>
      <c r="Q4" s="12">
        <f>Q3+1</f>
        <v>2</v>
      </c>
      <c r="R4" s="20" t="str">
        <f t="array" ref="R4">INDEX($C$3:$C$400,SMALL(IF($Q$2=$E$3:$E$400,ROW($E$3:$E$400)-ROW($E$3)+1),ROW(2:2))) &amp; " " &amp; INDEX($D$3:$D$400,SMALL(IF($Q$2=$E$3:$E$400,ROW($E$3:$E$400)-ROW($E$3)+1),ROW(2:2)))</f>
        <v>Davante Adams GB</v>
      </c>
      <c r="S4" s="20">
        <f>'Default Rankings Import 2020'!$R$7*('Default Rankings'!T4)^2+'Default Rankings Import 2020'!$S$7*'Default Rankings'!T4+'Default Rankings Import 2020'!$T$7</f>
        <v>4.3873273666076109</v>
      </c>
      <c r="T4" s="21">
        <f t="array" ref="T4">INDEX($B$3:$B$400,SMALL(IF($Q$2=$E$3:$E$400,ROW($E$3:$E$400)-ROW($E$3)+1),ROW(2:2)))</f>
        <v>16</v>
      </c>
      <c r="V4" s="12">
        <f>V3+1</f>
        <v>2</v>
      </c>
      <c r="W4" s="20" t="str">
        <f t="array" ref="W4">INDEX($C$3:$C$400,SMALL(IF($V$2=$E$3:$E$400,ROW($E$3:$E$400)-ROW($E$3)+1),ROW(2:2))) &amp; " " &amp; INDEX($D$3:$D$400,SMALL(IF($V$2=$E$3:$E$400,ROW($E$3:$E$400)-ROW($E$3)+1),ROW(2:2)))</f>
        <v>George Kittle SF</v>
      </c>
      <c r="X4" s="20">
        <f>'Default Rankings Import 2020'!$R$8*('Default Rankings'!Y4)^2+'Default Rankings Import 2020'!$S$8*'Default Rankings'!Y4+'Default Rankings Import 2020'!$T$8</f>
        <v>7.3608063849254712</v>
      </c>
      <c r="Y4" s="21">
        <f t="array" ref="Y4">INDEX($B$3:$B$400,SMALL(IF($V$2=$E$3:$E$400,ROW($E$3:$E$400)-ROW($E$3)+1),ROW(2:2)))</f>
        <v>23</v>
      </c>
      <c r="AA4" s="12">
        <f>AA3+1</f>
        <v>2</v>
      </c>
      <c r="AB4" s="20" t="str">
        <f t="array" ref="AB4">INDEX($C$3:$C$400,SMALL(IF($AA$2=$E$3:$E$400,ROW($E$3:$E$400)-ROW($E$3)+1),ROW(2:2))) &amp; " " &amp; INDEX($D$3:$D$400,SMALL(IF($AA$2=$E$3:$E$400,ROW($E$3:$E$400)-ROW($E$3)+1),ROW(2:2)))</f>
        <v xml:space="preserve">Bills D/ST </v>
      </c>
      <c r="AC4" s="20">
        <f>'Default Rankings Import 2020'!$R$9*('Default Rankings'!AD4)^2+'Default Rankings Import 2020'!$S$9*'Default Rankings'!AD4+'Default Rankings Import 2020'!$T$9</f>
        <v>26.424166519388152</v>
      </c>
      <c r="AD4" s="21">
        <f t="array" ref="AD4">INDEX($B$3:$B$400,SMALL(IF($AA$2=$E$3:$E$400,ROW($E$3:$E$400)-ROW($E$3)+1),ROW(2:2)))</f>
        <v>171</v>
      </c>
      <c r="AF4" s="12">
        <f>AF3+1</f>
        <v>2</v>
      </c>
      <c r="AG4" s="20" t="str">
        <f t="array" ref="AG4">INDEX($C$3:$C$400,SMALL(IF($AF$2=$E$3:$E$400,ROW($E$3:$E$400)-ROW($E$3)+1),ROW(2:2))) &amp; " " &amp; INDEX($D$3:$D$400,SMALL(IF($AF$2=$E$3:$E$400,ROW($E$3:$E$400)-ROW($E$3)+1),ROW(2:2)))</f>
        <v>Harrison Butker KC</v>
      </c>
      <c r="AH4" s="20">
        <f>'Default Rankings Import 2020'!$R$10*('Default Rankings'!AI4)^2+'Default Rankings Import 2020'!$S$10*'Default Rankings'!AI4+'Default Rankings Import 2020'!$T$10</f>
        <v>22.568401881146414</v>
      </c>
      <c r="AI4" s="21">
        <f t="array" ref="AI4">INDEX($B$3:$B$400,SMALL(IF($AF$2=$E$3:$E$400,ROW($E$3:$E$400)-ROW($E$3)+1),ROW(2:2)))</f>
        <v>183</v>
      </c>
    </row>
    <row r="5" spans="2:35" x14ac:dyDescent="0.35">
      <c r="B5" s="12">
        <f t="shared" ref="B5:B68" si="0">B4+1</f>
        <v>3</v>
      </c>
      <c r="C5" s="20" t="str">
        <f>'Default Rankings Import 2020'!D4</f>
        <v>Ezekiel Elliott</v>
      </c>
      <c r="D5" s="20" t="str">
        <f>'Default Rankings Import 2020'!E4</f>
        <v>DAL</v>
      </c>
      <c r="E5" s="21" t="str">
        <f>IF(LEFT('Default Rankings Import 2020'!F4,1)="D",LEFT('Default Rankings Import 2020'!F4,3),IF(LEFT('Default Rankings Import 2020'!F4,1)="K",LEFT('Default Rankings Import 2020'!F4,1),LEFT('Default Rankings Import 2020'!F4,2)))</f>
        <v>RB</v>
      </c>
      <c r="G5" s="12">
        <f t="shared" ref="G5:G18" si="1">G4+1</f>
        <v>3</v>
      </c>
      <c r="H5" s="20" t="str">
        <f t="array" ref="H5">INDEX($C$3:$C$400,SMALL(IF($G$2=$E$3:$E$400,ROW($E$3:$E$400)-ROW($E$3)+1),ROW(3:3))) &amp; " " &amp; INDEX($D$3:$D$400,SMALL(IF($G$2=$E$3:$E$400,ROW($E$3:$E$400)-ROW($E$3)+1),ROW(3:3)))</f>
        <v>Deshaun Watson HOU</v>
      </c>
      <c r="I5" s="100">
        <f>'Default Rankings Import 2020'!$R$5*('Default Rankings'!J5)^2+'Default Rankings Import 2020'!$S$5*'Default Rankings'!J5+'Default Rankings Import 2020'!$T$5</f>
        <v>13.022947385182576</v>
      </c>
      <c r="J5" s="21">
        <f t="array" ref="J5">_xlfn.NUMBERVALUE(INDEX($B$3:$B$400,SMALL(IF($G$2=$E$3:$E$400,ROW($E$3:$E$400)-ROW($E$3)+1),ROW(3:3))))</f>
        <v>73</v>
      </c>
      <c r="L5" s="12">
        <f t="shared" ref="L5:L68" si="2">L4+1</f>
        <v>3</v>
      </c>
      <c r="M5" s="20" t="str">
        <f t="array" ref="M5">INDEX($C$3:$C$400,SMALL(IF($L$2=$E$3:$E$400,ROW($E$3:$E$400)-ROW($E$3)+1),ROW(3:3))) &amp; " " &amp; INDEX($D$3:$D$400,SMALL(IF($L$2=$E$3:$E$400,ROW($E$3:$E$400)-ROW($E$3)+1),ROW(3:3)))</f>
        <v>Ezekiel Elliott DAL</v>
      </c>
      <c r="N5" s="20">
        <f>'Default Rankings Import 2020'!$R$6*('Default Rankings'!O5)^2+'Default Rankings Import 2020'!$S$6*'Default Rankings'!O5+'Default Rankings Import 2020'!$T$6</f>
        <v>1.0550580172377244</v>
      </c>
      <c r="O5" s="49">
        <f t="array" ref="O5">INDEX($B$3:$B$400,SMALL(IF($L$2=$E$3:$E$400,ROW($E$3:$E$400)-ROW($E$3)+1),ROW(3:3)))</f>
        <v>3</v>
      </c>
      <c r="Q5" s="12">
        <f t="shared" ref="Q5:Q68" si="3">Q4+1</f>
        <v>3</v>
      </c>
      <c r="R5" s="20" t="str">
        <f t="array" ref="R5">INDEX($C$3:$C$400,SMALL(IF($Q$2=$E$3:$E$400,ROW($E$3:$E$400)-ROW($E$3)+1),ROW(3:3))) &amp; " " &amp; INDEX($D$3:$D$400,SMALL(IF($Q$2=$E$3:$E$400,ROW($E$3:$E$400)-ROW($E$3)+1),ROW(3:3)))</f>
        <v>Tyreek Hill KC</v>
      </c>
      <c r="S5" s="20">
        <f>'Default Rankings Import 2020'!$R$7*('Default Rankings'!T5)^2+'Default Rankings Import 2020'!$S$7*'Default Rankings'!T5+'Default Rankings Import 2020'!$T$7</f>
        <v>4.656759630029967</v>
      </c>
      <c r="T5" s="21">
        <f t="array" ref="T5">INDEX($B$3:$B$400,SMALL(IF($Q$2=$E$3:$E$400,ROW($E$3:$E$400)-ROW($E$3)+1),ROW(3:3)))</f>
        <v>17</v>
      </c>
      <c r="V5" s="12">
        <f t="shared" ref="V5:V32" si="4">V4+1</f>
        <v>3</v>
      </c>
      <c r="W5" s="20" t="str">
        <f t="array" ref="W5">INDEX($C$3:$C$400,SMALL(IF($V$2=$E$3:$E$400,ROW($E$3:$E$400)-ROW($E$3)+1),ROW(3:3))) &amp; " " &amp; INDEX($D$3:$D$400,SMALL(IF($V$2=$E$3:$E$400,ROW($E$3:$E$400)-ROW($E$3)+1),ROW(3:3)))</f>
        <v>Mark Andrews BAL</v>
      </c>
      <c r="X5" s="20">
        <f>'Default Rankings Import 2020'!$R$8*('Default Rankings'!Y5)^2+'Default Rankings Import 2020'!$S$8*'Default Rankings'!Y5+'Default Rankings Import 2020'!$T$8</f>
        <v>12.477440619715086</v>
      </c>
      <c r="Y5" s="21">
        <f t="array" ref="Y5">INDEX($B$3:$B$400,SMALL(IF($V$2=$E$3:$E$400,ROW($E$3:$E$400)-ROW($E$3)+1),ROW(3:3)))</f>
        <v>41</v>
      </c>
      <c r="AA5" s="12">
        <f t="shared" ref="AA5:AA22" si="5">AA4+1</f>
        <v>3</v>
      </c>
      <c r="AB5" s="20" t="str">
        <f t="array" ref="AB5">INDEX($C$3:$C$400,SMALL(IF($AA$2=$E$3:$E$400,ROW($E$3:$E$400)-ROW($E$3)+1),ROW(3:3))) &amp; " " &amp; INDEX($D$3:$D$400,SMALL(IF($AA$2=$E$3:$E$400,ROW($E$3:$E$400)-ROW($E$3)+1),ROW(3:3)))</f>
        <v xml:space="preserve">49ers D/ST </v>
      </c>
      <c r="AC5" s="20">
        <f>'Default Rankings Import 2020'!$R$9*('Default Rankings'!AD5)^2+'Default Rankings Import 2020'!$S$9*'Default Rankings'!AD5+'Default Rankings Import 2020'!$T$9</f>
        <v>26.540785900195417</v>
      </c>
      <c r="AD5" s="21">
        <f t="array" ref="AD5">INDEX($B$3:$B$400,SMALL(IF($AA$2=$E$3:$E$400,ROW($E$3:$E$400)-ROW($E$3)+1),ROW(3:3)))</f>
        <v>172</v>
      </c>
      <c r="AF5" s="12">
        <f t="shared" ref="AF5:AF22" si="6">AF4+1</f>
        <v>3</v>
      </c>
      <c r="AG5" s="20" t="str">
        <f t="array" ref="AG5">INDEX($C$3:$C$400,SMALL(IF($AF$2=$E$3:$E$400,ROW($E$3:$E$400)-ROW($E$3)+1),ROW(3:3))) &amp; " " &amp; INDEX($D$3:$D$400,SMALL(IF($AF$2=$E$3:$E$400,ROW($E$3:$E$400)-ROW($E$3)+1),ROW(3:3)))</f>
        <v>Wil Lutz NO</v>
      </c>
      <c r="AH5" s="20">
        <f>'Default Rankings Import 2020'!$R$10*('Default Rankings'!AI5)^2+'Default Rankings Import 2020'!$S$10*'Default Rankings'!AI5+'Default Rankings Import 2020'!$T$10</f>
        <v>22.678320372141293</v>
      </c>
      <c r="AI5" s="21">
        <f t="array" ref="AI5">INDEX($B$3:$B$400,SMALL(IF($AF$2=$E$3:$E$400,ROW($E$3:$E$400)-ROW($E$3)+1),ROW(3:3)))</f>
        <v>184</v>
      </c>
    </row>
    <row r="6" spans="2:35" x14ac:dyDescent="0.35">
      <c r="B6" s="12">
        <f t="shared" si="0"/>
        <v>4</v>
      </c>
      <c r="C6" s="20" t="str">
        <f>'Default Rankings Import 2020'!D5</f>
        <v>Dalvin Cook</v>
      </c>
      <c r="D6" s="20" t="str">
        <f>'Default Rankings Import 2020'!E5</f>
        <v>MIN</v>
      </c>
      <c r="E6" s="21" t="str">
        <f>IF(LEFT('Default Rankings Import 2020'!F5,1)="D",LEFT('Default Rankings Import 2020'!F5,3),IF(LEFT('Default Rankings Import 2020'!F5,1)="K",LEFT('Default Rankings Import 2020'!F5,1),LEFT('Default Rankings Import 2020'!F5,2)))</f>
        <v>RB</v>
      </c>
      <c r="G6" s="12">
        <f t="shared" si="1"/>
        <v>4</v>
      </c>
      <c r="H6" s="20" t="str">
        <f t="array" ref="H6">INDEX($C$3:$C$400,SMALL(IF($G$2=$E$3:$E$400,ROW($E$3:$E$400)-ROW($E$3)+1),ROW(4:4))) &amp; " " &amp; INDEX($D$3:$D$400,SMALL(IF($G$2=$E$3:$E$400,ROW($E$3:$E$400)-ROW($E$3)+1),ROW(4:4)))</f>
        <v>Kyler Murray ARI</v>
      </c>
      <c r="I6" s="100">
        <f>'Default Rankings Import 2020'!$R$5*('Default Rankings'!J6)^2+'Default Rankings Import 2020'!$S$5*'Default Rankings'!J6+'Default Rankings Import 2020'!$T$5</f>
        <v>13.201695698992538</v>
      </c>
      <c r="J6" s="21">
        <f t="array" ref="J6">_xlfn.NUMBERVALUE(INDEX($B$3:$B$400,SMALL(IF($G$2=$E$3:$E$400,ROW($E$3:$E$400)-ROW($E$3)+1),ROW(4:4))))</f>
        <v>74</v>
      </c>
      <c r="L6" s="12">
        <f t="shared" si="2"/>
        <v>4</v>
      </c>
      <c r="M6" s="20" t="str">
        <f t="array" ref="M6">INDEX($C$3:$C$400,SMALL(IF($L$2=$E$3:$E$400,ROW($E$3:$E$400)-ROW($E$3)+1),ROW(4:4))) &amp; " " &amp; INDEX($D$3:$D$400,SMALL(IF($L$2=$E$3:$E$400,ROW($E$3:$E$400)-ROW($E$3)+1),ROW(4:4)))</f>
        <v>Dalvin Cook MIN</v>
      </c>
      <c r="N6" s="20">
        <f>'Default Rankings Import 2020'!$R$6*('Default Rankings'!O6)^2+'Default Rankings Import 2020'!$S$6*'Default Rankings'!O6+'Default Rankings Import 2020'!$T$6</f>
        <v>1.3944441920157022</v>
      </c>
      <c r="O6" s="49">
        <f t="array" ref="O6">INDEX($B$3:$B$400,SMALL(IF($L$2=$E$3:$E$400,ROW($E$3:$E$400)-ROW($E$3)+1),ROW(4:4)))</f>
        <v>4</v>
      </c>
      <c r="Q6" s="12">
        <f t="shared" si="3"/>
        <v>4</v>
      </c>
      <c r="R6" s="20" t="str">
        <f t="array" ref="R6">INDEX($C$3:$C$400,SMALL(IF($Q$2=$E$3:$E$400,ROW($E$3:$E$400)-ROW($E$3)+1),ROW(4:4))) &amp; " " &amp; INDEX($D$3:$D$400,SMALL(IF($Q$2=$E$3:$E$400,ROW($E$3:$E$400)-ROW($E$3)+1),ROW(4:4)))</f>
        <v>Julio Jones ATL</v>
      </c>
      <c r="S6" s="20">
        <f>'Default Rankings Import 2020'!$R$7*('Default Rankings'!T6)^2+'Default Rankings Import 2020'!$S$7*'Default Rankings'!T6+'Default Rankings Import 2020'!$T$7</f>
        <v>4.9249421355360674</v>
      </c>
      <c r="T6" s="21">
        <f t="array" ref="T6">INDEX($B$3:$B$400,SMALL(IF($Q$2=$E$3:$E$400,ROW($E$3:$E$400)-ROW($E$3)+1),ROW(4:4)))</f>
        <v>18</v>
      </c>
      <c r="V6" s="12">
        <f t="shared" si="4"/>
        <v>4</v>
      </c>
      <c r="W6" s="20" t="str">
        <f t="array" ref="W6">INDEX($C$3:$C$400,SMALL(IF($V$2=$E$3:$E$400,ROW($E$3:$E$400)-ROW($E$3)+1),ROW(4:4))) &amp; " " &amp; INDEX($D$3:$D$400,SMALL(IF($V$2=$E$3:$E$400,ROW($E$3:$E$400)-ROW($E$3)+1),ROW(4:4)))</f>
        <v>Zach Ertz PHI</v>
      </c>
      <c r="X6" s="20">
        <f>'Default Rankings Import 2020'!$R$8*('Default Rankings'!Y6)^2+'Default Rankings Import 2020'!$S$8*'Default Rankings'!Y6+'Default Rankings Import 2020'!$T$8</f>
        <v>12.744150875496576</v>
      </c>
      <c r="Y6" s="21">
        <f t="array" ref="Y6">INDEX($B$3:$B$400,SMALL(IF($V$2=$E$3:$E$400,ROW($E$3:$E$400)-ROW($E$3)+1),ROW(4:4)))</f>
        <v>42</v>
      </c>
      <c r="AA6" s="12">
        <f t="shared" si="5"/>
        <v>4</v>
      </c>
      <c r="AB6" s="20" t="str">
        <f t="array" ref="AB6">INDEX($C$3:$C$400,SMALL(IF($AA$2=$E$3:$E$400,ROW($E$3:$E$400)-ROW($E$3)+1),ROW(4:4))) &amp; " " &amp; INDEX($D$3:$D$400,SMALL(IF($AA$2=$E$3:$E$400,ROW($E$3:$E$400)-ROW($E$3)+1),ROW(4:4)))</f>
        <v xml:space="preserve">Ravens D/ST </v>
      </c>
      <c r="AC6" s="20">
        <f>'Default Rankings Import 2020'!$R$9*('Default Rankings'!AD6)^2+'Default Rankings Import 2020'!$S$9*'Default Rankings'!AD6+'Default Rankings Import 2020'!$T$9</f>
        <v>26.656964258361384</v>
      </c>
      <c r="AD6" s="21">
        <f t="array" ref="AD6">INDEX($B$3:$B$400,SMALL(IF($AA$2=$E$3:$E$400,ROW($E$3:$E$400)-ROW($E$3)+1),ROW(4:4)))</f>
        <v>173</v>
      </c>
      <c r="AF6" s="12">
        <f t="shared" si="6"/>
        <v>4</v>
      </c>
      <c r="AG6" s="20" t="str">
        <f t="array" ref="AG6">INDEX($C$3:$C$400,SMALL(IF($AF$2=$E$3:$E$400,ROW($E$3:$E$400)-ROW($E$3)+1),ROW(4:4))) &amp; " " &amp; INDEX($D$3:$D$400,SMALL(IF($AF$2=$E$3:$E$400,ROW($E$3:$E$400)-ROW($E$3)+1),ROW(4:4)))</f>
        <v>Matt Prater DET</v>
      </c>
      <c r="AH6" s="20">
        <f>'Default Rankings Import 2020'!$R$10*('Default Rankings'!AI6)^2+'Default Rankings Import 2020'!$S$10*'Default Rankings'!AI6+'Default Rankings Import 2020'!$T$10</f>
        <v>22.788093176915879</v>
      </c>
      <c r="AI6" s="21">
        <f t="array" ref="AI6">INDEX($B$3:$B$400,SMALL(IF($AF$2=$E$3:$E$400,ROW($E$3:$E$400)-ROW($E$3)+1),ROW(4:4)))</f>
        <v>185</v>
      </c>
    </row>
    <row r="7" spans="2:35" x14ac:dyDescent="0.35">
      <c r="B7" s="12">
        <f t="shared" si="0"/>
        <v>5</v>
      </c>
      <c r="C7" s="20" t="str">
        <f>'Default Rankings Import 2020'!D6</f>
        <v>Alvin Kamara</v>
      </c>
      <c r="D7" s="20" t="str">
        <f>'Default Rankings Import 2020'!E6</f>
        <v>NO</v>
      </c>
      <c r="E7" s="21" t="str">
        <f>IF(LEFT('Default Rankings Import 2020'!F6,1)="D",LEFT('Default Rankings Import 2020'!F6,3),IF(LEFT('Default Rankings Import 2020'!F6,1)="K",LEFT('Default Rankings Import 2020'!F6,1),LEFT('Default Rankings Import 2020'!F6,2)))</f>
        <v>RB</v>
      </c>
      <c r="G7" s="12">
        <f t="shared" si="1"/>
        <v>5</v>
      </c>
      <c r="H7" s="20" t="str">
        <f t="array" ref="H7">INDEX($C$3:$C$400,SMALL(IF($G$2=$E$3:$E$400,ROW($E$3:$E$400)-ROW($E$3)+1),ROW(5:5))) &amp; " " &amp; INDEX($D$3:$D$400,SMALL(IF($G$2=$E$3:$E$400,ROW($E$3:$E$400)-ROW($E$3)+1),ROW(5:5)))</f>
        <v>Dak Prescott DAL</v>
      </c>
      <c r="I7" s="100">
        <f>'Default Rankings Import 2020'!$R$5*('Default Rankings'!J7)^2+'Default Rankings Import 2020'!$S$5*'Default Rankings'!J7+'Default Rankings Import 2020'!$T$5</f>
        <v>13.380462357917128</v>
      </c>
      <c r="J7" s="21">
        <f t="array" ref="J7">_xlfn.NUMBERVALUE(INDEX($B$3:$B$400,SMALL(IF($G$2=$E$3:$E$400,ROW($E$3:$E$400)-ROW($E$3)+1),ROW(5:5))))</f>
        <v>75</v>
      </c>
      <c r="L7" s="12">
        <f t="shared" si="2"/>
        <v>5</v>
      </c>
      <c r="M7" s="20" t="str">
        <f t="array" ref="M7">INDEX($C$3:$C$400,SMALL(IF($L$2=$E$3:$E$400,ROW($E$3:$E$400)-ROW($E$3)+1),ROW(5:5))) &amp; " " &amp; INDEX($D$3:$D$400,SMALL(IF($L$2=$E$3:$E$400,ROW($E$3:$E$400)-ROW($E$3)+1),ROW(5:5)))</f>
        <v>Alvin Kamara NO</v>
      </c>
      <c r="N7" s="20">
        <f>'Default Rankings Import 2020'!$R$6*('Default Rankings'!O7)^2+'Default Rankings Import 2020'!$S$6*'Default Rankings'!O7+'Default Rankings Import 2020'!$T$6</f>
        <v>1.7324097742646185</v>
      </c>
      <c r="O7" s="49">
        <f t="array" ref="O7">INDEX($B$3:$B$400,SMALL(IF($L$2=$E$3:$E$400,ROW($E$3:$E$400)-ROW($E$3)+1),ROW(5:5)))</f>
        <v>5</v>
      </c>
      <c r="Q7" s="12">
        <f t="shared" si="3"/>
        <v>5</v>
      </c>
      <c r="R7" s="20" t="str">
        <f t="array" ref="R7">INDEX($C$3:$C$400,SMALL(IF($Q$2=$E$3:$E$400,ROW($E$3:$E$400)-ROW($E$3)+1),ROW(5:5))) &amp; " " &amp; INDEX($D$3:$D$400,SMALL(IF($Q$2=$E$3:$E$400,ROW($E$3:$E$400)-ROW($E$3)+1),ROW(5:5)))</f>
        <v>DeAndre Hopkins ARI</v>
      </c>
      <c r="S7" s="20">
        <f>'Default Rankings Import 2020'!$R$7*('Default Rankings'!T7)^2+'Default Rankings Import 2020'!$S$7*'Default Rankings'!T7+'Default Rankings Import 2020'!$T$7</f>
        <v>5.1918748831259141</v>
      </c>
      <c r="T7" s="21">
        <f t="array" ref="T7">INDEX($B$3:$B$400,SMALL(IF($Q$2=$E$3:$E$400,ROW($E$3:$E$400)-ROW($E$3)+1),ROW(5:5)))</f>
        <v>19</v>
      </c>
      <c r="V7" s="12">
        <f t="shared" si="4"/>
        <v>5</v>
      </c>
      <c r="W7" s="20" t="str">
        <f t="array" ref="W7">INDEX($C$3:$C$400,SMALL(IF($V$2=$E$3:$E$400,ROW($E$3:$E$400)-ROW($E$3)+1),ROW(5:5))) &amp; " " &amp; INDEX($D$3:$D$400,SMALL(IF($V$2=$E$3:$E$400,ROW($E$3:$E$400)-ROW($E$3)+1),ROW(5:5)))</f>
        <v>Darren Waller LV</v>
      </c>
      <c r="X7" s="20">
        <f>'Default Rankings Import 2020'!$R$8*('Default Rankings'!Y7)^2+'Default Rankings Import 2020'!$S$8*'Default Rankings'!Y7+'Default Rankings Import 2020'!$T$8</f>
        <v>19.247133861051644</v>
      </c>
      <c r="Y7" s="21">
        <f t="array" ref="Y7">INDEX($B$3:$B$400,SMALL(IF($V$2=$E$3:$E$400,ROW($E$3:$E$400)-ROW($E$3)+1),ROW(5:5)))</f>
        <v>69</v>
      </c>
      <c r="AA7" s="12">
        <f t="shared" si="5"/>
        <v>5</v>
      </c>
      <c r="AB7" s="20" t="str">
        <f t="array" ref="AB7">INDEX($C$3:$C$400,SMALL(IF($AA$2=$E$3:$E$400,ROW($E$3:$E$400)-ROW($E$3)+1),ROW(5:5))) &amp; " " &amp; INDEX($D$3:$D$400,SMALL(IF($AA$2=$E$3:$E$400,ROW($E$3:$E$400)-ROW($E$3)+1),ROW(5:5)))</f>
        <v xml:space="preserve">Patriots D/ST </v>
      </c>
      <c r="AC7" s="20">
        <f>'Default Rankings Import 2020'!$R$9*('Default Rankings'!AD7)^2+'Default Rankings Import 2020'!$S$9*'Default Rankings'!AD7+'Default Rankings Import 2020'!$T$9</f>
        <v>26.772701593886055</v>
      </c>
      <c r="AD7" s="21">
        <f t="array" ref="AD7">INDEX($B$3:$B$400,SMALL(IF($AA$2=$E$3:$E$400,ROW($E$3:$E$400)-ROW($E$3)+1),ROW(5:5)))</f>
        <v>174</v>
      </c>
      <c r="AF7" s="12">
        <f t="shared" si="6"/>
        <v>5</v>
      </c>
      <c r="AG7" s="20" t="str">
        <f t="array" ref="AG7">INDEX($C$3:$C$400,SMALL(IF($AF$2=$E$3:$E$400,ROW($E$3:$E$400)-ROW($E$3)+1),ROW(5:5))) &amp; " " &amp; INDEX($D$3:$D$400,SMALL(IF($AF$2=$E$3:$E$400,ROW($E$3:$E$400)-ROW($E$3)+1),ROW(5:5)))</f>
        <v>Chris Boswell PIT</v>
      </c>
      <c r="AH7" s="20">
        <f>'Default Rankings Import 2020'!$R$10*('Default Rankings'!AI7)^2+'Default Rankings Import 2020'!$S$10*'Default Rankings'!AI7+'Default Rankings Import 2020'!$T$10</f>
        <v>22.89772029547018</v>
      </c>
      <c r="AI7" s="21">
        <f t="array" ref="AI7">INDEX($B$3:$B$400,SMALL(IF($AF$2=$E$3:$E$400,ROW($E$3:$E$400)-ROW($E$3)+1),ROW(5:5)))</f>
        <v>186</v>
      </c>
    </row>
    <row r="8" spans="2:35" x14ac:dyDescent="0.35">
      <c r="B8" s="12">
        <f t="shared" si="0"/>
        <v>6</v>
      </c>
      <c r="C8" s="20" t="str">
        <f>'Default Rankings Import 2020'!D7</f>
        <v>Michael Thomas</v>
      </c>
      <c r="D8" s="20" t="str">
        <f>'Default Rankings Import 2020'!E7</f>
        <v>NO</v>
      </c>
      <c r="E8" s="21" t="str">
        <f>IF(LEFT('Default Rankings Import 2020'!F7,1)="D",LEFT('Default Rankings Import 2020'!F7,3),IF(LEFT('Default Rankings Import 2020'!F7,1)="K",LEFT('Default Rankings Import 2020'!F7,1),LEFT('Default Rankings Import 2020'!F7,2)))</f>
        <v>WR</v>
      </c>
      <c r="G8" s="12">
        <f t="shared" si="1"/>
        <v>6</v>
      </c>
      <c r="H8" s="20" t="str">
        <f t="array" ref="H8">INDEX($C$3:$C$400,SMALL(IF($G$2=$E$3:$E$400,ROW($E$3:$E$400)-ROW($E$3)+1),ROW(6:6))) &amp; " " &amp; INDEX($D$3:$D$400,SMALL(IF($G$2=$E$3:$E$400,ROW($E$3:$E$400)-ROW($E$3)+1),ROW(6:6)))</f>
        <v>Russell Wilson SEA</v>
      </c>
      <c r="I8" s="100">
        <f>'Default Rankings Import 2020'!$R$5*('Default Rankings'!J8)^2+'Default Rankings Import 2020'!$S$5*'Default Rankings'!J8+'Default Rankings Import 2020'!$T$5</f>
        <v>13.559247361956343</v>
      </c>
      <c r="J8" s="21">
        <f t="array" ref="J8">_xlfn.NUMBERVALUE(INDEX($B$3:$B$400,SMALL(IF($G$2=$E$3:$E$400,ROW($E$3:$E$400)-ROW($E$3)+1),ROW(6:6))))</f>
        <v>76</v>
      </c>
      <c r="L8" s="12">
        <f t="shared" si="2"/>
        <v>6</v>
      </c>
      <c r="M8" s="20" t="str">
        <f t="array" ref="M8">INDEX($C$3:$C$400,SMALL(IF($L$2=$E$3:$E$400,ROW($E$3:$E$400)-ROW($E$3)+1),ROW(6:6))) &amp; " " &amp; INDEX($D$3:$D$400,SMALL(IF($L$2=$E$3:$E$400,ROW($E$3:$E$400)-ROW($E$3)+1),ROW(6:6)))</f>
        <v>Derrick Henry TEN</v>
      </c>
      <c r="N8" s="20">
        <f>'Default Rankings Import 2020'!$R$6*('Default Rankings'!O8)^2+'Default Rankings Import 2020'!$S$6*'Default Rankings'!O8+'Default Rankings Import 2020'!$T$6</f>
        <v>2.4040791611752659</v>
      </c>
      <c r="O8" s="49">
        <f t="array" ref="O8">INDEX($B$3:$B$400,SMALL(IF($L$2=$E$3:$E$400,ROW($E$3:$E$400)-ROW($E$3)+1),ROW(6:6)))</f>
        <v>7</v>
      </c>
      <c r="Q8" s="12">
        <f t="shared" si="3"/>
        <v>6</v>
      </c>
      <c r="R8" s="20" t="str">
        <f t="array" ref="R8">INDEX($C$3:$C$400,SMALL(IF($Q$2=$E$3:$E$400,ROW($E$3:$E$400)-ROW($E$3)+1),ROW(6:6))) &amp; " " &amp; INDEX($D$3:$D$400,SMALL(IF($Q$2=$E$3:$E$400,ROW($E$3:$E$400)-ROW($E$3)+1),ROW(6:6)))</f>
        <v>Chris Godwin TB</v>
      </c>
      <c r="S8" s="20">
        <f>'Default Rankings Import 2020'!$R$7*('Default Rankings'!T8)^2+'Default Rankings Import 2020'!$S$7*'Default Rankings'!T8+'Default Rankings Import 2020'!$T$7</f>
        <v>5.7219911045568423</v>
      </c>
      <c r="T8" s="21">
        <f t="array" ref="T8">INDEX($B$3:$B$400,SMALL(IF($Q$2=$E$3:$E$400,ROW($E$3:$E$400)-ROW($E$3)+1),ROW(6:6)))</f>
        <v>21</v>
      </c>
      <c r="V8" s="12">
        <f t="shared" si="4"/>
        <v>6</v>
      </c>
      <c r="W8" s="20" t="str">
        <f t="array" ref="W8">INDEX($C$3:$C$400,SMALL(IF($V$2=$E$3:$E$400,ROW($E$3:$E$400)-ROW($E$3)+1),ROW(6:6))) &amp; " " &amp; INDEX($D$3:$D$400,SMALL(IF($V$2=$E$3:$E$400,ROW($E$3:$E$400)-ROW($E$3)+1),ROW(6:6)))</f>
        <v>Evan Engram NYG</v>
      </c>
      <c r="X8" s="20">
        <f>'Default Rankings Import 2020'!$R$8*('Default Rankings'!Y8)^2+'Default Rankings Import 2020'!$S$8*'Default Rankings'!Y8+'Default Rankings Import 2020'!$T$8</f>
        <v>21.897960538377795</v>
      </c>
      <c r="Y8" s="21">
        <f t="array" ref="Y8">INDEX($B$3:$B$400,SMALL(IF($V$2=$E$3:$E$400,ROW($E$3:$E$400)-ROW($E$3)+1),ROW(6:6)))</f>
        <v>82</v>
      </c>
      <c r="AA8" s="12">
        <f t="shared" si="5"/>
        <v>6</v>
      </c>
      <c r="AB8" s="20" t="str">
        <f t="array" ref="AB8">INDEX($C$3:$C$400,SMALL(IF($AA$2=$E$3:$E$400,ROW($E$3:$E$400)-ROW($E$3)+1),ROW(6:6))) &amp; " " &amp; INDEX($D$3:$D$400,SMALL(IF($AA$2=$E$3:$E$400,ROW($E$3:$E$400)-ROW($E$3)+1),ROW(6:6)))</f>
        <v xml:space="preserve">Colts D/ST </v>
      </c>
      <c r="AC8" s="20">
        <f>'Default Rankings Import 2020'!$R$9*('Default Rankings'!AD8)^2+'Default Rankings Import 2020'!$S$9*'Default Rankings'!AD8+'Default Rankings Import 2020'!$T$9</f>
        <v>26.887997906769414</v>
      </c>
      <c r="AD8" s="21">
        <f t="array" ref="AD8">INDEX($B$3:$B$400,SMALL(IF($AA$2=$E$3:$E$400,ROW($E$3:$E$400)-ROW($E$3)+1),ROW(6:6)))</f>
        <v>175</v>
      </c>
      <c r="AF8" s="12">
        <f t="shared" si="6"/>
        <v>6</v>
      </c>
      <c r="AG8" s="20" t="str">
        <f t="array" ref="AG8">INDEX($C$3:$C$400,SMALL(IF($AF$2=$E$3:$E$400,ROW($E$3:$E$400)-ROW($E$3)+1),ROW(6:6))) &amp; " " &amp; INDEX($D$3:$D$400,SMALL(IF($AF$2=$E$3:$E$400,ROW($E$3:$E$400)-ROW($E$3)+1),ROW(6:6)))</f>
        <v>Greg Zuerlein DAL</v>
      </c>
      <c r="AH8" s="20">
        <f>'Default Rankings Import 2020'!$R$10*('Default Rankings'!AI8)^2+'Default Rankings Import 2020'!$S$10*'Default Rankings'!AI8+'Default Rankings Import 2020'!$T$10</f>
        <v>23.007201727804194</v>
      </c>
      <c r="AI8" s="21">
        <f t="array" ref="AI8">INDEX($B$3:$B$400,SMALL(IF($AF$2=$E$3:$E$400,ROW($E$3:$E$400)-ROW($E$3)+1),ROW(6:6)))</f>
        <v>187</v>
      </c>
    </row>
    <row r="9" spans="2:35" x14ac:dyDescent="0.35">
      <c r="B9" s="12">
        <f t="shared" si="0"/>
        <v>7</v>
      </c>
      <c r="C9" s="20" t="str">
        <f>'Default Rankings Import 2020'!D8</f>
        <v>Derrick Henry</v>
      </c>
      <c r="D9" s="20" t="str">
        <f>'Default Rankings Import 2020'!E8</f>
        <v>TEN</v>
      </c>
      <c r="E9" s="21" t="str">
        <f>IF(LEFT('Default Rankings Import 2020'!F8,1)="D",LEFT('Default Rankings Import 2020'!F8,3),IF(LEFT('Default Rankings Import 2020'!F8,1)="K",LEFT('Default Rankings Import 2020'!F8,1),LEFT('Default Rankings Import 2020'!F8,2)))</f>
        <v>RB</v>
      </c>
      <c r="G9" s="12">
        <f t="shared" si="1"/>
        <v>7</v>
      </c>
      <c r="H9" s="20" t="str">
        <f t="array" ref="H9">INDEX($C$3:$C$400,SMALL(IF($G$2=$E$3:$E$400,ROW($E$3:$E$400)-ROW($E$3)+1),ROW(7:7))) &amp; " " &amp; INDEX($D$3:$D$400,SMALL(IF($G$2=$E$3:$E$400,ROW($E$3:$E$400)-ROW($E$3)+1),ROW(7:7)))</f>
        <v>Matt Ryan ATL</v>
      </c>
      <c r="I9" s="100">
        <f>'Default Rankings Import 2020'!$R$5*('Default Rankings'!J9)^2+'Default Rankings Import 2020'!$S$5*'Default Rankings'!J9+'Default Rankings Import 2020'!$T$5</f>
        <v>20.725690517519254</v>
      </c>
      <c r="J9" s="21">
        <f t="array" ref="J9">_xlfn.NUMBERVALUE(INDEX($B$3:$B$400,SMALL(IF($G$2=$E$3:$E$400,ROW($E$3:$E$400)-ROW($E$3)+1),ROW(7:7))))</f>
        <v>116</v>
      </c>
      <c r="L9" s="12">
        <f t="shared" si="2"/>
        <v>7</v>
      </c>
      <c r="M9" s="20" t="str">
        <f t="array" ref="M9">INDEX($C$3:$C$400,SMALL(IF($L$2=$E$3:$E$400,ROW($E$3:$E$400)-ROW($E$3)+1),ROW(7:7))) &amp; " " &amp; INDEX($D$3:$D$400,SMALL(IF($L$2=$E$3:$E$400,ROW($E$3:$E$400)-ROW($E$3)+1),ROW(7:7)))</f>
        <v>Clyde Edwards-Helaire KC</v>
      </c>
      <c r="N9" s="20">
        <f>'Default Rankings Import 2020'!$R$6*('Default Rankings'!O9)^2+'Default Rankings Import 2020'!$S$6*'Default Rankings'!O9+'Default Rankings Import 2020'!$T$6</f>
        <v>2.7377829658369968</v>
      </c>
      <c r="O9" s="49">
        <f t="array" ref="O9">INDEX($B$3:$B$400,SMALL(IF($L$2=$E$3:$E$400,ROW($E$3:$E$400)-ROW($E$3)+1),ROW(7:7)))</f>
        <v>8</v>
      </c>
      <c r="Q9" s="12">
        <f t="shared" si="3"/>
        <v>7</v>
      </c>
      <c r="R9" s="20" t="str">
        <f t="array" ref="R9">INDEX($C$3:$C$400,SMALL(IF($Q$2=$E$3:$E$400,ROW($E$3:$E$400)-ROW($E$3)+1),ROW(7:7))) &amp; " " &amp; INDEX($D$3:$D$400,SMALL(IF($Q$2=$E$3:$E$400,ROW($E$3:$E$400)-ROW($E$3)+1),ROW(7:7)))</f>
        <v>Mike Evans TB</v>
      </c>
      <c r="S9" s="20">
        <f>'Default Rankings Import 2020'!$R$7*('Default Rankings'!T9)^2+'Default Rankings Import 2020'!$S$7*'Default Rankings'!T9+'Default Rankings Import 2020'!$T$7</f>
        <v>5.9851745783979222</v>
      </c>
      <c r="T9" s="21">
        <f t="array" ref="T9">INDEX($B$3:$B$400,SMALL(IF($Q$2=$E$3:$E$400,ROW($E$3:$E$400)-ROW($E$3)+1),ROW(7:7)))</f>
        <v>22</v>
      </c>
      <c r="V9" s="12">
        <f t="shared" si="4"/>
        <v>7</v>
      </c>
      <c r="W9" s="20" t="str">
        <f t="array" ref="W9">INDEX($C$3:$C$400,SMALL(IF($V$2=$E$3:$E$400,ROW($E$3:$E$400)-ROW($E$3)+1),ROW(7:7))) &amp; " " &amp; INDEX($D$3:$D$400,SMALL(IF($V$2=$E$3:$E$400,ROW($E$3:$E$400)-ROW($E$3)+1),ROW(7:7)))</f>
        <v>Tyler Higbee LAR</v>
      </c>
      <c r="X9" s="20">
        <f>'Default Rankings Import 2020'!$R$8*('Default Rankings'!Y9)^2+'Default Rankings Import 2020'!$S$8*'Default Rankings'!Y9+'Default Rankings Import 2020'!$T$8</f>
        <v>22.088940765740361</v>
      </c>
      <c r="Y9" s="21">
        <f t="array" ref="Y9">INDEX($B$3:$B$400,SMALL(IF($V$2=$E$3:$E$400,ROW($E$3:$E$400)-ROW($E$3)+1),ROW(7:7)))</f>
        <v>83</v>
      </c>
      <c r="AA9" s="12">
        <f t="shared" si="5"/>
        <v>7</v>
      </c>
      <c r="AB9" s="20" t="str">
        <f t="array" ref="AB9">INDEX($C$3:$C$400,SMALL(IF($AA$2=$E$3:$E$400,ROW($E$3:$E$400)-ROW($E$3)+1),ROW(7:7))) &amp; " " &amp; INDEX($D$3:$D$400,SMALL(IF($AA$2=$E$3:$E$400,ROW($E$3:$E$400)-ROW($E$3)+1),ROW(7:7)))</f>
        <v xml:space="preserve">Bears D/ST </v>
      </c>
      <c r="AC9" s="20">
        <f>'Default Rankings Import 2020'!$R$9*('Default Rankings'!AD9)^2+'Default Rankings Import 2020'!$S$9*'Default Rankings'!AD9+'Default Rankings Import 2020'!$T$9</f>
        <v>27.002853197011483</v>
      </c>
      <c r="AD9" s="21">
        <f t="array" ref="AD9">INDEX($B$3:$B$400,SMALL(IF($AA$2=$E$3:$E$400,ROW($E$3:$E$400)-ROW($E$3)+1),ROW(7:7)))</f>
        <v>176</v>
      </c>
      <c r="AF9" s="12">
        <f t="shared" si="6"/>
        <v>7</v>
      </c>
      <c r="AG9" s="20" t="str">
        <f t="array" ref="AG9">INDEX($C$3:$C$400,SMALL(IF($AF$2=$E$3:$E$400,ROW($E$3:$E$400)-ROW($E$3)+1),ROW(7:7))) &amp; " " &amp; INDEX($D$3:$D$400,SMALL(IF($AF$2=$E$3:$E$400,ROW($E$3:$E$400)-ROW($E$3)+1),ROW(7:7)))</f>
        <v>Robbie Gould SF</v>
      </c>
      <c r="AH9" s="20">
        <f>'Default Rankings Import 2020'!$R$10*('Default Rankings'!AI9)^2+'Default Rankings Import 2020'!$S$10*'Default Rankings'!AI9+'Default Rankings Import 2020'!$T$10</f>
        <v>23.116537473917919</v>
      </c>
      <c r="AI9" s="21">
        <f t="array" ref="AI9">INDEX($B$3:$B$400,SMALL(IF($AF$2=$E$3:$E$400,ROW($E$3:$E$400)-ROW($E$3)+1),ROW(7:7)))</f>
        <v>188</v>
      </c>
    </row>
    <row r="10" spans="2:35" x14ac:dyDescent="0.35">
      <c r="B10" s="12">
        <f t="shared" si="0"/>
        <v>8</v>
      </c>
      <c r="C10" s="20" t="str">
        <f>'Default Rankings Import 2020'!D9</f>
        <v>Clyde Edwards-Helaire</v>
      </c>
      <c r="D10" s="20" t="str">
        <f>'Default Rankings Import 2020'!E9</f>
        <v>KC</v>
      </c>
      <c r="E10" s="21" t="str">
        <f>IF(LEFT('Default Rankings Import 2020'!F9,1)="D",LEFT('Default Rankings Import 2020'!F9,3),IF(LEFT('Default Rankings Import 2020'!F9,1)="K",LEFT('Default Rankings Import 2020'!F9,1),LEFT('Default Rankings Import 2020'!F9,2)))</f>
        <v>RB</v>
      </c>
      <c r="G10" s="12">
        <f t="shared" si="1"/>
        <v>8</v>
      </c>
      <c r="H10" s="20" t="str">
        <f t="array" ref="H10">INDEX($C$3:$C$400,SMALL(IF($G$2=$E$3:$E$400,ROW($E$3:$E$400)-ROW($E$3)+1),ROW(8:8))) &amp; " " &amp; INDEX($D$3:$D$400,SMALL(IF($G$2=$E$3:$E$400,ROW($E$3:$E$400)-ROW($E$3)+1),ROW(8:8)))</f>
        <v>Tom Brady TB</v>
      </c>
      <c r="I10" s="100">
        <f>'Default Rankings Import 2020'!$R$5*('Default Rankings'!J10)^2+'Default Rankings Import 2020'!$S$5*'Default Rankings'!J10+'Default Rankings Import 2020'!$T$5</f>
        <v>20.905227671258185</v>
      </c>
      <c r="J10" s="21">
        <f t="array" ref="J10">_xlfn.NUMBERVALUE(INDEX($B$3:$B$400,SMALL(IF($G$2=$E$3:$E$400,ROW($E$3:$E$400)-ROW($E$3)+1),ROW(8:8))))</f>
        <v>117</v>
      </c>
      <c r="L10" s="12">
        <f t="shared" si="2"/>
        <v>8</v>
      </c>
      <c r="M10" s="20" t="str">
        <f t="array" ref="M10">INDEX($C$3:$C$400,SMALL(IF($L$2=$E$3:$E$400,ROW($E$3:$E$400)-ROW($E$3)+1),ROW(8:8))) &amp; " " &amp; INDEX($D$3:$D$400,SMALL(IF($L$2=$E$3:$E$400,ROW($E$3:$E$400)-ROW($E$3)+1),ROW(8:8)))</f>
        <v>Miles Sanders PHI</v>
      </c>
      <c r="N10" s="20">
        <f>'Default Rankings Import 2020'!$R$6*('Default Rankings'!O10)^2+'Default Rankings Import 2020'!$S$6*'Default Rankings'!O10+'Default Rankings Import 2020'!$T$6</f>
        <v>3.0700661779696654</v>
      </c>
      <c r="O10" s="49">
        <f t="array" ref="O10">INDEX($B$3:$B$400,SMALL(IF($L$2=$E$3:$E$400,ROW($E$3:$E$400)-ROW($E$3)+1),ROW(8:8)))</f>
        <v>9</v>
      </c>
      <c r="Q10" s="12">
        <f t="shared" si="3"/>
        <v>8</v>
      </c>
      <c r="R10" s="20" t="str">
        <f t="array" ref="R10">INDEX($C$3:$C$400,SMALL(IF($Q$2=$E$3:$E$400,ROW($E$3:$E$400)-ROW($E$3)+1),ROW(8:8))) &amp; " " &amp; INDEX($D$3:$D$400,SMALL(IF($Q$2=$E$3:$E$400,ROW($E$3:$E$400)-ROW($E$3)+1),ROW(8:8)))</f>
        <v>Kenny Golladay DET</v>
      </c>
      <c r="S10" s="20">
        <f>'Default Rankings Import 2020'!$R$7*('Default Rankings'!T10)^2+'Default Rankings Import 2020'!$S$7*'Default Rankings'!T10+'Default Rankings Import 2020'!$T$7</f>
        <v>6.507792252331317</v>
      </c>
      <c r="T10" s="21">
        <f t="array" ref="T10">INDEX($B$3:$B$400,SMALL(IF($Q$2=$E$3:$E$400,ROW($E$3:$E$400)-ROW($E$3)+1),ROW(8:8)))</f>
        <v>24</v>
      </c>
      <c r="V10" s="12">
        <f t="shared" si="4"/>
        <v>8</v>
      </c>
      <c r="W10" s="20" t="str">
        <f t="array" ref="W10">INDEX($C$3:$C$400,SMALL(IF($V$2=$E$3:$E$400,ROW($E$3:$E$400)-ROW($E$3)+1),ROW(8:8))) &amp; " " &amp; INDEX($D$3:$D$400,SMALL(IF($V$2=$E$3:$E$400,ROW($E$3:$E$400)-ROW($E$3)+1),ROW(8:8)))</f>
        <v>Hunter Henry LAC</v>
      </c>
      <c r="X10" s="20">
        <f>'Default Rankings Import 2020'!$R$8*('Default Rankings'!Y10)^2+'Default Rankings Import 2020'!$S$8*'Default Rankings'!Y10+'Default Rankings Import 2020'!$T$8</f>
        <v>26.547212983984643</v>
      </c>
      <c r="Y10" s="21">
        <f t="array" ref="Y10">INDEX($B$3:$B$400,SMALL(IF($V$2=$E$3:$E$400,ROW($E$3:$E$400)-ROW($E$3)+1),ROW(8:8)))</f>
        <v>110</v>
      </c>
      <c r="AA10" s="12">
        <f t="shared" si="5"/>
        <v>8</v>
      </c>
      <c r="AB10" s="20" t="str">
        <f t="array" ref="AB10">INDEX($C$3:$C$400,SMALL(IF($AA$2=$E$3:$E$400,ROW($E$3:$E$400)-ROW($E$3)+1),ROW(8:8))) &amp; " " &amp; INDEX($D$3:$D$400,SMALL(IF($AA$2=$E$3:$E$400,ROW($E$3:$E$400)-ROW($E$3)+1),ROW(8:8)))</f>
        <v xml:space="preserve">Vikings D/ST </v>
      </c>
      <c r="AC10" s="20">
        <f>'Default Rankings Import 2020'!$R$9*('Default Rankings'!AD10)^2+'Default Rankings Import 2020'!$S$9*'Default Rankings'!AD10+'Default Rankings Import 2020'!$T$9</f>
        <v>27.117267464612254</v>
      </c>
      <c r="AD10" s="21">
        <f t="array" ref="AD10">INDEX($B$3:$B$400,SMALL(IF($AA$2=$E$3:$E$400,ROW($E$3:$E$400)-ROW($E$3)+1),ROW(8:8)))</f>
        <v>177</v>
      </c>
      <c r="AF10" s="12">
        <f t="shared" si="6"/>
        <v>8</v>
      </c>
      <c r="AG10" s="20" t="str">
        <f t="array" ref="AG10">INDEX($C$3:$C$400,SMALL(IF($AF$2=$E$3:$E$400,ROW($E$3:$E$400)-ROW($E$3)+1),ROW(8:8))) &amp; " " &amp; INDEX($D$3:$D$400,SMALL(IF($AF$2=$E$3:$E$400,ROW($E$3:$E$400)-ROW($E$3)+1),ROW(8:8)))</f>
        <v>Zane Gonzalez ARI</v>
      </c>
      <c r="AH10" s="20">
        <f>'Default Rankings Import 2020'!$R$10*('Default Rankings'!AI10)^2+'Default Rankings Import 2020'!$S$10*'Default Rankings'!AI10+'Default Rankings Import 2020'!$T$10</f>
        <v>23.225727533811355</v>
      </c>
      <c r="AI10" s="21">
        <f t="array" ref="AI10">INDEX($B$3:$B$400,SMALL(IF($AF$2=$E$3:$E$400,ROW($E$3:$E$400)-ROW($E$3)+1),ROW(8:8)))</f>
        <v>189</v>
      </c>
    </row>
    <row r="11" spans="2:35" x14ac:dyDescent="0.35">
      <c r="B11" s="12">
        <f t="shared" si="0"/>
        <v>9</v>
      </c>
      <c r="C11" s="20" t="str">
        <f>'Default Rankings Import 2020'!D10</f>
        <v>Miles Sanders</v>
      </c>
      <c r="D11" s="20" t="str">
        <f>'Default Rankings Import 2020'!E10</f>
        <v>PHI</v>
      </c>
      <c r="E11" s="21" t="str">
        <f>IF(LEFT('Default Rankings Import 2020'!F10,1)="D",LEFT('Default Rankings Import 2020'!F10,3),IF(LEFT('Default Rankings Import 2020'!F10,1)="K",LEFT('Default Rankings Import 2020'!F10,1),LEFT('Default Rankings Import 2020'!F10,2)))</f>
        <v>RB</v>
      </c>
      <c r="G11" s="12">
        <f t="shared" si="1"/>
        <v>9</v>
      </c>
      <c r="H11" s="20" t="str">
        <f t="array" ref="H11">INDEX($C$3:$C$400,SMALL(IF($G$2=$E$3:$E$400,ROW($E$3:$E$400)-ROW($E$3)+1),ROW(9:9))) &amp; " " &amp; INDEX($D$3:$D$400,SMALL(IF($G$2=$E$3:$E$400,ROW($E$3:$E$400)-ROW($E$3)+1),ROW(9:9)))</f>
        <v>Carson Wentz PHI</v>
      </c>
      <c r="I11" s="100">
        <f>'Default Rankings Import 2020'!$R$5*('Default Rankings'!J11)^2+'Default Rankings Import 2020'!$S$5*'Default Rankings'!J11+'Default Rankings Import 2020'!$T$5</f>
        <v>21.084783170111745</v>
      </c>
      <c r="J11" s="21">
        <f t="array" ref="J11">_xlfn.NUMBERVALUE(INDEX($B$3:$B$400,SMALL(IF($G$2=$E$3:$E$400,ROW($E$3:$E$400)-ROW($E$3)+1),ROW(9:9))))</f>
        <v>118</v>
      </c>
      <c r="L11" s="12">
        <f t="shared" si="2"/>
        <v>9</v>
      </c>
      <c r="M11" s="20" t="str">
        <f t="array" ref="M11">INDEX($C$3:$C$400,SMALL(IF($L$2=$E$3:$E$400,ROW($E$3:$E$400)-ROW($E$3)+1),ROW(9:9))) &amp; " " &amp; INDEX($D$3:$D$400,SMALL(IF($L$2=$E$3:$E$400,ROW($E$3:$E$400)-ROW($E$3)+1),ROW(9:9)))</f>
        <v>Josh Jacobs LV</v>
      </c>
      <c r="N11" s="20">
        <f>'Default Rankings Import 2020'!$R$6*('Default Rankings'!O11)^2+'Default Rankings Import 2020'!$S$6*'Default Rankings'!O11+'Default Rankings Import 2020'!$T$6</f>
        <v>3.4009287975732727</v>
      </c>
      <c r="O11" s="49">
        <f t="array" ref="O11">INDEX($B$3:$B$400,SMALL(IF($L$2=$E$3:$E$400,ROW($E$3:$E$400)-ROW($E$3)+1),ROW(9:9)))</f>
        <v>10</v>
      </c>
      <c r="Q11" s="12">
        <f t="shared" si="3"/>
        <v>9</v>
      </c>
      <c r="R11" s="20" t="str">
        <f t="array" ref="R11">INDEX($C$3:$C$400,SMALL(IF($Q$2=$E$3:$E$400,ROW($E$3:$E$400)-ROW($E$3)+1),ROW(9:9))) &amp; " " &amp; INDEX($D$3:$D$400,SMALL(IF($Q$2=$E$3:$E$400,ROW($E$3:$E$400)-ROW($E$3)+1),ROW(9:9)))</f>
        <v>DJ Moore CAR</v>
      </c>
      <c r="S11" s="20">
        <f>'Default Rankings Import 2020'!$R$7*('Default Rankings'!T11)^2+'Default Rankings Import 2020'!$S$7*'Default Rankings'!T11+'Default Rankings Import 2020'!$T$7</f>
        <v>6.7672264524236319</v>
      </c>
      <c r="T11" s="21">
        <f t="array" ref="T11">INDEX($B$3:$B$400,SMALL(IF($Q$2=$E$3:$E$400,ROW($E$3:$E$400)-ROW($E$3)+1),ROW(9:9)))</f>
        <v>25</v>
      </c>
      <c r="V11" s="12">
        <f t="shared" si="4"/>
        <v>9</v>
      </c>
      <c r="W11" s="20" t="str">
        <f t="array" ref="W11">INDEX($C$3:$C$400,SMALL(IF($V$2=$E$3:$E$400,ROW($E$3:$E$400)-ROW($E$3)+1),ROW(9:9))) &amp; " " &amp; INDEX($D$3:$D$400,SMALL(IF($V$2=$E$3:$E$400,ROW($E$3:$E$400)-ROW($E$3)+1),ROW(9:9)))</f>
        <v>Jared Cook NO</v>
      </c>
      <c r="X11" s="20">
        <f>'Default Rankings Import 2020'!$R$8*('Default Rankings'!Y11)^2+'Default Rankings Import 2020'!$S$8*'Default Rankings'!Y11+'Default Rankings Import 2020'!$T$8</f>
        <v>26.686475143158688</v>
      </c>
      <c r="Y11" s="21">
        <f t="array" ref="Y11">INDEX($B$3:$B$400,SMALL(IF($V$2=$E$3:$E$400,ROW($E$3:$E$400)-ROW($E$3)+1),ROW(9:9)))</f>
        <v>111</v>
      </c>
      <c r="AA11" s="12">
        <f t="shared" si="5"/>
        <v>9</v>
      </c>
      <c r="AB11" s="20" t="str">
        <f t="array" ref="AB11">INDEX($C$3:$C$400,SMALL(IF($AA$2=$E$3:$E$400,ROW($E$3:$E$400)-ROW($E$3)+1),ROW(9:9))) &amp; " " &amp; INDEX($D$3:$D$400,SMALL(IF($AA$2=$E$3:$E$400,ROW($E$3:$E$400)-ROW($E$3)+1),ROW(9:9)))</f>
        <v xml:space="preserve">Broncos D/ST </v>
      </c>
      <c r="AC11" s="20">
        <f>'Default Rankings Import 2020'!$R$9*('Default Rankings'!AD11)^2+'Default Rankings Import 2020'!$S$9*'Default Rankings'!AD11+'Default Rankings Import 2020'!$T$9</f>
        <v>27.231240709571725</v>
      </c>
      <c r="AD11" s="21">
        <f t="array" ref="AD11">INDEX($B$3:$B$400,SMALL(IF($AA$2=$E$3:$E$400,ROW($E$3:$E$400)-ROW($E$3)+1),ROW(9:9)))</f>
        <v>178</v>
      </c>
      <c r="AF11" s="12">
        <f t="shared" si="6"/>
        <v>9</v>
      </c>
      <c r="AG11" s="20" t="str">
        <f t="array" ref="AG11">INDEX($C$3:$C$400,SMALL(IF($AF$2=$E$3:$E$400,ROW($E$3:$E$400)-ROW($E$3)+1),ROW(9:9))) &amp; " " &amp; INDEX($D$3:$D$400,SMALL(IF($AF$2=$E$3:$E$400,ROW($E$3:$E$400)-ROW($E$3)+1),ROW(9:9)))</f>
        <v>Jake Elliott PHI</v>
      </c>
      <c r="AH11" s="20">
        <f>'Default Rankings Import 2020'!$R$10*('Default Rankings'!AI11)^2+'Default Rankings Import 2020'!$S$10*'Default Rankings'!AI11+'Default Rankings Import 2020'!$T$10</f>
        <v>23.334771907484509</v>
      </c>
      <c r="AI11" s="21">
        <f t="array" ref="AI11">INDEX($B$3:$B$400,SMALL(IF($AF$2=$E$3:$E$400,ROW($E$3:$E$400)-ROW($E$3)+1),ROW(9:9)))</f>
        <v>190</v>
      </c>
    </row>
    <row r="12" spans="2:35" x14ac:dyDescent="0.35">
      <c r="B12" s="12">
        <f t="shared" si="0"/>
        <v>10</v>
      </c>
      <c r="C12" s="20" t="str">
        <f>'Default Rankings Import 2020'!D11</f>
        <v>Josh Jacobs</v>
      </c>
      <c r="D12" s="20" t="str">
        <f>'Default Rankings Import 2020'!E11</f>
        <v>LV</v>
      </c>
      <c r="E12" s="21" t="str">
        <f>IF(LEFT('Default Rankings Import 2020'!F11,1)="D",LEFT('Default Rankings Import 2020'!F11,3),IF(LEFT('Default Rankings Import 2020'!F11,1)="K",LEFT('Default Rankings Import 2020'!F11,1),LEFT('Default Rankings Import 2020'!F11,2)))</f>
        <v>RB</v>
      </c>
      <c r="G12" s="12">
        <f t="shared" si="1"/>
        <v>10</v>
      </c>
      <c r="H12" s="20" t="str">
        <f t="array" ref="H12">INDEX($C$3:$C$400,SMALL(IF($G$2=$E$3:$E$400,ROW($E$3:$E$400)-ROW($E$3)+1),ROW(10:10))) &amp; " " &amp; INDEX($D$3:$D$400,SMALL(IF($G$2=$E$3:$E$400,ROW($E$3:$E$400)-ROW($E$3)+1),ROW(10:10)))</f>
        <v>Josh Allen BUF</v>
      </c>
      <c r="I12" s="100">
        <f>'Default Rankings Import 2020'!$R$5*('Default Rankings'!J12)^2+'Default Rankings Import 2020'!$S$5*'Default Rankings'!J12+'Default Rankings Import 2020'!$T$5</f>
        <v>21.264357014079927</v>
      </c>
      <c r="J12" s="21">
        <f t="array" ref="J12">_xlfn.NUMBERVALUE(INDEX($B$3:$B$400,SMALL(IF($G$2=$E$3:$E$400,ROW($E$3:$E$400)-ROW($E$3)+1),ROW(10:10))))</f>
        <v>119</v>
      </c>
      <c r="L12" s="12">
        <f t="shared" si="2"/>
        <v>10</v>
      </c>
      <c r="M12" s="20" t="str">
        <f t="array" ref="M12">INDEX($C$3:$C$400,SMALL(IF($L$2=$E$3:$E$400,ROW($E$3:$E$400)-ROW($E$3)+1),ROW(10:10))) &amp; " " &amp; INDEX($D$3:$D$400,SMALL(IF($L$2=$E$3:$E$400,ROW($E$3:$E$400)-ROW($E$3)+1),ROW(10:10)))</f>
        <v>Nick Chubb CLE</v>
      </c>
      <c r="N12" s="20">
        <f>'Default Rankings Import 2020'!$R$6*('Default Rankings'!O12)^2+'Default Rankings Import 2020'!$S$6*'Default Rankings'!O12+'Default Rankings Import 2020'!$T$6</f>
        <v>3.7303708246478187</v>
      </c>
      <c r="O12" s="49">
        <f t="array" ref="O12">INDEX($B$3:$B$400,SMALL(IF($L$2=$E$3:$E$400,ROW($E$3:$E$400)-ROW($E$3)+1),ROW(10:10)))</f>
        <v>11</v>
      </c>
      <c r="Q12" s="12">
        <f t="shared" si="3"/>
        <v>10</v>
      </c>
      <c r="R12" s="20" t="str">
        <f t="array" ref="R12">INDEX($C$3:$C$400,SMALL(IF($Q$2=$E$3:$E$400,ROW($E$3:$E$400)-ROW($E$3)+1),ROW(10:10))) &amp; " " &amp; INDEX($D$3:$D$400,SMALL(IF($Q$2=$E$3:$E$400,ROW($E$3:$E$400)-ROW($E$3)+1),ROW(10:10)))</f>
        <v>Adam Thielen MIN</v>
      </c>
      <c r="S12" s="20">
        <f>'Default Rankings Import 2020'!$R$7*('Default Rankings'!T12)^2+'Default Rankings Import 2020'!$S$7*'Default Rankings'!T12+'Default Rankings Import 2020'!$T$7</f>
        <v>7.0254108945996911</v>
      </c>
      <c r="T12" s="21">
        <f t="array" ref="T12">INDEX($B$3:$B$400,SMALL(IF($Q$2=$E$3:$E$400,ROW($E$3:$E$400)-ROW($E$3)+1),ROW(10:10)))</f>
        <v>26</v>
      </c>
      <c r="V12" s="12">
        <f t="shared" si="4"/>
        <v>10</v>
      </c>
      <c r="W12" s="20" t="str">
        <f t="array" ref="W12">INDEX($C$3:$C$400,SMALL(IF($V$2=$E$3:$E$400,ROW($E$3:$E$400)-ROW($E$3)+1),ROW(10:10))) &amp; " " &amp; INDEX($D$3:$D$400,SMALL(IF($V$2=$E$3:$E$400,ROW($E$3:$E$400)-ROW($E$3)+1),ROW(10:10)))</f>
        <v>Rob Gronkowski TB</v>
      </c>
      <c r="X12" s="20">
        <f>'Default Rankings Import 2020'!$R$8*('Default Rankings'!Y12)^2+'Default Rankings Import 2020'!$S$8*'Default Rankings'!Y12+'Default Rankings Import 2020'!$T$8</f>
        <v>26.823890228468848</v>
      </c>
      <c r="Y12" s="21">
        <f t="array" ref="Y12">INDEX($B$3:$B$400,SMALL(IF($V$2=$E$3:$E$400,ROW($E$3:$E$400)-ROW($E$3)+1),ROW(10:10)))</f>
        <v>112</v>
      </c>
      <c r="AA12" s="12">
        <f t="shared" si="5"/>
        <v>10</v>
      </c>
      <c r="AB12" s="20" t="str">
        <f t="array" ref="AB12">INDEX($C$3:$C$400,SMALL(IF($AA$2=$E$3:$E$400,ROW($E$3:$E$400)-ROW($E$3)+1),ROW(10:10))) &amp; " " &amp; INDEX($D$3:$D$400,SMALL(IF($AA$2=$E$3:$E$400,ROW($E$3:$E$400)-ROW($E$3)+1),ROW(10:10)))</f>
        <v xml:space="preserve">Saints D/ST </v>
      </c>
      <c r="AC12" s="20">
        <f>'Default Rankings Import 2020'!$R$9*('Default Rankings'!AD12)^2+'Default Rankings Import 2020'!$S$9*'Default Rankings'!AD12+'Default Rankings Import 2020'!$T$9</f>
        <v>27.344772931889899</v>
      </c>
      <c r="AD12" s="21">
        <f t="array" ref="AD12">INDEX($B$3:$B$400,SMALL(IF($AA$2=$E$3:$E$400,ROW($E$3:$E$400)-ROW($E$3)+1),ROW(10:10)))</f>
        <v>179</v>
      </c>
      <c r="AF12" s="12">
        <f t="shared" si="6"/>
        <v>10</v>
      </c>
      <c r="AG12" s="20" t="str">
        <f t="array" ref="AG12">INDEX($C$3:$C$400,SMALL(IF($AF$2=$E$3:$E$400,ROW($E$3:$E$400)-ROW($E$3)+1),ROW(10:10))) &amp; " " &amp; INDEX($D$3:$D$400,SMALL(IF($AF$2=$E$3:$E$400,ROW($E$3:$E$400)-ROW($E$3)+1),ROW(10:10)))</f>
        <v>Austin Seibert CLE</v>
      </c>
      <c r="AH12" s="20">
        <f>'Default Rankings Import 2020'!$R$10*('Default Rankings'!AI12)^2+'Default Rankings Import 2020'!$S$10*'Default Rankings'!AI12+'Default Rankings Import 2020'!$T$10</f>
        <v>23.443670594937373</v>
      </c>
      <c r="AI12" s="21">
        <f t="array" ref="AI12">INDEX($B$3:$B$400,SMALL(IF($AF$2=$E$3:$E$400,ROW($E$3:$E$400)-ROW($E$3)+1),ROW(10:10)))</f>
        <v>191</v>
      </c>
    </row>
    <row r="13" spans="2:35" x14ac:dyDescent="0.35">
      <c r="B13" s="12">
        <f t="shared" si="0"/>
        <v>11</v>
      </c>
      <c r="C13" s="20" t="str">
        <f>'Default Rankings Import 2020'!D12</f>
        <v>Nick Chubb</v>
      </c>
      <c r="D13" s="20" t="str">
        <f>'Default Rankings Import 2020'!E12</f>
        <v>CLE</v>
      </c>
      <c r="E13" s="21" t="str">
        <f>IF(LEFT('Default Rankings Import 2020'!F12,1)="D",LEFT('Default Rankings Import 2020'!F12,3),IF(LEFT('Default Rankings Import 2020'!F12,1)="K",LEFT('Default Rankings Import 2020'!F12,1),LEFT('Default Rankings Import 2020'!F12,2)))</f>
        <v>RB</v>
      </c>
      <c r="G13" s="12">
        <f t="shared" si="1"/>
        <v>11</v>
      </c>
      <c r="H13" s="20" t="str">
        <f t="array" ref="H13">INDEX($C$3:$C$400,SMALL(IF($G$2=$E$3:$E$400,ROW($E$3:$E$400)-ROW($E$3)+1),ROW(11:11))) &amp; " " &amp; INDEX($D$3:$D$400,SMALL(IF($G$2=$E$3:$E$400,ROW($E$3:$E$400)-ROW($E$3)+1),ROW(11:11)))</f>
        <v>Drew Brees NO</v>
      </c>
      <c r="I13" s="100">
        <f>'Default Rankings Import 2020'!$R$5*('Default Rankings'!J13)^2+'Default Rankings Import 2020'!$S$5*'Default Rankings'!J13+'Default Rankings Import 2020'!$T$5</f>
        <v>21.443949203162735</v>
      </c>
      <c r="J13" s="21">
        <f t="array" ref="J13">_xlfn.NUMBERVALUE(INDEX($B$3:$B$400,SMALL(IF($G$2=$E$3:$E$400,ROW($E$3:$E$400)-ROW($E$3)+1),ROW(11:11))))</f>
        <v>120</v>
      </c>
      <c r="L13" s="12">
        <f t="shared" si="2"/>
        <v>11</v>
      </c>
      <c r="M13" s="20" t="str">
        <f t="array" ref="M13">INDEX($C$3:$C$400,SMALL(IF($L$2=$E$3:$E$400,ROW($E$3:$E$400)-ROW($E$3)+1),ROW(11:11))) &amp; " " &amp; INDEX($D$3:$D$400,SMALL(IF($L$2=$E$3:$E$400,ROW($E$3:$E$400)-ROW($E$3)+1),ROW(11:11)))</f>
        <v>Joe Mixon CIN</v>
      </c>
      <c r="N13" s="20">
        <f>'Default Rankings Import 2020'!$R$6*('Default Rankings'!O13)^2+'Default Rankings Import 2020'!$S$6*'Default Rankings'!O13+'Default Rankings Import 2020'!$T$6</f>
        <v>4.0583922591933028</v>
      </c>
      <c r="O13" s="49">
        <f t="array" ref="O13">INDEX($B$3:$B$400,SMALL(IF($L$2=$E$3:$E$400,ROW($E$3:$E$400)-ROW($E$3)+1),ROW(11:11)))</f>
        <v>12</v>
      </c>
      <c r="Q13" s="12">
        <f t="shared" si="3"/>
        <v>11</v>
      </c>
      <c r="R13" s="20" t="str">
        <f t="array" ref="R13">INDEX($C$3:$C$400,SMALL(IF($Q$2=$E$3:$E$400,ROW($E$3:$E$400)-ROW($E$3)+1),ROW(11:11))) &amp; " " &amp; INDEX($D$3:$D$400,SMALL(IF($Q$2=$E$3:$E$400,ROW($E$3:$E$400)-ROW($E$3)+1),ROW(11:11)))</f>
        <v>Amari Cooper DAL</v>
      </c>
      <c r="S13" s="20">
        <f>'Default Rankings Import 2020'!$R$7*('Default Rankings'!T13)^2+'Default Rankings Import 2020'!$S$7*'Default Rankings'!T13+'Default Rankings Import 2020'!$T$7</f>
        <v>7.2823455788594949</v>
      </c>
      <c r="T13" s="21">
        <f t="array" ref="T13">INDEX($B$3:$B$400,SMALL(IF($Q$2=$E$3:$E$400,ROW($E$3:$E$400)-ROW($E$3)+1),ROW(11:11)))</f>
        <v>27</v>
      </c>
      <c r="V13" s="12">
        <f t="shared" si="4"/>
        <v>11</v>
      </c>
      <c r="W13" s="20" t="str">
        <f t="array" ref="W13">INDEX($C$3:$C$400,SMALL(IF($V$2=$E$3:$E$400,ROW($E$3:$E$400)-ROW($E$3)+1),ROW(11:11))) &amp; " " &amp; INDEX($D$3:$D$400,SMALL(IF($V$2=$E$3:$E$400,ROW($E$3:$E$400)-ROW($E$3)+1),ROW(11:11)))</f>
        <v>Noah Fant DEN</v>
      </c>
      <c r="X13" s="20">
        <f>'Default Rankings Import 2020'!$R$8*('Default Rankings'!Y13)^2+'Default Rankings Import 2020'!$S$8*'Default Rankings'!Y13+'Default Rankings Import 2020'!$T$8</f>
        <v>26.959458239915143</v>
      </c>
      <c r="Y13" s="21">
        <f t="array" ref="Y13">INDEX($B$3:$B$400,SMALL(IF($V$2=$E$3:$E$400,ROW($E$3:$E$400)-ROW($E$3)+1),ROW(11:11)))</f>
        <v>113</v>
      </c>
      <c r="AA13" s="12">
        <f t="shared" si="5"/>
        <v>11</v>
      </c>
      <c r="AB13" s="20" t="str">
        <f t="array" ref="AB13">INDEX($C$3:$C$400,SMALL(IF($AA$2=$E$3:$E$400,ROW($E$3:$E$400)-ROW($E$3)+1),ROW(11:11))) &amp; " " &amp; INDEX($D$3:$D$400,SMALL(IF($AA$2=$E$3:$E$400,ROW($E$3:$E$400)-ROW($E$3)+1),ROW(11:11)))</f>
        <v xml:space="preserve">Buccaneers D/ST </v>
      </c>
      <c r="AC13" s="20">
        <f>'Default Rankings Import 2020'!$R$9*('Default Rankings'!AD13)^2+'Default Rankings Import 2020'!$S$9*'Default Rankings'!AD13+'Default Rankings Import 2020'!$T$9</f>
        <v>27.457864131566769</v>
      </c>
      <c r="AD13" s="21">
        <f t="array" ref="AD13">INDEX($B$3:$B$400,SMALL(IF($AA$2=$E$3:$E$400,ROW($E$3:$E$400)-ROW($E$3)+1),ROW(11:11)))</f>
        <v>180</v>
      </c>
      <c r="AF13" s="12">
        <f t="shared" si="6"/>
        <v>11</v>
      </c>
      <c r="AG13" s="20" t="str">
        <f t="array" ref="AG13">INDEX($C$3:$C$400,SMALL(IF($AF$2=$E$3:$E$400,ROW($E$3:$E$400)-ROW($E$3)+1),ROW(11:11))) &amp; " " &amp; INDEX($D$3:$D$400,SMALL(IF($AF$2=$E$3:$E$400,ROW($E$3:$E$400)-ROW($E$3)+1),ROW(11:11)))</f>
        <v>Ka'imi Fairbairn HOU</v>
      </c>
      <c r="AH13" s="20">
        <f>'Default Rankings Import 2020'!$R$10*('Default Rankings'!AI13)^2+'Default Rankings Import 2020'!$S$10*'Default Rankings'!AI13+'Default Rankings Import 2020'!$T$10</f>
        <v>23.552423596169948</v>
      </c>
      <c r="AI13" s="21">
        <f t="array" ref="AI13">INDEX($B$3:$B$400,SMALL(IF($AF$2=$E$3:$E$400,ROW($E$3:$E$400)-ROW($E$3)+1),ROW(11:11)))</f>
        <v>192</v>
      </c>
    </row>
    <row r="14" spans="2:35" x14ac:dyDescent="0.35">
      <c r="B14" s="12">
        <f t="shared" si="0"/>
        <v>12</v>
      </c>
      <c r="C14" s="20" t="str">
        <f>'Default Rankings Import 2020'!D13</f>
        <v>Joe Mixon</v>
      </c>
      <c r="D14" s="20" t="str">
        <f>'Default Rankings Import 2020'!E13</f>
        <v>CIN</v>
      </c>
      <c r="E14" s="21" t="str">
        <f>IF(LEFT('Default Rankings Import 2020'!F13,1)="D",LEFT('Default Rankings Import 2020'!F13,3),IF(LEFT('Default Rankings Import 2020'!F13,1)="K",LEFT('Default Rankings Import 2020'!F13,1),LEFT('Default Rankings Import 2020'!F13,2)))</f>
        <v>RB</v>
      </c>
      <c r="G14" s="12">
        <f t="shared" si="1"/>
        <v>12</v>
      </c>
      <c r="H14" s="20" t="str">
        <f t="array" ref="H14">INDEX($C$3:$C$400,SMALL(IF($G$2=$E$3:$E$400,ROW($E$3:$E$400)-ROW($E$3)+1),ROW(12:12))) &amp; " " &amp; INDEX($D$3:$D$400,SMALL(IF($G$2=$E$3:$E$400,ROW($E$3:$E$400)-ROW($E$3)+1),ROW(12:12)))</f>
        <v>Matthew Stafford DET</v>
      </c>
      <c r="I14" s="100">
        <f>'Default Rankings Import 2020'!$R$5*('Default Rankings'!J14)^2+'Default Rankings Import 2020'!$S$5*'Default Rankings'!J14+'Default Rankings Import 2020'!$T$5</f>
        <v>21.623559737360175</v>
      </c>
      <c r="J14" s="21">
        <f t="array" ref="J14">_xlfn.NUMBERVALUE(INDEX($B$3:$B$400,SMALL(IF($G$2=$E$3:$E$400,ROW($E$3:$E$400)-ROW($E$3)+1),ROW(12:12))))</f>
        <v>121</v>
      </c>
      <c r="L14" s="12">
        <f t="shared" si="2"/>
        <v>12</v>
      </c>
      <c r="M14" s="20" t="str">
        <f t="array" ref="M14">INDEX($C$3:$C$400,SMALL(IF($L$2=$E$3:$E$400,ROW($E$3:$E$400)-ROW($E$3)+1),ROW(12:12))) &amp; " " &amp; INDEX($D$3:$D$400,SMALL(IF($L$2=$E$3:$E$400,ROW($E$3:$E$400)-ROW($E$3)+1),ROW(12:12)))</f>
        <v>Kenyan Drake ARI</v>
      </c>
      <c r="N14" s="20">
        <f>'Default Rankings Import 2020'!$R$6*('Default Rankings'!O14)^2+'Default Rankings Import 2020'!$S$6*'Default Rankings'!O14+'Default Rankings Import 2020'!$T$6</f>
        <v>4.3849931012097239</v>
      </c>
      <c r="O14" s="49">
        <f t="array" ref="O14">INDEX($B$3:$B$400,SMALL(IF($L$2=$E$3:$E$400,ROW($E$3:$E$400)-ROW($E$3)+1),ROW(12:12)))</f>
        <v>13</v>
      </c>
      <c r="Q14" s="12">
        <f t="shared" si="3"/>
        <v>12</v>
      </c>
      <c r="R14" s="20" t="str">
        <f t="array" ref="R14">INDEX($C$3:$C$400,SMALL(IF($Q$2=$E$3:$E$400,ROW($E$3:$E$400)-ROW($E$3)+1),ROW(12:12))) &amp; " " &amp; INDEX($D$3:$D$400,SMALL(IF($Q$2=$E$3:$E$400,ROW($E$3:$E$400)-ROW($E$3)+1),ROW(12:12)))</f>
        <v>Allen Robinson II CHI</v>
      </c>
      <c r="S14" s="20">
        <f>'Default Rankings Import 2020'!$R$7*('Default Rankings'!T14)^2+'Default Rankings Import 2020'!$S$7*'Default Rankings'!T14+'Default Rankings Import 2020'!$T$7</f>
        <v>7.5380305052030447</v>
      </c>
      <c r="T14" s="21">
        <f t="array" ref="T14">INDEX($B$3:$B$400,SMALL(IF($Q$2=$E$3:$E$400,ROW($E$3:$E$400)-ROW($E$3)+1),ROW(12:12)))</f>
        <v>28</v>
      </c>
      <c r="V14" s="12">
        <f t="shared" si="4"/>
        <v>12</v>
      </c>
      <c r="W14" s="20" t="str">
        <f t="array" ref="W14">INDEX($C$3:$C$400,SMALL(IF($V$2=$E$3:$E$400,ROW($E$3:$E$400)-ROW($E$3)+1),ROW(12:12))) &amp; " " &amp; INDEX($D$3:$D$400,SMALL(IF($V$2=$E$3:$E$400,ROW($E$3:$E$400)-ROW($E$3)+1),ROW(12:12)))</f>
        <v>Hayden Hurst ATL</v>
      </c>
      <c r="X14" s="20">
        <f>'Default Rankings Import 2020'!$R$8*('Default Rankings'!Y14)^2+'Default Rankings Import 2020'!$S$8*'Default Rankings'!Y14+'Default Rankings Import 2020'!$T$8</f>
        <v>27.093179177497554</v>
      </c>
      <c r="Y14" s="21">
        <f t="array" ref="Y14">INDEX($B$3:$B$400,SMALL(IF($V$2=$E$3:$E$400,ROW($E$3:$E$400)-ROW($E$3)+1),ROW(12:12)))</f>
        <v>114</v>
      </c>
      <c r="AA14" s="12">
        <f t="shared" si="5"/>
        <v>12</v>
      </c>
      <c r="AB14" s="20" t="str">
        <f t="array" ref="AB14">INDEX($C$3:$C$400,SMALL(IF($AA$2=$E$3:$E$400,ROW($E$3:$E$400)-ROW($E$3)+1),ROW(12:12))) &amp; " " &amp; INDEX($D$3:$D$400,SMALL(IF($AA$2=$E$3:$E$400,ROW($E$3:$E$400)-ROW($E$3)+1),ROW(12:12)))</f>
        <v xml:space="preserve">Chargers D/ST </v>
      </c>
      <c r="AC14" s="20">
        <f>'Default Rankings Import 2020'!$R$9*('Default Rankings'!AD14)^2+'Default Rankings Import 2020'!$S$9*'Default Rankings'!AD14+'Default Rankings Import 2020'!$T$9</f>
        <v>27.570514308602341</v>
      </c>
      <c r="AD14" s="21">
        <f t="array" ref="AD14">INDEX($B$3:$B$400,SMALL(IF($AA$2=$E$3:$E$400,ROW($E$3:$E$400)-ROW($E$3)+1),ROW(12:12)))</f>
        <v>181</v>
      </c>
      <c r="AF14" s="12">
        <f t="shared" si="6"/>
        <v>12</v>
      </c>
      <c r="AG14" s="20" t="str">
        <f t="array" ref="AG14">INDEX($C$3:$C$400,SMALL(IF($AF$2=$E$3:$E$400,ROW($E$3:$E$400)-ROW($E$3)+1),ROW(12:12))) &amp; " " &amp; INDEX($D$3:$D$400,SMALL(IF($AF$2=$E$3:$E$400,ROW($E$3:$E$400)-ROW($E$3)+1),ROW(12:12)))</f>
        <v>Brandon McManus DEN</v>
      </c>
      <c r="AH14" s="20">
        <f>'Default Rankings Import 2020'!$R$10*('Default Rankings'!AI14)^2+'Default Rankings Import 2020'!$S$10*'Default Rankings'!AI14+'Default Rankings Import 2020'!$T$10</f>
        <v>26.955597311300689</v>
      </c>
      <c r="AI14" s="21">
        <f t="array" ref="AI14">INDEX($B$3:$B$400,SMALL(IF($AF$2=$E$3:$E$400,ROW($E$3:$E$400)-ROW($E$3)+1),ROW(12:12)))</f>
        <v>224</v>
      </c>
    </row>
    <row r="15" spans="2:35" x14ac:dyDescent="0.35">
      <c r="B15" s="12">
        <f t="shared" si="0"/>
        <v>13</v>
      </c>
      <c r="C15" s="20" t="str">
        <f>'Default Rankings Import 2020'!D14</f>
        <v>Kenyan Drake</v>
      </c>
      <c r="D15" s="20" t="str">
        <f>'Default Rankings Import 2020'!E14</f>
        <v>ARI</v>
      </c>
      <c r="E15" s="21" t="str">
        <f>IF(LEFT('Default Rankings Import 2020'!F14,1)="D",LEFT('Default Rankings Import 2020'!F14,3),IF(LEFT('Default Rankings Import 2020'!F14,1)="K",LEFT('Default Rankings Import 2020'!F14,1),LEFT('Default Rankings Import 2020'!F14,2)))</f>
        <v>RB</v>
      </c>
      <c r="G15" s="12">
        <f t="shared" si="1"/>
        <v>13</v>
      </c>
      <c r="H15" s="20" t="str">
        <f t="array" ref="H15">INDEX($C$3:$C$400,SMALL(IF($G$2=$E$3:$E$400,ROW($E$3:$E$400)-ROW($E$3)+1),ROW(13:13))) &amp; " " &amp; INDEX($D$3:$D$400,SMALL(IF($G$2=$E$3:$E$400,ROW($E$3:$E$400)-ROW($E$3)+1),ROW(13:13)))</f>
        <v>Aaron Rodgers GB</v>
      </c>
      <c r="I15" s="100">
        <f>'Default Rankings Import 2020'!$R$5*('Default Rankings'!J15)^2+'Default Rankings Import 2020'!$S$5*'Default Rankings'!J15+'Default Rankings Import 2020'!$T$5</f>
        <v>21.803188616672241</v>
      </c>
      <c r="J15" s="21">
        <f t="array" ref="J15">_xlfn.NUMBERVALUE(INDEX($B$3:$B$400,SMALL(IF($G$2=$E$3:$E$400,ROW($E$3:$E$400)-ROW($E$3)+1),ROW(13:13))))</f>
        <v>122</v>
      </c>
      <c r="L15" s="12">
        <f t="shared" si="2"/>
        <v>13</v>
      </c>
      <c r="M15" s="20" t="str">
        <f t="array" ref="M15">INDEX($C$3:$C$400,SMALL(IF($L$2=$E$3:$E$400,ROW($E$3:$E$400)-ROW($E$3)+1),ROW(13:13))) &amp; " " &amp; INDEX($D$3:$D$400,SMALL(IF($L$2=$E$3:$E$400,ROW($E$3:$E$400)-ROW($E$3)+1),ROW(13:13)))</f>
        <v>Aaron Jones GB</v>
      </c>
      <c r="N15" s="20">
        <f>'Default Rankings Import 2020'!$R$6*('Default Rankings'!O15)^2+'Default Rankings Import 2020'!$S$6*'Default Rankings'!O15+'Default Rankings Import 2020'!$T$6</f>
        <v>4.710173350697084</v>
      </c>
      <c r="O15" s="49">
        <f t="array" ref="O15">INDEX($B$3:$B$400,SMALL(IF($L$2=$E$3:$E$400,ROW($E$3:$E$400)-ROW($E$3)+1),ROW(13:13)))</f>
        <v>14</v>
      </c>
      <c r="Q15" s="12">
        <f t="shared" si="3"/>
        <v>13</v>
      </c>
      <c r="R15" s="20" t="str">
        <f t="array" ref="R15">INDEX($C$3:$C$400,SMALL(IF($Q$2=$E$3:$E$400,ROW($E$3:$E$400)-ROW($E$3)+1),ROW(13:13))) &amp; " " &amp; INDEX($D$3:$D$400,SMALL(IF($Q$2=$E$3:$E$400,ROW($E$3:$E$400)-ROW($E$3)+1),ROW(13:13)))</f>
        <v>Odell Beckham Jr. CLE</v>
      </c>
      <c r="S15" s="20">
        <f>'Default Rankings Import 2020'!$R$7*('Default Rankings'!T15)^2+'Default Rankings Import 2020'!$S$7*'Default Rankings'!T15+'Default Rankings Import 2020'!$T$7</f>
        <v>7.792465673630339</v>
      </c>
      <c r="T15" s="21">
        <f t="array" ref="T15">INDEX($B$3:$B$400,SMALL(IF($Q$2=$E$3:$E$400,ROW($E$3:$E$400)-ROW($E$3)+1),ROW(13:13)))</f>
        <v>29</v>
      </c>
      <c r="V15" s="12">
        <f t="shared" si="4"/>
        <v>13</v>
      </c>
      <c r="W15" s="20" t="str">
        <f t="array" ref="W15">INDEX($C$3:$C$400,SMALL(IF($V$2=$E$3:$E$400,ROW($E$3:$E$400)-ROW($E$3)+1),ROW(13:13))) &amp; " " &amp; INDEX($D$3:$D$400,SMALL(IF($V$2=$E$3:$E$400,ROW($E$3:$E$400)-ROW($E$3)+1),ROW(13:13)))</f>
        <v>T.J. Hockenson DET</v>
      </c>
      <c r="X15" s="20">
        <f>'Default Rankings Import 2020'!$R$8*('Default Rankings'!Y15)^2+'Default Rankings Import 2020'!$S$8*'Default Rankings'!Y15+'Default Rankings Import 2020'!$T$8</f>
        <v>27.225053041216086</v>
      </c>
      <c r="Y15" s="21">
        <f t="array" ref="Y15">INDEX($B$3:$B$400,SMALL(IF($V$2=$E$3:$E$400,ROW($E$3:$E$400)-ROW($E$3)+1),ROW(13:13)))</f>
        <v>115</v>
      </c>
      <c r="AA15" s="12">
        <f t="shared" si="5"/>
        <v>13</v>
      </c>
      <c r="AB15" s="20" t="str">
        <f t="array" ref="AB15">INDEX($C$3:$C$400,SMALL(IF($AA$2=$E$3:$E$400,ROW($E$3:$E$400)-ROW($E$3)+1),ROW(13:13))) &amp; " " &amp; INDEX($D$3:$D$400,SMALL(IF($AA$2=$E$3:$E$400,ROW($E$3:$E$400)-ROW($E$3)+1),ROW(13:13)))</f>
        <v xml:space="preserve">Cowboys D/ST </v>
      </c>
      <c r="AC15" s="20">
        <f>'Default Rankings Import 2020'!$R$9*('Default Rankings'!AD15)^2+'Default Rankings Import 2020'!$S$9*'Default Rankings'!AD15+'Default Rankings Import 2020'!$T$9</f>
        <v>31.809451072902085</v>
      </c>
      <c r="AD15" s="21">
        <f t="array" ref="AD15">INDEX($B$3:$B$400,SMALL(IF($AA$2=$E$3:$E$400,ROW($E$3:$E$400)-ROW($E$3)+1),ROW(13:13)))</f>
        <v>222</v>
      </c>
      <c r="AF15" s="12">
        <f t="shared" si="6"/>
        <v>13</v>
      </c>
      <c r="AG15" s="20" t="str">
        <f t="array" ref="AG15">INDEX($C$3:$C$400,SMALL(IF($AF$2=$E$3:$E$400,ROW($E$3:$E$400)-ROW($E$3)+1),ROW(13:13))) &amp; " " &amp; INDEX($D$3:$D$400,SMALL(IF($AF$2=$E$3:$E$400,ROW($E$3:$E$400)-ROW($E$3)+1),ROW(13:13)))</f>
        <v>Chase McLaughlin IND</v>
      </c>
      <c r="AH15" s="20">
        <f>'Default Rankings Import 2020'!$R$10*('Default Rankings'!AI15)^2+'Default Rankings Import 2020'!$S$10*'Default Rankings'!AI15+'Default Rankings Import 2020'!$T$10</f>
        <v>27.059542667263788</v>
      </c>
      <c r="AI15" s="21">
        <f t="array" ref="AI15">INDEX($B$3:$B$400,SMALL(IF($AF$2=$E$3:$E$400,ROW($E$3:$E$400)-ROW($E$3)+1),ROW(13:13)))</f>
        <v>225</v>
      </c>
    </row>
    <row r="16" spans="2:35" x14ac:dyDescent="0.35">
      <c r="B16" s="12">
        <f t="shared" si="0"/>
        <v>14</v>
      </c>
      <c r="C16" s="20" t="str">
        <f>'Default Rankings Import 2020'!D15</f>
        <v>Aaron Jones</v>
      </c>
      <c r="D16" s="20" t="str">
        <f>'Default Rankings Import 2020'!E15</f>
        <v>GB</v>
      </c>
      <c r="E16" s="21" t="str">
        <f>IF(LEFT('Default Rankings Import 2020'!F15,1)="D",LEFT('Default Rankings Import 2020'!F15,3),IF(LEFT('Default Rankings Import 2020'!F15,1)="K",LEFT('Default Rankings Import 2020'!F15,1),LEFT('Default Rankings Import 2020'!F15,2)))</f>
        <v>RB</v>
      </c>
      <c r="G16" s="12">
        <f t="shared" si="1"/>
        <v>14</v>
      </c>
      <c r="H16" s="20" t="str">
        <f t="array" ref="H16">INDEX($C$3:$C$400,SMALL(IF($G$2=$E$3:$E$400,ROW($E$3:$E$400)-ROW($E$3)+1),ROW(14:14))) &amp; " " &amp; INDEX($D$3:$D$400,SMALL(IF($G$2=$E$3:$E$400,ROW($E$3:$E$400)-ROW($E$3)+1),ROW(14:14)))</f>
        <v>Daniel Jones NYG</v>
      </c>
      <c r="I16" s="100">
        <f>'Default Rankings Import 2020'!$R$5*('Default Rankings'!J16)^2+'Default Rankings Import 2020'!$S$5*'Default Rankings'!J16+'Default Rankings Import 2020'!$T$5</f>
        <v>24.499823220108468</v>
      </c>
      <c r="J16" s="21">
        <f t="array" ref="J16">_xlfn.NUMBERVALUE(INDEX($B$3:$B$400,SMALL(IF($G$2=$E$3:$E$400,ROW($E$3:$E$400)-ROW($E$3)+1),ROW(14:14))))</f>
        <v>137</v>
      </c>
      <c r="L16" s="12">
        <f t="shared" si="2"/>
        <v>14</v>
      </c>
      <c r="M16" s="20" t="str">
        <f t="array" ref="M16">INDEX($C$3:$C$400,SMALL(IF($L$2=$E$3:$E$400,ROW($E$3:$E$400)-ROW($E$3)+1),ROW(14:14))) &amp; " " &amp; INDEX($D$3:$D$400,SMALL(IF($L$2=$E$3:$E$400,ROW($E$3:$E$400)-ROW($E$3)+1),ROW(14:14)))</f>
        <v>Austin Ekeler LAC</v>
      </c>
      <c r="N16" s="20">
        <f>'Default Rankings Import 2020'!$R$6*('Default Rankings'!O16)^2+'Default Rankings Import 2020'!$S$6*'Default Rankings'!O16+'Default Rankings Import 2020'!$T$6</f>
        <v>5.0339330076553823</v>
      </c>
      <c r="O16" s="49">
        <f t="array" ref="O16">INDEX($B$3:$B$400,SMALL(IF($L$2=$E$3:$E$400,ROW($E$3:$E$400)-ROW($E$3)+1),ROW(14:14)))</f>
        <v>15</v>
      </c>
      <c r="Q16" s="12">
        <f t="shared" si="3"/>
        <v>14</v>
      </c>
      <c r="R16" s="20" t="str">
        <f t="array" ref="R16">INDEX($C$3:$C$400,SMALL(IF($Q$2=$E$3:$E$400,ROW($E$3:$E$400)-ROW($E$3)+1),ROW(14:14))) &amp; " " &amp; INDEX($D$3:$D$400,SMALL(IF($Q$2=$E$3:$E$400,ROW($E$3:$E$400)-ROW($E$3)+1),ROW(14:14)))</f>
        <v>JuJu Smith-Schuster PIT</v>
      </c>
      <c r="S16" s="20">
        <f>'Default Rankings Import 2020'!$R$7*('Default Rankings'!T16)^2+'Default Rankings Import 2020'!$S$7*'Default Rankings'!T16+'Default Rankings Import 2020'!$T$7</f>
        <v>8.045651084141376</v>
      </c>
      <c r="T16" s="21">
        <f t="array" ref="T16">INDEX($B$3:$B$400,SMALL(IF($Q$2=$E$3:$E$400,ROW($E$3:$E$400)-ROW($E$3)+1),ROW(14:14)))</f>
        <v>30</v>
      </c>
      <c r="V16" s="12">
        <f t="shared" si="4"/>
        <v>14</v>
      </c>
      <c r="W16" s="20" t="str">
        <f t="array" ref="W16">INDEX($C$3:$C$400,SMALL(IF($V$2=$E$3:$E$400,ROW($E$3:$E$400)-ROW($E$3)+1),ROW(14:14))) &amp; " " &amp; INDEX($D$3:$D$400,SMALL(IF($V$2=$E$3:$E$400,ROW($E$3:$E$400)-ROW($E$3)+1),ROW(14:14)))</f>
        <v>Mike Gesicki MIA</v>
      </c>
      <c r="X16" s="20">
        <f>'Default Rankings Import 2020'!$R$8*('Default Rankings'!Y16)^2+'Default Rankings Import 2020'!$S$8*'Default Rankings'!Y16+'Default Rankings Import 2020'!$T$8</f>
        <v>29.379712417731859</v>
      </c>
      <c r="Y16" s="21">
        <f t="array" ref="Y16">INDEX($B$3:$B$400,SMALL(IF($V$2=$E$3:$E$400,ROW($E$3:$E$400)-ROW($E$3)+1),ROW(14:14)))</f>
        <v>134</v>
      </c>
      <c r="AA16" s="12">
        <f t="shared" si="5"/>
        <v>14</v>
      </c>
      <c r="AB16" s="20" t="str">
        <f t="array" ref="AB16">INDEX($C$3:$C$400,SMALL(IF($AA$2=$E$3:$E$400,ROW($E$3:$E$400)-ROW($E$3)+1),ROW(14:14))) &amp; " " &amp; INDEX($D$3:$D$400,SMALL(IF($AA$2=$E$3:$E$400,ROW($E$3:$E$400)-ROW($E$3)+1),ROW(14:14)))</f>
        <v xml:space="preserve">Seahawks D/ST </v>
      </c>
      <c r="AC16" s="20">
        <f>'Default Rankings Import 2020'!$R$9*('Default Rankings'!AD16)^2+'Default Rankings Import 2020'!$S$9*'Default Rankings'!AD16+'Default Rankings Import 2020'!$T$9</f>
        <v>31.903578299003087</v>
      </c>
      <c r="AD16" s="21">
        <f t="array" ref="AD16">INDEX($B$3:$B$400,SMALL(IF($AA$2=$E$3:$E$400,ROW($E$3:$E$400)-ROW($E$3)+1),ROW(14:14)))</f>
        <v>223</v>
      </c>
      <c r="AF16" s="12">
        <f t="shared" si="6"/>
        <v>14</v>
      </c>
      <c r="AG16" s="20" t="str">
        <f t="array" ref="AG16">INDEX($C$3:$C$400,SMALL(IF($AF$2=$E$3:$E$400,ROW($E$3:$E$400)-ROW($E$3)+1),ROW(14:14))) &amp; " " &amp; INDEX($D$3:$D$400,SMALL(IF($AF$2=$E$3:$E$400,ROW($E$3:$E$400)-ROW($E$3)+1),ROW(14:14)))</f>
        <v>Younghoe Koo ATL</v>
      </c>
      <c r="AH16" s="20">
        <f>'Default Rankings Import 2020'!$R$10*('Default Rankings'!AI16)^2+'Default Rankings Import 2020'!$S$10*'Default Rankings'!AI16+'Default Rankings Import 2020'!$T$10</f>
        <v>27.163342337006593</v>
      </c>
      <c r="AI16" s="21">
        <f t="array" ref="AI16">INDEX($B$3:$B$400,SMALL(IF($AF$2=$E$3:$E$400,ROW($E$3:$E$400)-ROW($E$3)+1),ROW(14:14)))</f>
        <v>226</v>
      </c>
    </row>
    <row r="17" spans="2:35" x14ac:dyDescent="0.35">
      <c r="B17" s="12">
        <f t="shared" si="0"/>
        <v>15</v>
      </c>
      <c r="C17" s="20" t="str">
        <f>'Default Rankings Import 2020'!D16</f>
        <v>Austin Ekeler</v>
      </c>
      <c r="D17" s="20" t="str">
        <f>'Default Rankings Import 2020'!E16</f>
        <v>LAC</v>
      </c>
      <c r="E17" s="21" t="str">
        <f>IF(LEFT('Default Rankings Import 2020'!F16,1)="D",LEFT('Default Rankings Import 2020'!F16,3),IF(LEFT('Default Rankings Import 2020'!F16,1)="K",LEFT('Default Rankings Import 2020'!F16,1),LEFT('Default Rankings Import 2020'!F16,2)))</f>
        <v>RB</v>
      </c>
      <c r="G17" s="12">
        <f t="shared" si="1"/>
        <v>15</v>
      </c>
      <c r="H17" s="20" t="str">
        <f t="array" ref="H17">INDEX($C$3:$C$400,SMALL(IF($G$2=$E$3:$E$400,ROW($E$3:$E$400)-ROW($E$3)+1),ROW(15:15))) &amp; " " &amp; INDEX($D$3:$D$400,SMALL(IF($G$2=$E$3:$E$400,ROW($E$3:$E$400)-ROW($E$3)+1),ROW(15:15)))</f>
        <v>Cam Newton NE</v>
      </c>
      <c r="I17" s="100">
        <f>'Default Rankings Import 2020'!$R$5*('Default Rankings'!J17)^2+'Default Rankings Import 2020'!$S$5*'Default Rankings'!J17+'Default Rankings Import 2020'!$T$5</f>
        <v>24.679745621254568</v>
      </c>
      <c r="J17" s="21">
        <f t="array" ref="J17">_xlfn.NUMBERVALUE(INDEX($B$3:$B$400,SMALL(IF($G$2=$E$3:$E$400,ROW($E$3:$E$400)-ROW($E$3)+1),ROW(15:15))))</f>
        <v>138</v>
      </c>
      <c r="L17" s="12">
        <f t="shared" si="2"/>
        <v>15</v>
      </c>
      <c r="M17" s="20" t="str">
        <f t="array" ref="M17">INDEX($C$3:$C$400,SMALL(IF($L$2=$E$3:$E$400,ROW($E$3:$E$400)-ROW($E$3)+1),ROW(15:15))) &amp; " " &amp; INDEX($D$3:$D$400,SMALL(IF($L$2=$E$3:$E$400,ROW($E$3:$E$400)-ROW($E$3)+1),ROW(15:15)))</f>
        <v>Chris Carson SEA</v>
      </c>
      <c r="N17" s="20">
        <f>'Default Rankings Import 2020'!$R$6*('Default Rankings'!O17)^2+'Default Rankings Import 2020'!$S$6*'Default Rankings'!O17+'Default Rankings Import 2020'!$T$6</f>
        <v>12.377987015935997</v>
      </c>
      <c r="O17" s="49">
        <f t="array" ref="O17">INDEX($B$3:$B$400,SMALL(IF($L$2=$E$3:$E$400,ROW($E$3:$E$400)-ROW($E$3)+1),ROW(15:15)))</f>
        <v>39</v>
      </c>
      <c r="Q17" s="12">
        <f t="shared" si="3"/>
        <v>15</v>
      </c>
      <c r="R17" s="20" t="str">
        <f t="array" ref="R17">INDEX($C$3:$C$400,SMALL(IF($Q$2=$E$3:$E$400,ROW($E$3:$E$400)-ROW($E$3)+1),ROW(15:15))) &amp; " " &amp; INDEX($D$3:$D$400,SMALL(IF($Q$2=$E$3:$E$400,ROW($E$3:$E$400)-ROW($E$3)+1),ROW(15:15)))</f>
        <v>Courtland Sutton DEN</v>
      </c>
      <c r="S17" s="20">
        <f>'Default Rankings Import 2020'!$R$7*('Default Rankings'!T17)^2+'Default Rankings Import 2020'!$S$7*'Default Rankings'!T17+'Default Rankings Import 2020'!$T$7</f>
        <v>8.2975867367361609</v>
      </c>
      <c r="T17" s="21">
        <f t="array" ref="T17">INDEX($B$3:$B$400,SMALL(IF($Q$2=$E$3:$E$400,ROW($E$3:$E$400)-ROW($E$3)+1),ROW(15:15)))</f>
        <v>31</v>
      </c>
      <c r="V17" s="12">
        <f t="shared" si="4"/>
        <v>15</v>
      </c>
      <c r="W17" s="20" t="str">
        <f t="array" ref="W17">INDEX($C$3:$C$400,SMALL(IF($V$2=$E$3:$E$400,ROW($E$3:$E$400)-ROW($E$3)+1),ROW(15:15))) &amp; " " &amp; INDEX($D$3:$D$400,SMALL(IF($V$2=$E$3:$E$400,ROW($E$3:$E$400)-ROW($E$3)+1),ROW(15:15)))</f>
        <v>Chris Herndon NYJ</v>
      </c>
      <c r="X17" s="20">
        <f>'Default Rankings Import 2020'!$R$8*('Default Rankings'!Y17)^2+'Default Rankings Import 2020'!$S$8*'Default Rankings'!Y17+'Default Rankings Import 2020'!$T$8</f>
        <v>29.474644804172875</v>
      </c>
      <c r="Y17" s="21">
        <f t="array" ref="Y17">INDEX($B$3:$B$400,SMALL(IF($V$2=$E$3:$E$400,ROW($E$3:$E$400)-ROW($E$3)+1),ROW(15:15)))</f>
        <v>135</v>
      </c>
      <c r="AA17" s="12">
        <f t="shared" si="5"/>
        <v>15</v>
      </c>
      <c r="AB17" s="20" t="str">
        <f t="array" ref="AB17">INDEX($C$3:$C$400,SMALL(IF($AA$2=$E$3:$E$400,ROW($E$3:$E$400)-ROW($E$3)+1),ROW(15:15))) &amp; " " &amp; INDEX($D$3:$D$400,SMALL(IF($AA$2=$E$3:$E$400,ROW($E$3:$E$400)-ROW($E$3)+1),ROW(15:15)))</f>
        <v xml:space="preserve">Titans D/ST </v>
      </c>
      <c r="AC17" s="20">
        <f>'Default Rankings Import 2020'!$R$9*('Default Rankings'!AD17)^2+'Default Rankings Import 2020'!$S$9*'Default Rankings'!AD17+'Default Rankings Import 2020'!$T$9</f>
        <v>34.602775078049632</v>
      </c>
      <c r="AD17" s="21">
        <f t="array" ref="AD17">INDEX($B$3:$B$400,SMALL(IF($AA$2=$E$3:$E$400,ROW($E$3:$E$400)-ROW($E$3)+1),ROW(15:15)))</f>
        <v>254</v>
      </c>
      <c r="AF17" s="12">
        <f t="shared" si="6"/>
        <v>15</v>
      </c>
      <c r="AG17" s="20" t="str">
        <f t="array" ref="AG17">INDEX($C$3:$C$400,SMALL(IF($AF$2=$E$3:$E$400,ROW($E$3:$E$400)-ROW($E$3)+1),ROW(15:15))) &amp; " " &amp; INDEX($D$3:$D$400,SMALL(IF($AF$2=$E$3:$E$400,ROW($E$3:$E$400)-ROW($E$3)+1),ROW(15:15)))</f>
        <v>Sam Sloman LAR</v>
      </c>
      <c r="AH17" s="20">
        <f>'Default Rankings Import 2020'!$R$10*('Default Rankings'!AI17)^2+'Default Rankings Import 2020'!$S$10*'Default Rankings'!AI17+'Default Rankings Import 2020'!$T$10</f>
        <v>30.209588336857209</v>
      </c>
      <c r="AI17" s="21">
        <f t="array" ref="AI17">INDEX($B$3:$B$400,SMALL(IF($AF$2=$E$3:$E$400,ROW($E$3:$E$400)-ROW($E$3)+1),ROW(15:15)))</f>
        <v>256</v>
      </c>
    </row>
    <row r="18" spans="2:35" x14ac:dyDescent="0.35">
      <c r="B18" s="12">
        <f t="shared" si="0"/>
        <v>16</v>
      </c>
      <c r="C18" s="20" t="str">
        <f>'Default Rankings Import 2020'!D17</f>
        <v>Davante Adams</v>
      </c>
      <c r="D18" s="20" t="str">
        <f>'Default Rankings Import 2020'!E17</f>
        <v>GB</v>
      </c>
      <c r="E18" s="21" t="str">
        <f>IF(LEFT('Default Rankings Import 2020'!F17,1)="D",LEFT('Default Rankings Import 2020'!F17,3),IF(LEFT('Default Rankings Import 2020'!F17,1)="K",LEFT('Default Rankings Import 2020'!F17,1),LEFT('Default Rankings Import 2020'!F17,2)))</f>
        <v>WR</v>
      </c>
      <c r="G18" s="12">
        <f t="shared" si="1"/>
        <v>16</v>
      </c>
      <c r="H18" s="20" t="str">
        <f t="array" ref="H18">INDEX($C$3:$C$400,SMALL(IF($G$2=$E$3:$E$400,ROW($E$3:$E$400)-ROW($E$3)+1),ROW(16:16))) &amp; " " &amp; INDEX($D$3:$D$400,SMALL(IF($G$2=$E$3:$E$400,ROW($E$3:$E$400)-ROW($E$3)+1),ROW(16:16)))</f>
        <v>Ben Roethlisberger PIT</v>
      </c>
      <c r="I18" s="100">
        <f>'Default Rankings Import 2020'!$R$5*('Default Rankings'!J18)^2+'Default Rankings Import 2020'!$S$5*'Default Rankings'!J18+'Default Rankings Import 2020'!$T$5</f>
        <v>29.544584905528303</v>
      </c>
      <c r="J18" s="21">
        <f t="array" ref="J18">_xlfn.NUMBERVALUE(INDEX($B$3:$B$400,SMALL(IF($G$2=$E$3:$E$400,ROW($E$3:$E$400)-ROW($E$3)+1),ROW(16:16))))</f>
        <v>165</v>
      </c>
      <c r="L18" s="12">
        <f t="shared" si="2"/>
        <v>16</v>
      </c>
      <c r="M18" s="20" t="str">
        <f t="array" ref="M18">INDEX($C$3:$C$400,SMALL(IF($L$2=$E$3:$E$400,ROW($E$3:$E$400)-ROW($E$3)+1),ROW(16:16))) &amp; " " &amp; INDEX($D$3:$D$400,SMALL(IF($L$2=$E$3:$E$400,ROW($E$3:$E$400)-ROW($E$3)+1),ROW(16:16)))</f>
        <v>David Johnson HOU</v>
      </c>
      <c r="N18" s="20">
        <f>'Default Rankings Import 2020'!$R$6*('Default Rankings'!O18)^2+'Default Rankings Import 2020'!$S$6*'Default Rankings'!O18+'Default Rankings Import 2020'!$T$6</f>
        <v>12.666231859667747</v>
      </c>
      <c r="O18" s="49">
        <f t="array" ref="O18">INDEX($B$3:$B$400,SMALL(IF($L$2=$E$3:$E$400,ROW($E$3:$E$400)-ROW($E$3)+1),ROW(16:16)))</f>
        <v>40</v>
      </c>
      <c r="Q18" s="12">
        <f t="shared" si="3"/>
        <v>16</v>
      </c>
      <c r="R18" s="20" t="str">
        <f t="array" ref="R18">INDEX($C$3:$C$400,SMALL(IF($Q$2=$E$3:$E$400,ROW($E$3:$E$400)-ROW($E$3)+1),ROW(16:16))) &amp; " " &amp; INDEX($D$3:$D$400,SMALL(IF($Q$2=$E$3:$E$400,ROW($E$3:$E$400)-ROW($E$3)+1),ROW(16:16)))</f>
        <v>A.J. Brown TEN</v>
      </c>
      <c r="S18" s="20">
        <f>'Default Rankings Import 2020'!$R$7*('Default Rankings'!T18)^2+'Default Rankings Import 2020'!$S$7*'Default Rankings'!T18+'Default Rankings Import 2020'!$T$7</f>
        <v>8.5482726314146884</v>
      </c>
      <c r="T18" s="21">
        <f t="array" ref="T18">INDEX($B$3:$B$400,SMALL(IF($Q$2=$E$3:$E$400,ROW($E$3:$E$400)-ROW($E$3)+1),ROW(16:16)))</f>
        <v>32</v>
      </c>
      <c r="V18" s="12">
        <f t="shared" si="4"/>
        <v>16</v>
      </c>
      <c r="W18" s="20" t="str">
        <f t="array" ref="W18">INDEX($C$3:$C$400,SMALL(IF($V$2=$E$3:$E$400,ROW($E$3:$E$400)-ROW($E$3)+1),ROW(16:16))) &amp; " " &amp; INDEX($D$3:$D$400,SMALL(IF($V$2=$E$3:$E$400,ROW($E$3:$E$400)-ROW($E$3)+1),ROW(16:16)))</f>
        <v>Austin Hooper CLE</v>
      </c>
      <c r="X18" s="20">
        <f>'Default Rankings Import 2020'!$R$8*('Default Rankings'!Y18)^2+'Default Rankings Import 2020'!$S$8*'Default Rankings'!Y18+'Default Rankings Import 2020'!$T$8</f>
        <v>29.567730116750013</v>
      </c>
      <c r="Y18" s="21">
        <f t="array" ref="Y18">INDEX($B$3:$B$400,SMALL(IF($V$2=$E$3:$E$400,ROW($E$3:$E$400)-ROW($E$3)+1),ROW(16:16)))</f>
        <v>136</v>
      </c>
      <c r="AA18" s="12">
        <f t="shared" si="5"/>
        <v>16</v>
      </c>
      <c r="AB18" s="20" t="str">
        <f t="array" ref="AB18">INDEX($C$3:$C$400,SMALL(IF($AA$2=$E$3:$E$400,ROW($E$3:$E$400)-ROW($E$3)+1),ROW(16:16))) &amp; " " &amp; INDEX($D$3:$D$400,SMALL(IF($AA$2=$E$3:$E$400,ROW($E$3:$E$400)-ROW($E$3)+1),ROW(16:16)))</f>
        <v xml:space="preserve">Rams D/ST </v>
      </c>
      <c r="AC18" s="20">
        <f>'Default Rankings Import 2020'!$R$9*('Default Rankings'!AD18)^2+'Default Rankings Import 2020'!$S$9*'Default Rankings'!AD18+'Default Rankings Import 2020'!$T$9</f>
        <v>34.682789579629052</v>
      </c>
      <c r="AD18" s="21">
        <f t="array" ref="AD18">INDEX($B$3:$B$400,SMALL(IF($AA$2=$E$3:$E$400,ROW($E$3:$E$400)-ROW($E$3)+1),ROW(16:16)))</f>
        <v>255</v>
      </c>
      <c r="AF18" s="12">
        <f t="shared" si="6"/>
        <v>16</v>
      </c>
      <c r="AG18" s="20" t="str">
        <f t="array" ref="AG18">INDEX($C$3:$C$400,SMALL(IF($AF$2=$E$3:$E$400,ROW($E$3:$E$400)-ROW($E$3)+1),ROW(16:16))) &amp; " " &amp; INDEX($D$3:$D$400,SMALL(IF($AF$2=$E$3:$E$400,ROW($E$3:$E$400)-ROW($E$3)+1),ROW(16:16)))</f>
        <v>Dan Bailey MIN</v>
      </c>
      <c r="AH18" s="20">
        <f>'Default Rankings Import 2020'!$R$10*('Default Rankings'!AI18)^2+'Default Rankings Import 2020'!$S$10*'Default Rankings'!AI18+'Default Rankings Import 2020'!$T$10</f>
        <v>30.30887173377111</v>
      </c>
      <c r="AI18" s="21">
        <f t="array" ref="AI18">INDEX($B$3:$B$400,SMALL(IF($AF$2=$E$3:$E$400,ROW($E$3:$E$400)-ROW($E$3)+1),ROW(16:16)))</f>
        <v>257</v>
      </c>
    </row>
    <row r="19" spans="2:35" x14ac:dyDescent="0.35">
      <c r="B19" s="12">
        <f t="shared" si="0"/>
        <v>17</v>
      </c>
      <c r="C19" s="20" t="str">
        <f>'Default Rankings Import 2020'!D18</f>
        <v>Tyreek Hill</v>
      </c>
      <c r="D19" s="20" t="str">
        <f>'Default Rankings Import 2020'!E18</f>
        <v>KC</v>
      </c>
      <c r="E19" s="21" t="str">
        <f>IF(LEFT('Default Rankings Import 2020'!F18,1)="D",LEFT('Default Rankings Import 2020'!F18,3),IF(LEFT('Default Rankings Import 2020'!F18,1)="K",LEFT('Default Rankings Import 2020'!F18,1),LEFT('Default Rankings Import 2020'!F18,2)))</f>
        <v>WR</v>
      </c>
      <c r="G19" s="12">
        <f>G18+1</f>
        <v>17</v>
      </c>
      <c r="H19" s="20" t="str">
        <f t="array" ref="H19">INDEX($C$3:$C$400,SMALL(IF($G$2=$E$3:$E$400,ROW($E$3:$E$400)-ROW($E$3)+1),ROW(17:17))) &amp; " " &amp; INDEX($D$3:$D$400,SMALL(IF($G$2=$E$3:$E$400,ROW($E$3:$E$400)-ROW($E$3)+1),ROW(17:17)))</f>
        <v>Ryan Tannehill TEN</v>
      </c>
      <c r="I19" s="100">
        <f>'Default Rankings Import 2020'!$R$5*('Default Rankings'!J19)^2+'Default Rankings Import 2020'!$S$5*'Default Rankings'!J19+'Default Rankings Import 2020'!$T$5</f>
        <v>29.72502096988396</v>
      </c>
      <c r="J19" s="21">
        <f t="array" ref="J19">_xlfn.NUMBERVALUE(INDEX($B$3:$B$400,SMALL(IF($G$2=$E$3:$E$400,ROW($E$3:$E$400)-ROW($E$3)+1),ROW(17:17))))</f>
        <v>166</v>
      </c>
      <c r="L19" s="12">
        <f t="shared" si="2"/>
        <v>17</v>
      </c>
      <c r="M19" s="20" t="str">
        <f t="array" ref="M19">INDEX($C$3:$C$400,SMALL(IF($L$2=$E$3:$E$400,ROW($E$3:$E$400)-ROW($E$3)+1),ROW(17:17))) &amp; " " &amp; INDEX($D$3:$D$400,SMALL(IF($L$2=$E$3:$E$400,ROW($E$3:$E$400)-ROW($E$3)+1),ROW(17:17)))</f>
        <v>Todd Gurley II ATL</v>
      </c>
      <c r="N19" s="20">
        <f>'Default Rankings Import 2020'!$R$6*('Default Rankings'!O19)^2+'Default Rankings Import 2020'!$S$6*'Default Rankings'!O19+'Default Rankings Import 2020'!$T$6</f>
        <v>13.522442835688636</v>
      </c>
      <c r="O19" s="49">
        <f t="array" ref="O19">INDEX($B$3:$B$400,SMALL(IF($L$2=$E$3:$E$400,ROW($E$3:$E$400)-ROW($E$3)+1),ROW(17:17)))</f>
        <v>43</v>
      </c>
      <c r="Q19" s="12">
        <f t="shared" si="3"/>
        <v>17</v>
      </c>
      <c r="R19" s="20" t="str">
        <f t="array" ref="R19">INDEX($C$3:$C$400,SMALL(IF($Q$2=$E$3:$E$400,ROW($E$3:$E$400)-ROW($E$3)+1),ROW(17:17))) &amp; " " &amp; INDEX($D$3:$D$400,SMALL(IF($Q$2=$E$3:$E$400,ROW($E$3:$E$400)-ROW($E$3)+1),ROW(17:17)))</f>
        <v>Calvin Ridley ATL</v>
      </c>
      <c r="S19" s="20">
        <f>'Default Rankings Import 2020'!$R$7*('Default Rankings'!T19)^2+'Default Rankings Import 2020'!$S$7*'Default Rankings'!T19+'Default Rankings Import 2020'!$T$7</f>
        <v>8.7977087681769603</v>
      </c>
      <c r="T19" s="21">
        <f t="array" ref="T19">INDEX($B$3:$B$400,SMALL(IF($Q$2=$E$3:$E$400,ROW($E$3:$E$400)-ROW($E$3)+1),ROW(17:17)))</f>
        <v>33</v>
      </c>
      <c r="V19" s="12">
        <f t="shared" si="4"/>
        <v>17</v>
      </c>
      <c r="W19" s="20" t="str">
        <f t="array" ref="W19">INDEX($C$3:$C$400,SMALL(IF($V$2=$E$3:$E$400,ROW($E$3:$E$400)-ROW($E$3)+1),ROW(17:17))) &amp; " " &amp; INDEX($D$3:$D$400,SMALL(IF($V$2=$E$3:$E$400,ROW($E$3:$E$400)-ROW($E$3)+1),ROW(17:17)))</f>
        <v>Jack Doyle IND</v>
      </c>
      <c r="X19" s="20">
        <f>'Default Rankings Import 2020'!$R$8*('Default Rankings'!Y19)^2+'Default Rankings Import 2020'!$S$8*'Default Rankings'!Y19+'Default Rankings Import 2020'!$T$8</f>
        <v>31.33962531753518</v>
      </c>
      <c r="Y19" s="21">
        <f t="array" ref="Y19">INDEX($B$3:$B$400,SMALL(IF($V$2=$E$3:$E$400,ROW($E$3:$E$400)-ROW($E$3)+1),ROW(17:17)))</f>
        <v>162</v>
      </c>
      <c r="AA19" s="12">
        <f t="shared" si="5"/>
        <v>17</v>
      </c>
      <c r="AB19" s="20" t="str">
        <f t="array" ref="AB19">INDEX($C$3:$C$400,SMALL(IF($AA$2=$E$3:$E$400,ROW($E$3:$E$400)-ROW($E$3)+1),ROW(17:17))) &amp; " " &amp; INDEX($D$3:$D$400,SMALL(IF($AA$2=$E$3:$E$400,ROW($E$3:$E$400)-ROW($E$3)+1),ROW(17:17)))</f>
        <v xml:space="preserve">Eagles D/ST </v>
      </c>
      <c r="AC19" s="20">
        <f>'Default Rankings Import 2020'!$R$9*('Default Rankings'!AD19)^2+'Default Rankings Import 2020'!$S$9*'Default Rankings'!AD19+'Default Rankings Import 2020'!$T$9</f>
        <v>36.744140431485327</v>
      </c>
      <c r="AD19" s="21">
        <f t="array" ref="AD19">INDEX($B$3:$B$400,SMALL(IF($AA$2=$E$3:$E$400,ROW($E$3:$E$400)-ROW($E$3)+1),ROW(17:17)))</f>
        <v>283</v>
      </c>
      <c r="AF19" s="12">
        <f t="shared" si="6"/>
        <v>17</v>
      </c>
      <c r="AG19" s="20" t="str">
        <f t="array" ref="AG19">INDEX($C$3:$C$400,SMALL(IF($AF$2=$E$3:$E$400,ROW($E$3:$E$400)-ROW($E$3)+1),ROW(17:17))) &amp; " " &amp; INDEX($D$3:$D$400,SMALL(IF($AF$2=$E$3:$E$400,ROW($E$3:$E$400)-ROW($E$3)+1),ROW(17:17)))</f>
        <v>Mason Crosby GB</v>
      </c>
      <c r="AH19" s="20">
        <f>'Default Rankings Import 2020'!$R$10*('Default Rankings'!AI19)^2+'Default Rankings Import 2020'!$S$10*'Default Rankings'!AI19+'Default Rankings Import 2020'!$T$10</f>
        <v>33.02965824192367</v>
      </c>
      <c r="AI19" s="21">
        <f t="array" ref="AI19">INDEX($B$3:$B$400,SMALL(IF($AF$2=$E$3:$E$400,ROW($E$3:$E$400)-ROW($E$3)+1),ROW(17:17)))</f>
        <v>285</v>
      </c>
    </row>
    <row r="20" spans="2:35" x14ac:dyDescent="0.35">
      <c r="B20" s="12">
        <f t="shared" si="0"/>
        <v>18</v>
      </c>
      <c r="C20" s="20" t="str">
        <f>'Default Rankings Import 2020'!D19</f>
        <v>Julio Jones</v>
      </c>
      <c r="D20" s="20" t="str">
        <f>'Default Rankings Import 2020'!E19</f>
        <v>ATL</v>
      </c>
      <c r="E20" s="21" t="str">
        <f>IF(LEFT('Default Rankings Import 2020'!F19,1)="D",LEFT('Default Rankings Import 2020'!F19,3),IF(LEFT('Default Rankings Import 2020'!F19,1)="K",LEFT('Default Rankings Import 2020'!F19,1),LEFT('Default Rankings Import 2020'!F19,2)))</f>
        <v>WR</v>
      </c>
      <c r="G20" s="12">
        <f t="shared" ref="G20:G22" si="7">G19+1</f>
        <v>18</v>
      </c>
      <c r="H20" s="20" t="str">
        <f t="array" ref="H20">INDEX($C$3:$C$400,SMALL(IF($G$2=$E$3:$E$400,ROW($E$3:$E$400)-ROW($E$3)+1),ROW(18:18))) &amp; " " &amp; INDEX($D$3:$D$400,SMALL(IF($G$2=$E$3:$E$400,ROW($E$3:$E$400)-ROW($E$3)+1),ROW(18:18)))</f>
        <v>Jared Goff LAR</v>
      </c>
      <c r="I20" s="100">
        <f>'Default Rankings Import 2020'!$R$5*('Default Rankings'!J20)^2+'Default Rankings Import 2020'!$S$5*'Default Rankings'!J20+'Default Rankings Import 2020'!$T$5</f>
        <v>29.905475379354247</v>
      </c>
      <c r="J20" s="21">
        <f t="array" ref="J20">_xlfn.NUMBERVALUE(INDEX($B$3:$B$400,SMALL(IF($G$2=$E$3:$E$400,ROW($E$3:$E$400)-ROW($E$3)+1),ROW(18:18))))</f>
        <v>167</v>
      </c>
      <c r="L20" s="12">
        <f t="shared" si="2"/>
        <v>18</v>
      </c>
      <c r="M20" s="20" t="str">
        <f t="array" ref="M20">INDEX($C$3:$C$400,SMALL(IF($L$2=$E$3:$E$400,ROW($E$3:$E$400)-ROW($E$3)+1),ROW(18:18))) &amp; " " &amp; INDEX($D$3:$D$400,SMALL(IF($L$2=$E$3:$E$400,ROW($E$3:$E$400)-ROW($E$3)+1),ROW(18:18)))</f>
        <v>James Conner PIT</v>
      </c>
      <c r="N20" s="20">
        <f>'Default Rankings Import 2020'!$R$6*('Default Rankings'!O20)^2+'Default Rankings Import 2020'!$S$6*'Default Rankings'!O20+'Default Rankings Import 2020'!$T$6</f>
        <v>13.805005309304143</v>
      </c>
      <c r="O20" s="49">
        <f t="array" ref="O20">INDEX($B$3:$B$400,SMALL(IF($L$2=$E$3:$E$400,ROW($E$3:$E$400)-ROW($E$3)+1),ROW(18:18)))</f>
        <v>44</v>
      </c>
      <c r="Q20" s="12">
        <f t="shared" si="3"/>
        <v>18</v>
      </c>
      <c r="R20" s="20" t="str">
        <f t="array" ref="R20">INDEX($C$3:$C$400,SMALL(IF($Q$2=$E$3:$E$400,ROW($E$3:$E$400)-ROW($E$3)+1),ROW(18:18))) &amp; " " &amp; INDEX($D$3:$D$400,SMALL(IF($Q$2=$E$3:$E$400,ROW($E$3:$E$400)-ROW($E$3)+1),ROW(18:18)))</f>
        <v>Tyler Lockett SEA</v>
      </c>
      <c r="S20" s="20">
        <f>'Default Rankings Import 2020'!$R$7*('Default Rankings'!T20)^2+'Default Rankings Import 2020'!$S$7*'Default Rankings'!T20+'Default Rankings Import 2020'!$T$7</f>
        <v>9.538518630966248</v>
      </c>
      <c r="T20" s="21">
        <f t="array" ref="T20">INDEX($B$3:$B$400,SMALL(IF($Q$2=$E$3:$E$400,ROW($E$3:$E$400)-ROW($E$3)+1),ROW(18:18)))</f>
        <v>36</v>
      </c>
      <c r="V20" s="12">
        <f t="shared" si="4"/>
        <v>18</v>
      </c>
      <c r="W20" s="20" t="str">
        <f t="array" ref="W20">INDEX($C$3:$C$400,SMALL(IF($V$2=$E$3:$E$400,ROW($E$3:$E$400)-ROW($E$3)+1),ROW(18:18))) &amp; " " &amp; INDEX($D$3:$D$400,SMALL(IF($V$2=$E$3:$E$400,ROW($E$3:$E$400)-ROW($E$3)+1),ROW(18:18)))</f>
        <v>Eric Ebron PIT</v>
      </c>
      <c r="X20" s="20">
        <f>'Default Rankings Import 2020'!$R$8*('Default Rankings'!Y20)^2+'Default Rankings Import 2020'!$S$8*'Default Rankings'!Y20+'Default Rankings Import 2020'!$T$8</f>
        <v>31.382839635787661</v>
      </c>
      <c r="Y20" s="21">
        <f t="array" ref="Y20">INDEX($B$3:$B$400,SMALL(IF($V$2=$E$3:$E$400,ROW($E$3:$E$400)-ROW($E$3)+1),ROW(18:18)))</f>
        <v>163</v>
      </c>
      <c r="AA20" s="12">
        <f t="shared" si="5"/>
        <v>18</v>
      </c>
      <c r="AB20" s="20" t="str">
        <f t="array" ref="AB20">INDEX($C$3:$C$400,SMALL(IF($AA$2=$E$3:$E$400,ROW($E$3:$E$400)-ROW($E$3)+1),ROW(18:18))) &amp; " " &amp; INDEX($D$3:$D$400,SMALL(IF($AA$2=$E$3:$E$400,ROW($E$3:$E$400)-ROW($E$3)+1),ROW(18:18)))</f>
        <v xml:space="preserve">Lions D/ST </v>
      </c>
      <c r="AC20" s="20">
        <f>'Default Rankings Import 2020'!$R$9*('Default Rankings'!AD20)^2+'Default Rankings Import 2020'!$S$9*'Default Rankings'!AD20+'Default Rankings Import 2020'!$T$9</f>
        <v>36.811365276467072</v>
      </c>
      <c r="AD20" s="21">
        <f t="array" ref="AD20">INDEX($B$3:$B$400,SMALL(IF($AA$2=$E$3:$E$400,ROW($E$3:$E$400)-ROW($E$3)+1),ROW(18:18)))</f>
        <v>284</v>
      </c>
      <c r="AF20" s="12">
        <f t="shared" si="6"/>
        <v>18</v>
      </c>
      <c r="AG20" s="20" t="str">
        <f t="array" ref="AG20">INDEX($C$3:$C$400,SMALL(IF($AF$2=$E$3:$E$400,ROW($E$3:$E$400)-ROW($E$3)+1),ROW(18:18))) &amp; " " &amp; INDEX($D$3:$D$400,SMALL(IF($AF$2=$E$3:$E$400,ROW($E$3:$E$400)-ROW($E$3)+1),ROW(18:18)))</f>
        <v>Jason Myers SEA</v>
      </c>
      <c r="AH20" s="20">
        <f>'Default Rankings Import 2020'!$R$10*('Default Rankings'!AI20)^2+'Default Rankings Import 2020'!$S$10*'Default Rankings'!AI20+'Default Rankings Import 2020'!$T$10</f>
        <v>33.124716738449237</v>
      </c>
      <c r="AI20" s="21">
        <f t="array" ref="AI20">INDEX($B$3:$B$400,SMALL(IF($AF$2=$E$3:$E$400,ROW($E$3:$E$400)-ROW($E$3)+1),ROW(18:18)))</f>
        <v>286</v>
      </c>
    </row>
    <row r="21" spans="2:35" x14ac:dyDescent="0.35">
      <c r="B21" s="12">
        <f t="shared" si="0"/>
        <v>19</v>
      </c>
      <c r="C21" s="20" t="str">
        <f>'Default Rankings Import 2020'!D20</f>
        <v>DeAndre Hopkins</v>
      </c>
      <c r="D21" s="20" t="str">
        <f>'Default Rankings Import 2020'!E20</f>
        <v>ARI</v>
      </c>
      <c r="E21" s="21" t="str">
        <f>IF(LEFT('Default Rankings Import 2020'!F20,1)="D",LEFT('Default Rankings Import 2020'!F20,3),IF(LEFT('Default Rankings Import 2020'!F20,1)="K",LEFT('Default Rankings Import 2020'!F20,1),LEFT('Default Rankings Import 2020'!F20,2)))</f>
        <v>WR</v>
      </c>
      <c r="G21" s="12">
        <f t="shared" si="7"/>
        <v>19</v>
      </c>
      <c r="H21" s="20" t="str">
        <f t="array" ref="H21">INDEX($C$3:$C$400,SMALL(IF($G$2=$E$3:$E$400,ROW($E$3:$E$400)-ROW($E$3)+1),ROW(19:19))) &amp; " " &amp; INDEX($D$3:$D$400,SMALL(IF($G$2=$E$3:$E$400,ROW($E$3:$E$400)-ROW($E$3)+1),ROW(19:19)))</f>
        <v>Baker Mayfield CLE</v>
      </c>
      <c r="I21" s="100">
        <f>'Default Rankings Import 2020'!$R$5*('Default Rankings'!J21)^2+'Default Rankings Import 2020'!$S$5*'Default Rankings'!J21+'Default Rankings Import 2020'!$T$5</f>
        <v>30.085948133939162</v>
      </c>
      <c r="J21" s="21">
        <f t="array" ref="J21">_xlfn.NUMBERVALUE(INDEX($B$3:$B$400,SMALL(IF($G$2=$E$3:$E$400,ROW($E$3:$E$400)-ROW($E$3)+1),ROW(19:19))))</f>
        <v>168</v>
      </c>
      <c r="L21" s="12">
        <f t="shared" si="2"/>
        <v>19</v>
      </c>
      <c r="M21" s="20" t="str">
        <f t="array" ref="M21">INDEX($C$3:$C$400,SMALL(IF($L$2=$E$3:$E$400,ROW($E$3:$E$400)-ROW($E$3)+1),ROW(19:19))) &amp; " " &amp; INDEX($D$3:$D$400,SMALL(IF($L$2=$E$3:$E$400,ROW($E$3:$E$400)-ROW($E$3)+1),ROW(19:19)))</f>
        <v>Jonathan Taylor IND</v>
      </c>
      <c r="N21" s="20">
        <f>'Default Rankings Import 2020'!$R$6*('Default Rankings'!O21)^2+'Default Rankings Import 2020'!$S$6*'Default Rankings'!O21+'Default Rankings Import 2020'!$T$6</f>
        <v>14.086147190390587</v>
      </c>
      <c r="O21" s="49">
        <f t="array" ref="O21">INDEX($B$3:$B$400,SMALL(IF($L$2=$E$3:$E$400,ROW($E$3:$E$400)-ROW($E$3)+1),ROW(19:19)))</f>
        <v>45</v>
      </c>
      <c r="Q21" s="12">
        <f t="shared" si="3"/>
        <v>19</v>
      </c>
      <c r="R21" s="20" t="str">
        <f t="array" ref="R21">INDEX($C$3:$C$400,SMALL(IF($Q$2=$E$3:$E$400,ROW($E$3:$E$400)-ROW($E$3)+1),ROW(19:19))) &amp; " " &amp; INDEX($D$3:$D$400,SMALL(IF($Q$2=$E$3:$E$400,ROW($E$3:$E$400)-ROW($E$3)+1),ROW(19:19)))</f>
        <v>Robert Woods LAR</v>
      </c>
      <c r="S21" s="20">
        <f>'Default Rankings Import 2020'!$R$7*('Default Rankings'!T21)^2+'Default Rankings Import 2020'!$S$7*'Default Rankings'!T21+'Default Rankings Import 2020'!$T$7</f>
        <v>9.7829557360634993</v>
      </c>
      <c r="T21" s="21">
        <f t="array" ref="T21">INDEX($B$3:$B$400,SMALL(IF($Q$2=$E$3:$E$400,ROW($E$3:$E$400)-ROW($E$3)+1),ROW(19:19)))</f>
        <v>37</v>
      </c>
      <c r="V21" s="12">
        <f t="shared" si="4"/>
        <v>19</v>
      </c>
      <c r="W21" s="20" t="str">
        <f t="array" ref="W21">INDEX($C$3:$C$400,SMALL(IF($V$2=$E$3:$E$400,ROW($E$3:$E$400)-ROW($E$3)+1),ROW(19:19))) &amp; " " &amp; INDEX($D$3:$D$400,SMALL(IF($V$2=$E$3:$E$400,ROW($E$3:$E$400)-ROW($E$3)+1),ROW(19:19)))</f>
        <v>Jonnu Smith TEN</v>
      </c>
      <c r="X21" s="20">
        <f>'Default Rankings Import 2020'!$R$8*('Default Rankings'!Y21)^2+'Default Rankings Import 2020'!$S$8*'Default Rankings'!Y21+'Default Rankings Import 2020'!$T$8</f>
        <v>31.424206880176271</v>
      </c>
      <c r="Y21" s="21">
        <f t="array" ref="Y21">INDEX($B$3:$B$400,SMALL(IF($V$2=$E$3:$E$400,ROW($E$3:$E$400)-ROW($E$3)+1),ROW(19:19)))</f>
        <v>164</v>
      </c>
      <c r="AA21" s="12">
        <f t="shared" si="5"/>
        <v>19</v>
      </c>
      <c r="AB21" s="20" t="str">
        <f t="array" ref="AB21">INDEX($C$3:$C$400,SMALL(IF($AA$2=$E$3:$E$400,ROW($E$3:$E$400)-ROW($E$3)+1),ROW(19:19))) &amp; " " &amp; INDEX($D$3:$D$400,SMALL(IF($AA$2=$E$3:$E$400,ROW($E$3:$E$400)-ROW($E$3)+1),ROW(19:19)))</f>
        <v xml:space="preserve">Browns D/ST </v>
      </c>
      <c r="AC21" s="20">
        <f>'Default Rankings Import 2020'!$R$9*('Default Rankings'!AD21)^2+'Default Rankings Import 2020'!$S$9*'Default Rankings'!AD21+'Default Rankings Import 2020'!$T$9</f>
        <v>37.521731076940462</v>
      </c>
      <c r="AD21" s="21">
        <f t="array" ref="AD21">INDEX($B$3:$B$400,SMALL(IF($AA$2=$E$3:$E$400,ROW($E$3:$E$400)-ROW($E$3)+1),ROW(19:19)))</f>
        <v>295</v>
      </c>
      <c r="AF21" s="12">
        <f t="shared" si="6"/>
        <v>19</v>
      </c>
      <c r="AG21" s="20" t="str">
        <f t="array" ref="AG21">INDEX($C$3:$C$400,SMALL(IF($AF$2=$E$3:$E$400,ROW($E$3:$E$400)-ROW($E$3)+1),ROW(19:19))) &amp; " " &amp; INDEX($D$3:$D$400,SMALL(IF($AF$2=$E$3:$E$400,ROW($E$3:$E$400)-ROW($E$3)+1),ROW(19:19)))</f>
        <v>Tyler Bass BUF</v>
      </c>
      <c r="AH21" s="20">
        <f>'Default Rankings Import 2020'!$R$10*('Default Rankings'!AI21)^2+'Default Rankings Import 2020'!$S$10*'Default Rankings'!AI21+'Default Rankings Import 2020'!$T$10</f>
        <v>37.42813201866683</v>
      </c>
      <c r="AI21" s="21">
        <f t="array" ref="AI21">INDEX($B$3:$B$400,SMALL(IF($AF$2=$E$3:$E$400,ROW($E$3:$E$400)-ROW($E$3)+1),ROW(19:19)))</f>
        <v>333</v>
      </c>
    </row>
    <row r="22" spans="2:35" ht="15" thickBot="1" x14ac:dyDescent="0.4">
      <c r="B22" s="12">
        <f t="shared" si="0"/>
        <v>20</v>
      </c>
      <c r="C22" s="20" t="str">
        <f>'Default Rankings Import 2020'!D21</f>
        <v>Travis Kelce</v>
      </c>
      <c r="D22" s="20" t="str">
        <f>'Default Rankings Import 2020'!E21</f>
        <v>KC</v>
      </c>
      <c r="E22" s="21" t="str">
        <f>IF(LEFT('Default Rankings Import 2020'!F21,1)="D",LEFT('Default Rankings Import 2020'!F21,3),IF(LEFT('Default Rankings Import 2020'!F21,1)="K",LEFT('Default Rankings Import 2020'!F21,1),LEFT('Default Rankings Import 2020'!F21,2)))</f>
        <v>TE</v>
      </c>
      <c r="G22" s="12">
        <f t="shared" si="7"/>
        <v>20</v>
      </c>
      <c r="H22" s="20" t="str">
        <f t="array" ref="H22">INDEX($C$3:$C$400,SMALL(IF($G$2=$E$3:$E$400,ROW($E$3:$E$400)-ROW($E$3)+1),ROW(20:20))) &amp; " " &amp; INDEX($D$3:$D$400,SMALL(IF($G$2=$E$3:$E$400,ROW($E$3:$E$400)-ROW($E$3)+1),ROW(20:20)))</f>
        <v>Jimmy Garoppolo SF</v>
      </c>
      <c r="I22" s="100">
        <f>'Default Rankings Import 2020'!$R$5*('Default Rankings'!J22)^2+'Default Rankings Import 2020'!$S$5*'Default Rankings'!J22+'Default Rankings Import 2020'!$T$5</f>
        <v>30.2664392336387</v>
      </c>
      <c r="J22" s="21">
        <f t="array" ref="J22">_xlfn.NUMBERVALUE(INDEX($B$3:$B$400,SMALL(IF($G$2=$E$3:$E$400,ROW($E$3:$E$400)-ROW($E$3)+1),ROW(20:20))))</f>
        <v>169</v>
      </c>
      <c r="L22" s="12">
        <f t="shared" si="2"/>
        <v>20</v>
      </c>
      <c r="M22" s="20" t="str">
        <f t="array" ref="M22">INDEX($C$3:$C$400,SMALL(IF($L$2=$E$3:$E$400,ROW($E$3:$E$400)-ROW($E$3)+1),ROW(20:20))) &amp; " " &amp; INDEX($D$3:$D$400,SMALL(IF($L$2=$E$3:$E$400,ROW($E$3:$E$400)-ROW($E$3)+1),ROW(20:20)))</f>
        <v>Melvin Gordon DEN</v>
      </c>
      <c r="N22" s="20">
        <f>'Default Rankings Import 2020'!$R$6*('Default Rankings'!O22)^2+'Default Rankings Import 2020'!$S$6*'Default Rankings'!O22+'Default Rankings Import 2020'!$T$6</f>
        <v>14.36586847894797</v>
      </c>
      <c r="O22" s="49">
        <f t="array" ref="O22">INDEX($B$3:$B$400,SMALL(IF($L$2=$E$3:$E$400,ROW($E$3:$E$400)-ROW($E$3)+1),ROW(20:20)))</f>
        <v>46</v>
      </c>
      <c r="Q22" s="12">
        <f t="shared" si="3"/>
        <v>20</v>
      </c>
      <c r="R22" s="20" t="str">
        <f t="array" ref="R22">INDEX($C$3:$C$400,SMALL(IF($Q$2=$E$3:$E$400,ROW($E$3:$E$400)-ROW($E$3)+1),ROW(20:20))) &amp; " " &amp; INDEX($D$3:$D$400,SMALL(IF($Q$2=$E$3:$E$400,ROW($E$3:$E$400)-ROW($E$3)+1),ROW(20:20)))</f>
        <v>Cooper Kupp LAR</v>
      </c>
      <c r="S22" s="20">
        <f>'Default Rankings Import 2020'!$R$7*('Default Rankings'!T22)^2+'Default Rankings Import 2020'!$S$7*'Default Rankings'!T22+'Default Rankings Import 2020'!$T$7</f>
        <v>10.026143083244497</v>
      </c>
      <c r="T22" s="21">
        <f t="array" ref="T22">INDEX($B$3:$B$400,SMALL(IF($Q$2=$E$3:$E$400,ROW($E$3:$E$400)-ROW($E$3)+1),ROW(20:20)))</f>
        <v>38</v>
      </c>
      <c r="V22" s="12">
        <f t="shared" si="4"/>
        <v>20</v>
      </c>
      <c r="W22" s="20" t="str">
        <f t="array" ref="W22">INDEX($C$3:$C$400,SMALL(IF($V$2=$E$3:$E$400,ROW($E$3:$E$400)-ROW($E$3)+1),ROW(20:20))) &amp; " " &amp; INDEX($D$3:$D$400,SMALL(IF($V$2=$E$3:$E$400,ROW($E$3:$E$400)-ROW($E$3)+1),ROW(20:20)))</f>
        <v>Irv Smith Jr. MIN</v>
      </c>
      <c r="X22" s="20">
        <f>'Default Rankings Import 2020'!$R$8*('Default Rankings'!Y22)^2+'Default Rankings Import 2020'!$S$8*'Default Rankings'!Y22+'Default Rankings Import 2020'!$T$8</f>
        <v>31.820379836659903</v>
      </c>
      <c r="Y22" s="21">
        <f t="array" ref="Y22">INDEX($B$3:$B$400,SMALL(IF($V$2=$E$3:$E$400,ROW($E$3:$E$400)-ROW($E$3)+1),ROW(20:20)))</f>
        <v>193</v>
      </c>
      <c r="AA22" s="13">
        <f t="shared" si="5"/>
        <v>20</v>
      </c>
      <c r="AB22" s="20" t="str">
        <f t="array" ref="AB22">INDEX($C$3:$C$400,SMALL(IF($AA$2=$E$3:$E$400,ROW($E$3:$E$400)-ROW($E$3)+1),ROW(20:20))) &amp; " " &amp; INDEX($D$3:$D$400,SMALL(IF($AA$2=$E$3:$E$400,ROW($E$3:$E$400)-ROW($E$3)+1),ROW(20:20)))</f>
        <v xml:space="preserve">Chiefs D/ST </v>
      </c>
      <c r="AC22" s="20">
        <f>'Default Rankings Import 2020'!$R$9*('Default Rankings'!AD22)^2+'Default Rankings Import 2020'!$S$9*'Default Rankings'!AD22+'Default Rankings Import 2020'!$T$9</f>
        <v>37.583663650226605</v>
      </c>
      <c r="AD22" s="21">
        <f t="array" ref="AD22">INDEX($B$3:$B$400,SMALL(IF($AA$2=$E$3:$E$400,ROW($E$3:$E$400)-ROW($E$3)+1),ROW(20:20)))</f>
        <v>296</v>
      </c>
      <c r="AF22" s="13">
        <f t="shared" si="6"/>
        <v>20</v>
      </c>
      <c r="AG22" s="20" t="str">
        <f t="array" ref="AG22">INDEX($C$3:$C$400,SMALL(IF($AF$2=$E$3:$E$400,ROW($E$3:$E$400)-ROW($E$3)+1),ROW(20:20))) &amp; " " &amp; INDEX($D$3:$D$400,SMALL(IF($AF$2=$E$3:$E$400,ROW($E$3:$E$400)-ROW($E$3)+1),ROW(20:20)))</f>
        <v>Joey Slye CAR</v>
      </c>
      <c r="AH22" s="20">
        <f>'Default Rankings Import 2020'!$R$10*('Default Rankings'!AI22)^2+'Default Rankings Import 2020'!$S$10*'Default Rankings'!AI22+'Default Rankings Import 2020'!$T$10</f>
        <v>37.516197576618602</v>
      </c>
      <c r="AI22" s="21">
        <f t="array" ref="AI22">INDEX($B$3:$B$400,SMALL(IF($AF$2=$E$3:$E$400,ROW($E$3:$E$400)-ROW($E$3)+1),ROW(20:20)))</f>
        <v>334</v>
      </c>
    </row>
    <row r="23" spans="2:35" x14ac:dyDescent="0.35">
      <c r="B23" s="12">
        <f t="shared" si="0"/>
        <v>21</v>
      </c>
      <c r="C23" s="20" t="str">
        <f>'Default Rankings Import 2020'!D22</f>
        <v>Chris Godwin</v>
      </c>
      <c r="D23" s="20" t="str">
        <f>'Default Rankings Import 2020'!E22</f>
        <v>TB</v>
      </c>
      <c r="E23" s="21" t="str">
        <f>IF(LEFT('Default Rankings Import 2020'!F22,1)="D",LEFT('Default Rankings Import 2020'!F22,3),IF(LEFT('Default Rankings Import 2020'!F22,1)="K",LEFT('Default Rankings Import 2020'!F22,1),LEFT('Default Rankings Import 2020'!F22,2)))</f>
        <v>WR</v>
      </c>
      <c r="G23" s="12">
        <f>G22+1</f>
        <v>21</v>
      </c>
      <c r="H23" s="20" t="str">
        <f t="array" ref="H23">INDEX($C$3:$C$400,SMALL(IF($G$2=$E$3:$E$400,ROW($E$3:$E$400)-ROW($E$3)+1),ROW(21:21))) &amp; " " &amp; INDEX($D$3:$D$400,SMALL(IF($G$2=$E$3:$E$400,ROW($E$3:$E$400)-ROW($E$3)+1),ROW(21:21)))</f>
        <v>Kirk Cousins MIN</v>
      </c>
      <c r="I23" s="100">
        <f>'Default Rankings Import 2020'!$R$5*('Default Rankings'!J23)^2+'Default Rankings Import 2020'!$S$5*'Default Rankings'!J23+'Default Rankings Import 2020'!$T$5</f>
        <v>38.226209283899351</v>
      </c>
      <c r="J23" s="21">
        <f t="array" ref="J23">_xlfn.NUMBERVALUE(INDEX($B$3:$B$400,SMALL(IF($G$2=$E$3:$E$400,ROW($E$3:$E$400)-ROW($E$3)+1),ROW(21:21))))</f>
        <v>213</v>
      </c>
      <c r="L23" s="12">
        <f t="shared" si="2"/>
        <v>21</v>
      </c>
      <c r="M23" s="20" t="str">
        <f t="array" ref="M23">INDEX($C$3:$C$400,SMALL(IF($L$2=$E$3:$E$400,ROW($E$3:$E$400)-ROW($E$3)+1),ROW(21:21))) &amp; " " &amp; INDEX($D$3:$D$400,SMALL(IF($L$2=$E$3:$E$400,ROW($E$3:$E$400)-ROW($E$3)+1),ROW(21:21)))</f>
        <v>Le'Veon Bell NYJ</v>
      </c>
      <c r="N23" s="20">
        <f>'Default Rankings Import 2020'!$R$6*('Default Rankings'!O23)^2+'Default Rankings Import 2020'!$S$6*'Default Rankings'!O23+'Default Rankings Import 2020'!$T$6</f>
        <v>14.644169174976287</v>
      </c>
      <c r="O23" s="49">
        <f t="array" ref="O23">INDEX($B$3:$B$400,SMALL(IF($L$2=$E$3:$E$400,ROW($E$3:$E$400)-ROW($E$3)+1),ROW(21:21)))</f>
        <v>47</v>
      </c>
      <c r="Q23" s="12">
        <f t="shared" si="3"/>
        <v>21</v>
      </c>
      <c r="R23" s="20" t="str">
        <f t="array" ref="R23">INDEX($C$3:$C$400,SMALL(IF($Q$2=$E$3:$E$400,ROW($E$3:$E$400)-ROW($E$3)+1),ROW(21:21))) &amp; " " &amp; INDEX($D$3:$D$400,SMALL(IF($Q$2=$E$3:$E$400,ROW($E$3:$E$400)-ROW($E$3)+1),ROW(21:21)))</f>
        <v>Terry McLaurin WAS</v>
      </c>
      <c r="S23" s="20">
        <f>'Default Rankings Import 2020'!$R$7*('Default Rankings'!T23)^2+'Default Rankings Import 2020'!$S$7*'Default Rankings'!T23+'Default Rankings Import 2020'!$T$7</f>
        <v>12.846910131948544</v>
      </c>
      <c r="T23" s="21">
        <f t="array" ref="T23">INDEX($B$3:$B$400,SMALL(IF($Q$2=$E$3:$E$400,ROW($E$3:$E$400)-ROW($E$3)+1),ROW(21:21)))</f>
        <v>50</v>
      </c>
      <c r="V23" s="12">
        <f t="shared" si="4"/>
        <v>21</v>
      </c>
      <c r="W23" s="20" t="str">
        <f t="array" ref="W23">INDEX($C$3:$C$400,SMALL(IF($V$2=$E$3:$E$400,ROW($E$3:$E$400)-ROW($E$3)+1),ROW(21:21))) &amp; " " &amp; INDEX($D$3:$D$400,SMALL(IF($V$2=$E$3:$E$400,ROW($E$3:$E$400)-ROW($E$3)+1),ROW(21:21)))</f>
        <v>Dallas Goedert PHI</v>
      </c>
      <c r="X23" s="20">
        <f>'Default Rankings Import 2020'!$R$8*('Default Rankings'!Y23)^2+'Default Rankings Import 2020'!$S$8*'Default Rankings'!Y23+'Default Rankings Import 2020'!$T$8</f>
        <v>31.284968047988798</v>
      </c>
      <c r="Y23" s="21">
        <f t="array" ref="Y23">INDEX($B$3:$B$400,SMALL(IF($V$2=$E$3:$E$400,ROW($E$3:$E$400)-ROW($E$3)+1),ROW(21:21)))</f>
        <v>211</v>
      </c>
    </row>
    <row r="24" spans="2:35" x14ac:dyDescent="0.35">
      <c r="B24" s="12">
        <f t="shared" si="0"/>
        <v>22</v>
      </c>
      <c r="C24" s="20" t="str">
        <f>'Default Rankings Import 2020'!D23</f>
        <v>Mike Evans</v>
      </c>
      <c r="D24" s="20" t="str">
        <f>'Default Rankings Import 2020'!E23</f>
        <v>TB</v>
      </c>
      <c r="E24" s="21" t="str">
        <f>IF(LEFT('Default Rankings Import 2020'!F23,1)="D",LEFT('Default Rankings Import 2020'!F23,3),IF(LEFT('Default Rankings Import 2020'!F23,1)="K",LEFT('Default Rankings Import 2020'!F23,1),LEFT('Default Rankings Import 2020'!F23,2)))</f>
        <v>WR</v>
      </c>
      <c r="G24" s="12">
        <f t="shared" ref="G24:G30" si="8">G23+1</f>
        <v>22</v>
      </c>
      <c r="H24" s="20" t="str">
        <f t="array" ref="H24">INDEX($C$3:$C$400,SMALL(IF($G$2=$E$3:$E$400,ROW($E$3:$E$400)-ROW($E$3)+1),ROW(22:22))) &amp; " " &amp; INDEX($D$3:$D$400,SMALL(IF($G$2=$E$3:$E$400,ROW($E$3:$E$400)-ROW($E$3)+1),ROW(22:22)))</f>
        <v>Gardner Minshew II JAC</v>
      </c>
      <c r="I24" s="100">
        <f>'Default Rankings Import 2020'!$R$5*('Default Rankings'!J24)^2+'Default Rankings Import 2020'!$S$5*'Default Rankings'!J24+'Default Rankings Import 2020'!$T$5</f>
        <v>39.495810940310847</v>
      </c>
      <c r="J24" s="21">
        <f t="array" ref="J24">_xlfn.NUMBERVALUE(INDEX($B$3:$B$400,SMALL(IF($G$2=$E$3:$E$400,ROW($E$3:$E$400)-ROW($E$3)+1),ROW(22:22))))</f>
        <v>220</v>
      </c>
      <c r="L24" s="12">
        <f t="shared" si="2"/>
        <v>22</v>
      </c>
      <c r="M24" s="20" t="str">
        <f t="array" ref="M24">INDEX($C$3:$C$400,SMALL(IF($L$2=$E$3:$E$400,ROW($E$3:$E$400)-ROW($E$3)+1),ROW(22:22))) &amp; " " &amp; INDEX($D$3:$D$400,SMALL(IF($L$2=$E$3:$E$400,ROW($E$3:$E$400)-ROW($E$3)+1),ROW(22:22)))</f>
        <v>Cam Akers LAR</v>
      </c>
      <c r="N24" s="20">
        <f>'Default Rankings Import 2020'!$R$6*('Default Rankings'!O24)^2+'Default Rankings Import 2020'!$S$6*'Default Rankings'!O24+'Default Rankings Import 2020'!$T$6</f>
        <v>14.92104927847555</v>
      </c>
      <c r="O24" s="49">
        <f t="array" ref="O24">INDEX($B$3:$B$400,SMALL(IF($L$2=$E$3:$E$400,ROW($E$3:$E$400)-ROW($E$3)+1),ROW(22:22)))</f>
        <v>48</v>
      </c>
      <c r="Q24" s="12">
        <f t="shared" si="3"/>
        <v>22</v>
      </c>
      <c r="R24" s="20" t="str">
        <f t="array" ref="R24">INDEX($C$3:$C$400,SMALL(IF($Q$2=$E$3:$E$400,ROW($E$3:$E$400)-ROW($E$3)+1),ROW(22:22))) &amp; " " &amp; INDEX($D$3:$D$400,SMALL(IF($Q$2=$E$3:$E$400,ROW($E$3:$E$400)-ROW($E$3)+1),ROW(22:22)))</f>
        <v>T.Y. Hilton IND</v>
      </c>
      <c r="S24" s="20">
        <f>'Default Rankings Import 2020'!$R$7*('Default Rankings'!T24)^2+'Default Rankings Import 2020'!$S$7*'Default Rankings'!T24+'Default Rankings Import 2020'!$T$7</f>
        <v>13.073850626218222</v>
      </c>
      <c r="T24" s="21">
        <f t="array" ref="T24">INDEX($B$3:$B$400,SMALL(IF($Q$2=$E$3:$E$400,ROW($E$3:$E$400)-ROW($E$3)+1),ROW(22:22)))</f>
        <v>51</v>
      </c>
      <c r="V24" s="12">
        <f t="shared" si="4"/>
        <v>22</v>
      </c>
      <c r="W24" s="20" t="str">
        <f t="array" ref="W24">INDEX($C$3:$C$400,SMALL(IF($V$2=$E$3:$E$400,ROW($E$3:$E$400)-ROW($E$3)+1),ROW(22:22))) &amp; " " &amp; INDEX($D$3:$D$400,SMALL(IF($V$2=$E$3:$E$400,ROW($E$3:$E$400)-ROW($E$3)+1),ROW(22:22)))</f>
        <v>Blake Jarwin DAL</v>
      </c>
      <c r="X24" s="20">
        <f>'Default Rankings Import 2020'!$R$8*('Default Rankings'!Y24)^2+'Default Rankings Import 2020'!$S$8*'Default Rankings'!Y24+'Default Rankings Import 2020'!$T$8</f>
        <v>31.237675746911371</v>
      </c>
      <c r="Y24" s="21">
        <f t="array" ref="Y24">INDEX($B$3:$B$400,SMALL(IF($V$2=$E$3:$E$400,ROW($E$3:$E$400)-ROW($E$3)+1),ROW(22:22)))</f>
        <v>212</v>
      </c>
    </row>
    <row r="25" spans="2:35" x14ac:dyDescent="0.35">
      <c r="B25" s="12">
        <f t="shared" si="0"/>
        <v>23</v>
      </c>
      <c r="C25" s="20" t="str">
        <f>'Default Rankings Import 2020'!D24</f>
        <v>George Kittle</v>
      </c>
      <c r="D25" s="20" t="str">
        <f>'Default Rankings Import 2020'!E24</f>
        <v>SF</v>
      </c>
      <c r="E25" s="21" t="str">
        <f>IF(LEFT('Default Rankings Import 2020'!F24,1)="D",LEFT('Default Rankings Import 2020'!F24,3),IF(LEFT('Default Rankings Import 2020'!F24,1)="K",LEFT('Default Rankings Import 2020'!F24,1),LEFT('Default Rankings Import 2020'!F24,2)))</f>
        <v>TE</v>
      </c>
      <c r="G25" s="12">
        <f t="shared" si="8"/>
        <v>23</v>
      </c>
      <c r="H25" s="20" t="str">
        <f t="array" ref="H25">INDEX($C$3:$C$400,SMALL(IF($G$2=$E$3:$E$400,ROW($E$3:$E$400)-ROW($E$3)+1),ROW(23:23))) &amp; " " &amp; INDEX($D$3:$D$400,SMALL(IF($G$2=$E$3:$E$400,ROW($E$3:$E$400)-ROW($E$3)+1),ROW(23:23)))</f>
        <v>Joe Burrow CIN</v>
      </c>
      <c r="I25" s="100">
        <f>'Default Rankings Import 2020'!$R$5*('Default Rankings'!J25)^2+'Default Rankings Import 2020'!$S$5*'Default Rankings'!J25+'Default Rankings Import 2020'!$T$5</f>
        <v>39.677255985970994</v>
      </c>
      <c r="J25" s="21">
        <f t="array" ref="J25">_xlfn.NUMBERVALUE(INDEX($B$3:$B$400,SMALL(IF($G$2=$E$3:$E$400,ROW($E$3:$E$400)-ROW($E$3)+1),ROW(23:23))))</f>
        <v>221</v>
      </c>
      <c r="L25" s="12">
        <f t="shared" si="2"/>
        <v>23</v>
      </c>
      <c r="M25" s="20" t="str">
        <f t="array" ref="M25">INDEX($C$3:$C$400,SMALL(IF($L$2=$E$3:$E$400,ROW($E$3:$E$400)-ROW($E$3)+1),ROW(23:23))) &amp; " " &amp; INDEX($D$3:$D$400,SMALL(IF($L$2=$E$3:$E$400,ROW($E$3:$E$400)-ROW($E$3)+1),ROW(23:23)))</f>
        <v>D'Andre Swift DET</v>
      </c>
      <c r="N25" s="20">
        <f>'Default Rankings Import 2020'!$R$6*('Default Rankings'!O25)^2+'Default Rankings Import 2020'!$S$6*'Default Rankings'!O25+'Default Rankings Import 2020'!$T$6</f>
        <v>15.196508789445744</v>
      </c>
      <c r="O25" s="49">
        <f t="array" ref="O25">INDEX($B$3:$B$400,SMALL(IF($L$2=$E$3:$E$400,ROW($E$3:$E$400)-ROW($E$3)+1),ROW(23:23)))</f>
        <v>49</v>
      </c>
      <c r="Q25" s="12">
        <f t="shared" si="3"/>
        <v>23</v>
      </c>
      <c r="R25" s="20" t="str">
        <f t="array" ref="R25">INDEX($C$3:$C$400,SMALL(IF($Q$2=$E$3:$E$400,ROW($E$3:$E$400)-ROW($E$3)+1),ROW(23:23))) &amp; " " &amp; INDEX($D$3:$D$400,SMALL(IF($Q$2=$E$3:$E$400,ROW($E$3:$E$400)-ROW($E$3)+1),ROW(23:23)))</f>
        <v>Keenan Allen LAC</v>
      </c>
      <c r="S25" s="20">
        <f>'Default Rankings Import 2020'!$R$7*('Default Rankings'!T25)^2+'Default Rankings Import 2020'!$S$7*'Default Rankings'!T25+'Default Rankings Import 2020'!$T$7</f>
        <v>13.299541362571647</v>
      </c>
      <c r="T25" s="21">
        <f t="array" ref="T25">INDEX($B$3:$B$400,SMALL(IF($Q$2=$E$3:$E$400,ROW($E$3:$E$400)-ROW($E$3)+1),ROW(23:23)))</f>
        <v>52</v>
      </c>
      <c r="V25" s="12">
        <f t="shared" si="4"/>
        <v>23</v>
      </c>
      <c r="W25" s="20" t="str">
        <f t="array" ref="W25">INDEX($C$3:$C$400,SMALL(IF($V$2=$E$3:$E$400,ROW($E$3:$E$400)-ROW($E$3)+1),ROW(23:23))) &amp; " " &amp; INDEX($D$3:$D$400,SMALL(IF($V$2=$E$3:$E$400,ROW($E$3:$E$400)-ROW($E$3)+1),ROW(23:23)))</f>
        <v>Tyler Eifert JAC</v>
      </c>
      <c r="X25" s="20">
        <f>'Default Rankings Import 2020'!$R$8*('Default Rankings'!Y25)^2+'Default Rankings Import 2020'!$S$8*'Default Rankings'!Y25+'Default Rankings Import 2020'!$T$8</f>
        <v>28.418788674959067</v>
      </c>
      <c r="Y25" s="21">
        <f t="array" ref="Y25">INDEX($B$3:$B$400,SMALL(IF($V$2=$E$3:$E$400,ROW($E$3:$E$400)-ROW($E$3)+1),ROW(23:23)))</f>
        <v>247</v>
      </c>
    </row>
    <row r="26" spans="2:35" x14ac:dyDescent="0.35">
      <c r="B26" s="12">
        <f t="shared" si="0"/>
        <v>24</v>
      </c>
      <c r="C26" s="20" t="str">
        <f>'Default Rankings Import 2020'!D25</f>
        <v>Kenny Golladay</v>
      </c>
      <c r="D26" s="20" t="str">
        <f>'Default Rankings Import 2020'!E25</f>
        <v>DET</v>
      </c>
      <c r="E26" s="21" t="str">
        <f>IF(LEFT('Default Rankings Import 2020'!F25,1)="D",LEFT('Default Rankings Import 2020'!F25,3),IF(LEFT('Default Rankings Import 2020'!F25,1)="K",LEFT('Default Rankings Import 2020'!F25,1),LEFT('Default Rankings Import 2020'!F25,2)))</f>
        <v>WR</v>
      </c>
      <c r="G26" s="12">
        <f t="shared" si="8"/>
        <v>24</v>
      </c>
      <c r="H26" s="20" t="str">
        <f t="array" ref="H26">INDEX($C$3:$C$400,SMALL(IF($G$2=$E$3:$E$400,ROW($E$3:$E$400)-ROW($E$3)+1),ROW(24:24))) &amp; " " &amp; INDEX($D$3:$D$400,SMALL(IF($G$2=$E$3:$E$400,ROW($E$3:$E$400)-ROW($E$3)+1),ROW(24:24)))</f>
        <v>Drew Lock DEN</v>
      </c>
      <c r="I26" s="100">
        <f>'Default Rankings Import 2020'!$R$5*('Default Rankings'!J26)^2+'Default Rankings Import 2020'!$S$5*'Default Rankings'!J26+'Default Rankings Import 2020'!$T$5</f>
        <v>43.855555287791574</v>
      </c>
      <c r="J26" s="21">
        <f t="array" ref="J26">_xlfn.NUMBERVALUE(INDEX($B$3:$B$400,SMALL(IF($G$2=$E$3:$E$400,ROW($E$3:$E$400)-ROW($E$3)+1),ROW(24:24))))</f>
        <v>244</v>
      </c>
      <c r="L26" s="12">
        <f t="shared" si="2"/>
        <v>24</v>
      </c>
      <c r="M26" s="20" t="str">
        <f t="array" ref="M26">INDEX($C$3:$C$400,SMALL(IF($L$2=$E$3:$E$400,ROW($E$3:$E$400)-ROW($E$3)+1),ROW(24:24))) &amp; " " &amp; INDEX($D$3:$D$400,SMALL(IF($L$2=$E$3:$E$400,ROW($E$3:$E$400)-ROW($E$3)+1),ROW(24:24)))</f>
        <v>Raheem Mostert SF</v>
      </c>
      <c r="N26" s="20">
        <f>'Default Rankings Import 2020'!$R$6*('Default Rankings'!O26)^2+'Default Rankings Import 2020'!$S$6*'Default Rankings'!O26+'Default Rankings Import 2020'!$T$6</f>
        <v>17.084948775423388</v>
      </c>
      <c r="O26" s="49">
        <f t="array" ref="O26">INDEX($B$3:$B$400,SMALL(IF($L$2=$E$3:$E$400,ROW($E$3:$E$400)-ROW($E$3)+1),ROW(24:24)))</f>
        <v>56</v>
      </c>
      <c r="Q26" s="12">
        <f t="shared" si="3"/>
        <v>24</v>
      </c>
      <c r="R26" s="20" t="str">
        <f t="array" ref="R26">INDEX($C$3:$C$400,SMALL(IF($Q$2=$E$3:$E$400,ROW($E$3:$E$400)-ROW($E$3)+1),ROW(24:24))) &amp; " " &amp; INDEX($D$3:$D$400,SMALL(IF($Q$2=$E$3:$E$400,ROW($E$3:$E$400)-ROW($E$3)+1),ROW(24:24)))</f>
        <v>DK Metcalf SEA</v>
      </c>
      <c r="S26" s="20">
        <f>'Default Rankings Import 2020'!$R$7*('Default Rankings'!T26)^2+'Default Rankings Import 2020'!$S$7*'Default Rankings'!T26+'Default Rankings Import 2020'!$T$7</f>
        <v>13.523982341008812</v>
      </c>
      <c r="T26" s="21">
        <f t="array" ref="T26">INDEX($B$3:$B$400,SMALL(IF($Q$2=$E$3:$E$400,ROW($E$3:$E$400)-ROW($E$3)+1),ROW(24:24)))</f>
        <v>53</v>
      </c>
      <c r="V26" s="12">
        <f t="shared" si="4"/>
        <v>24</v>
      </c>
      <c r="W26" s="20" t="str">
        <f t="array" ref="W26">INDEX($C$3:$C$400,SMALL(IF($V$2=$E$3:$E$400,ROW($E$3:$E$400)-ROW($E$3)+1),ROW(24:24))) &amp; " " &amp; INDEX($D$3:$D$400,SMALL(IF($V$2=$E$3:$E$400,ROW($E$3:$E$400)-ROW($E$3)+1),ROW(24:24)))</f>
        <v>Jimmy Graham CHI</v>
      </c>
      <c r="X26" s="20">
        <f>'Default Rankings Import 2020'!$R$8*('Default Rankings'!Y26)^2+'Default Rankings Import 2020'!$S$8*'Default Rankings'!Y26+'Default Rankings Import 2020'!$T$8</f>
        <v>28.305001714782087</v>
      </c>
      <c r="Y26" s="21">
        <f t="array" ref="Y26">INDEX($B$3:$B$400,SMALL(IF($V$2=$E$3:$E$400,ROW($E$3:$E$400)-ROW($E$3)+1),ROW(24:24)))</f>
        <v>248</v>
      </c>
    </row>
    <row r="27" spans="2:35" x14ac:dyDescent="0.35">
      <c r="B27" s="12">
        <f t="shared" si="0"/>
        <v>25</v>
      </c>
      <c r="C27" s="20" t="str">
        <f>'Default Rankings Import 2020'!D26</f>
        <v>DJ Moore</v>
      </c>
      <c r="D27" s="20" t="str">
        <f>'Default Rankings Import 2020'!E26</f>
        <v>CAR</v>
      </c>
      <c r="E27" s="21" t="str">
        <f>IF(LEFT('Default Rankings Import 2020'!F26,1)="D",LEFT('Default Rankings Import 2020'!F26,3),IF(LEFT('Default Rankings Import 2020'!F26,1)="K",LEFT('Default Rankings Import 2020'!F26,1),LEFT('Default Rankings Import 2020'!F26,2)))</f>
        <v>WR</v>
      </c>
      <c r="G27" s="12">
        <f t="shared" si="8"/>
        <v>25</v>
      </c>
      <c r="H27" s="20" t="str">
        <f t="array" ref="H27">INDEX($C$3:$C$400,SMALL(IF($G$2=$E$3:$E$400,ROW($E$3:$E$400)-ROW($E$3)+1),ROW(25:25))) &amp; " " &amp; INDEX($D$3:$D$400,SMALL(IF($G$2=$E$3:$E$400,ROW($E$3:$E$400)-ROW($E$3)+1),ROW(25:25)))</f>
        <v>Derek Carr LV</v>
      </c>
      <c r="I27" s="100">
        <f>'Default Rankings Import 2020'!$R$5*('Default Rankings'!J27)^2+'Default Rankings Import 2020'!$S$5*'Default Rankings'!J27+'Default Rankings Import 2020'!$T$5</f>
        <v>44.037440616202773</v>
      </c>
      <c r="J27" s="21">
        <f t="array" ref="J27">_xlfn.NUMBERVALUE(INDEX($B$3:$B$400,SMALL(IF($G$2=$E$3:$E$400,ROW($E$3:$E$400)-ROW($E$3)+1),ROW(25:25))))</f>
        <v>245</v>
      </c>
      <c r="L27" s="12">
        <f t="shared" si="2"/>
        <v>25</v>
      </c>
      <c r="M27" s="20" t="str">
        <f t="array" ref="M27">INDEX($C$3:$C$400,SMALL(IF($L$2=$E$3:$E$400,ROW($E$3:$E$400)-ROW($E$3)+1),ROW(25:25))) &amp; " " &amp; INDEX($D$3:$D$400,SMALL(IF($L$2=$E$3:$E$400,ROW($E$3:$E$400)-ROW($E$3)+1),ROW(25:25)))</f>
        <v>David Montgomery CHI</v>
      </c>
      <c r="N27" s="20">
        <f>'Default Rankings Import 2020'!$R$6*('Default Rankings'!O27)^2+'Default Rankings Import 2020'!$S$6*'Default Rankings'!O27+'Default Rankings Import 2020'!$T$6</f>
        <v>17.349043546161091</v>
      </c>
      <c r="O27" s="49">
        <f t="array" ref="O27">INDEX($B$3:$B$400,SMALL(IF($L$2=$E$3:$E$400,ROW($E$3:$E$400)-ROW($E$3)+1),ROW(25:25)))</f>
        <v>57</v>
      </c>
      <c r="Q27" s="12">
        <f t="shared" si="3"/>
        <v>25</v>
      </c>
      <c r="R27" s="20" t="str">
        <f t="array" ref="R27">INDEX($C$3:$C$400,SMALL(IF($Q$2=$E$3:$E$400,ROW($E$3:$E$400)-ROW($E$3)+1),ROW(25:25))) &amp; " " &amp; INDEX($D$3:$D$400,SMALL(IF($Q$2=$E$3:$E$400,ROW($E$3:$E$400)-ROW($E$3)+1),ROW(25:25)))</f>
        <v>Jarvis Landry CLE</v>
      </c>
      <c r="S27" s="20">
        <f>'Default Rankings Import 2020'!$R$7*('Default Rankings'!T27)^2+'Default Rankings Import 2020'!$S$7*'Default Rankings'!T27+'Default Rankings Import 2020'!$T$7</f>
        <v>13.747173561529726</v>
      </c>
      <c r="T27" s="21">
        <f t="array" ref="T27">INDEX($B$3:$B$400,SMALL(IF($Q$2=$E$3:$E$400,ROW($E$3:$E$400)-ROW($E$3)+1),ROW(25:25)))</f>
        <v>54</v>
      </c>
      <c r="V27" s="12">
        <f t="shared" si="4"/>
        <v>25</v>
      </c>
      <c r="W27" s="20" t="str">
        <f t="array" ref="W27">INDEX($C$3:$C$400,SMALL(IF($V$2=$E$3:$E$400,ROW($E$3:$E$400)-ROW($E$3)+1),ROW(25:25))) &amp; " " &amp; INDEX($D$3:$D$400,SMALL(IF($V$2=$E$3:$E$400,ROW($E$3:$E$400)-ROW($E$3)+1),ROW(25:25)))</f>
        <v>Ian Thomas CAR</v>
      </c>
      <c r="X27" s="20">
        <f>'Default Rankings Import 2020'!$R$8*('Default Rankings'!Y27)^2+'Default Rankings Import 2020'!$S$8*'Default Rankings'!Y27+'Default Rankings Import 2020'!$T$8</f>
        <v>28.189367680741235</v>
      </c>
      <c r="Y27" s="21">
        <f t="array" ref="Y27">INDEX($B$3:$B$400,SMALL(IF($V$2=$E$3:$E$400,ROW($E$3:$E$400)-ROW($E$3)+1),ROW(25:25)))</f>
        <v>249</v>
      </c>
    </row>
    <row r="28" spans="2:35" x14ac:dyDescent="0.35">
      <c r="B28" s="12">
        <f t="shared" si="0"/>
        <v>26</v>
      </c>
      <c r="C28" s="20" t="str">
        <f>'Default Rankings Import 2020'!D27</f>
        <v>Adam Thielen</v>
      </c>
      <c r="D28" s="20" t="str">
        <f>'Default Rankings Import 2020'!E27</f>
        <v>MIN</v>
      </c>
      <c r="E28" s="21" t="str">
        <f>IF(LEFT('Default Rankings Import 2020'!F27,1)="D",LEFT('Default Rankings Import 2020'!F27,3),IF(LEFT('Default Rankings Import 2020'!F27,1)="K",LEFT('Default Rankings Import 2020'!F27,1),LEFT('Default Rankings Import 2020'!F27,2)))</f>
        <v>WR</v>
      </c>
      <c r="G28" s="12">
        <f t="shared" si="8"/>
        <v>26</v>
      </c>
      <c r="H28" s="20" t="str">
        <f t="array" ref="H28">INDEX($C$3:$C$400,SMALL(IF($G$2=$E$3:$E$400,ROW($E$3:$E$400)-ROW($E$3)+1),ROW(26:26))) &amp; " " &amp; INDEX($D$3:$D$400,SMALL(IF($G$2=$E$3:$E$400,ROW($E$3:$E$400)-ROW($E$3)+1),ROW(26:26)))</f>
        <v>Philip Rivers IND</v>
      </c>
      <c r="I28" s="100">
        <f>'Default Rankings Import 2020'!$R$5*('Default Rankings'!J28)^2+'Default Rankings Import 2020'!$S$5*'Default Rankings'!J28+'Default Rankings Import 2020'!$T$5</f>
        <v>44.219344289728603</v>
      </c>
      <c r="J28" s="21">
        <f t="array" ref="J28">_xlfn.NUMBERVALUE(INDEX($B$3:$B$400,SMALL(IF($G$2=$E$3:$E$400,ROW($E$3:$E$400)-ROW($E$3)+1),ROW(26:26))))</f>
        <v>246</v>
      </c>
      <c r="L28" s="12">
        <f t="shared" si="2"/>
        <v>26</v>
      </c>
      <c r="M28" s="20" t="str">
        <f t="array" ref="M28">INDEX($C$3:$C$400,SMALL(IF($L$2=$E$3:$E$400,ROW($E$3:$E$400)-ROW($E$3)+1),ROW(26:26))) &amp; " " &amp; INDEX($D$3:$D$400,SMALL(IF($L$2=$E$3:$E$400,ROW($E$3:$E$400)-ROW($E$3)+1),ROW(26:26)))</f>
        <v>Devin Singletary BUF</v>
      </c>
      <c r="N28" s="20">
        <f>'Default Rankings Import 2020'!$R$6*('Default Rankings'!O28)^2+'Default Rankings Import 2020'!$S$6*'Default Rankings'!O28+'Default Rankings Import 2020'!$T$6</f>
        <v>17.611717724369733</v>
      </c>
      <c r="O28" s="49">
        <f t="array" ref="O28">INDEX($B$3:$B$400,SMALL(IF($L$2=$E$3:$E$400,ROW($E$3:$E$400)-ROW($E$3)+1),ROW(26:26)))</f>
        <v>58</v>
      </c>
      <c r="Q28" s="12">
        <f t="shared" si="3"/>
        <v>26</v>
      </c>
      <c r="R28" s="20" t="str">
        <f t="array" ref="R28">INDEX($C$3:$C$400,SMALL(IF($Q$2=$E$3:$E$400,ROW($E$3:$E$400)-ROW($E$3)+1),ROW(26:26))) &amp; " " &amp; INDEX($D$3:$D$400,SMALL(IF($Q$2=$E$3:$E$400,ROW($E$3:$E$400)-ROW($E$3)+1),ROW(26:26)))</f>
        <v>DJ Chark Jr. JAC</v>
      </c>
      <c r="S28" s="20">
        <f>'Default Rankings Import 2020'!$R$7*('Default Rankings'!T28)^2+'Default Rankings Import 2020'!$S$7*'Default Rankings'!T28+'Default Rankings Import 2020'!$T$7</f>
        <v>13.969115024134382</v>
      </c>
      <c r="T28" s="21">
        <f t="array" ref="T28">INDEX($B$3:$B$400,SMALL(IF($Q$2=$E$3:$E$400,ROW($E$3:$E$400)-ROW($E$3)+1),ROW(26:26)))</f>
        <v>55</v>
      </c>
      <c r="V28" s="12">
        <f t="shared" si="4"/>
        <v>26</v>
      </c>
      <c r="W28" s="20" t="str">
        <f t="array" ref="W28">INDEX($C$3:$C$400,SMALL(IF($V$2=$E$3:$E$400,ROW($E$3:$E$400)-ROW($E$3)+1),ROW(26:26))) &amp; " " &amp; INDEX($D$3:$D$400,SMALL(IF($V$2=$E$3:$E$400,ROW($E$3:$E$400)-ROW($E$3)+1),ROW(26:26)))</f>
        <v>Dawson Knox BUF</v>
      </c>
      <c r="X28" s="20">
        <f>'Default Rankings Import 2020'!$R$8*('Default Rankings'!Y28)^2+'Default Rankings Import 2020'!$S$8*'Default Rankings'!Y28+'Default Rankings Import 2020'!$T$8</f>
        <v>28.071886572836512</v>
      </c>
      <c r="Y28" s="21">
        <f t="array" ref="Y28">INDEX($B$3:$B$400,SMALL(IF($V$2=$E$3:$E$400,ROW($E$3:$E$400)-ROW($E$3)+1),ROW(26:26)))</f>
        <v>250</v>
      </c>
    </row>
    <row r="29" spans="2:35" x14ac:dyDescent="0.35">
      <c r="B29" s="12">
        <f t="shared" si="0"/>
        <v>27</v>
      </c>
      <c r="C29" s="20" t="str">
        <f>'Default Rankings Import 2020'!D28</f>
        <v>Amari Cooper</v>
      </c>
      <c r="D29" s="20" t="str">
        <f>'Default Rankings Import 2020'!E28</f>
        <v>DAL</v>
      </c>
      <c r="E29" s="21" t="str">
        <f>IF(LEFT('Default Rankings Import 2020'!F28,1)="D",LEFT('Default Rankings Import 2020'!F28,3),IF(LEFT('Default Rankings Import 2020'!F28,1)="K",LEFT('Default Rankings Import 2020'!F28,1),LEFT('Default Rankings Import 2020'!F28,2)))</f>
        <v>WR</v>
      </c>
      <c r="G29" s="12">
        <f t="shared" si="8"/>
        <v>27</v>
      </c>
      <c r="H29" s="20" t="str">
        <f t="array" ref="H29">INDEX($C$3:$C$400,SMALL(IF($G$2=$E$3:$E$400,ROW($E$3:$E$400)-ROW($E$3)+1),ROW(27:27))) &amp; " " &amp; INDEX($D$3:$D$400,SMALL(IF($G$2=$E$3:$E$400,ROW($E$3:$E$400)-ROW($E$3)+1),ROW(27:27)))</f>
        <v>Sam Darnold NYJ</v>
      </c>
      <c r="I29" s="100">
        <f>'Default Rankings Import 2020'!$R$5*('Default Rankings'!J29)^2+'Default Rankings Import 2020'!$S$5*'Default Rankings'!J29+'Default Rankings Import 2020'!$T$5</f>
        <v>47.678999658498526</v>
      </c>
      <c r="J29" s="21">
        <f t="array" ref="J29">_xlfn.NUMBERVALUE(INDEX($B$3:$B$400,SMALL(IF($G$2=$E$3:$E$400,ROW($E$3:$E$400)-ROW($E$3)+1),ROW(27:27))))</f>
        <v>265</v>
      </c>
      <c r="L29" s="12">
        <f t="shared" si="2"/>
        <v>27</v>
      </c>
      <c r="M29" s="20" t="str">
        <f t="array" ref="M29">INDEX($C$3:$C$400,SMALL(IF($L$2=$E$3:$E$400,ROW($E$3:$E$400)-ROW($E$3)+1),ROW(27:27))) &amp; " " &amp; INDEX($D$3:$D$400,SMALL(IF($L$2=$E$3:$E$400,ROW($E$3:$E$400)-ROW($E$3)+1),ROW(27:27)))</f>
        <v>Kareem Hunt CLE</v>
      </c>
      <c r="N29" s="20">
        <f>'Default Rankings Import 2020'!$R$6*('Default Rankings'!O29)^2+'Default Rankings Import 2020'!$S$6*'Default Rankings'!O29+'Default Rankings Import 2020'!$T$6</f>
        <v>17.872971310049309</v>
      </c>
      <c r="O29" s="49">
        <f t="array" ref="O29">INDEX($B$3:$B$400,SMALL(IF($L$2=$E$3:$E$400,ROW($E$3:$E$400)-ROW($E$3)+1),ROW(27:27)))</f>
        <v>59</v>
      </c>
      <c r="Q29" s="12">
        <f t="shared" si="3"/>
        <v>27</v>
      </c>
      <c r="R29" s="20" t="str">
        <f t="array" ref="R29">INDEX($C$3:$C$400,SMALL(IF($Q$2=$E$3:$E$400,ROW($E$3:$E$400)-ROW($E$3)+1),ROW(27:27))) &amp; " " &amp; INDEX($D$3:$D$400,SMALL(IF($Q$2=$E$3:$E$400,ROW($E$3:$E$400)-ROW($E$3)+1),ROW(27:27)))</f>
        <v>DeVante Parker MIA</v>
      </c>
      <c r="S29" s="20">
        <f>'Default Rankings Import 2020'!$R$7*('Default Rankings'!T29)^2+'Default Rankings Import 2020'!$S$7*'Default Rankings'!T29+'Default Rankings Import 2020'!$T$7</f>
        <v>15.274518883520965</v>
      </c>
      <c r="T29" s="21">
        <f t="array" ref="T29">INDEX($B$3:$B$400,SMALL(IF($Q$2=$E$3:$E$400,ROW($E$3:$E$400)-ROW($E$3)+1),ROW(27:27)))</f>
        <v>61</v>
      </c>
      <c r="V29" s="12">
        <f t="shared" si="4"/>
        <v>27</v>
      </c>
      <c r="W29" s="20" t="str">
        <f t="array" ref="W29">INDEX($C$3:$C$400,SMALL(IF($V$2=$E$3:$E$400,ROW($E$3:$E$400)-ROW($E$3)+1),ROW(27:27))) &amp; " " &amp; INDEX($D$3:$D$400,SMALL(IF($V$2=$E$3:$E$400,ROW($E$3:$E$400)-ROW($E$3)+1),ROW(27:27)))</f>
        <v>Will Dissly SEA</v>
      </c>
      <c r="X29" s="20">
        <f>'Default Rankings Import 2020'!$R$8*('Default Rankings'!Y29)^2+'Default Rankings Import 2020'!$S$8*'Default Rankings'!Y29+'Default Rankings Import 2020'!$T$8</f>
        <v>27.06554305049913</v>
      </c>
      <c r="Y29" s="21">
        <f t="array" ref="Y29">INDEX($B$3:$B$400,SMALL(IF($V$2=$E$3:$E$400,ROW($E$3:$E$400)-ROW($E$3)+1),ROW(27:27)))</f>
        <v>258</v>
      </c>
    </row>
    <row r="30" spans="2:35" x14ac:dyDescent="0.35">
      <c r="B30" s="12">
        <f t="shared" si="0"/>
        <v>28</v>
      </c>
      <c r="C30" s="20" t="str">
        <f>'Default Rankings Import 2020'!D29</f>
        <v>Allen Robinson II</v>
      </c>
      <c r="D30" s="20" t="str">
        <f>'Default Rankings Import 2020'!E29</f>
        <v>CHI</v>
      </c>
      <c r="E30" s="21" t="str">
        <f>IF(LEFT('Default Rankings Import 2020'!F29,1)="D",LEFT('Default Rankings Import 2020'!F29,3),IF(LEFT('Default Rankings Import 2020'!F29,1)="K",LEFT('Default Rankings Import 2020'!F29,1),LEFT('Default Rankings Import 2020'!F29,2)))</f>
        <v>WR</v>
      </c>
      <c r="G30" s="12">
        <f t="shared" si="8"/>
        <v>28</v>
      </c>
      <c r="H30" s="20" t="str">
        <f t="array" ref="H30">INDEX($C$3:$C$400,SMALL(IF($G$2=$E$3:$E$400,ROW($E$3:$E$400)-ROW($E$3)+1),ROW(28:28))) &amp; " " &amp; INDEX($D$3:$D$400,SMALL(IF($G$2=$E$3:$E$400,ROW($E$3:$E$400)-ROW($E$3)+1),ROW(28:28)))</f>
        <v>Teddy Bridgewater CAR</v>
      </c>
      <c r="I30" s="100">
        <f>'Default Rankings Import 2020'!$R$5*('Default Rankings'!J30)^2+'Default Rankings Import 2020'!$S$5*'Default Rankings'!J30+'Default Rankings Import 2020'!$T$5</f>
        <v>47.861270234316905</v>
      </c>
      <c r="J30" s="21">
        <f t="array" ref="J30">_xlfn.NUMBERVALUE(INDEX($B$3:$B$400,SMALL(IF($G$2=$E$3:$E$400,ROW($E$3:$E$400)-ROW($E$3)+1),ROW(28:28))))</f>
        <v>266</v>
      </c>
      <c r="L30" s="12">
        <f t="shared" si="2"/>
        <v>28</v>
      </c>
      <c r="M30" s="20" t="str">
        <f t="array" ref="M30">INDEX($C$3:$C$400,SMALL(IF($L$2=$E$3:$E$400,ROW($E$3:$E$400)-ROW($E$3)+1),ROW(28:28))) &amp; " " &amp; INDEX($D$3:$D$400,SMALL(IF($L$2=$E$3:$E$400,ROW($E$3:$E$400)-ROW($E$3)+1),ROW(28:28)))</f>
        <v>Antonio Gibson WAS</v>
      </c>
      <c r="N30" s="20">
        <f>'Default Rankings Import 2020'!$R$6*('Default Rankings'!O30)^2+'Default Rankings Import 2020'!$S$6*'Default Rankings'!O30+'Default Rankings Import 2020'!$T$6</f>
        <v>18.132804303199826</v>
      </c>
      <c r="O30" s="49">
        <f t="array" ref="O30">INDEX($B$3:$B$400,SMALL(IF($L$2=$E$3:$E$400,ROW($E$3:$E$400)-ROW($E$3)+1),ROW(28:28)))</f>
        <v>60</v>
      </c>
      <c r="Q30" s="12">
        <f t="shared" si="3"/>
        <v>28</v>
      </c>
      <c r="R30" s="20" t="str">
        <f t="array" ref="R30">INDEX($C$3:$C$400,SMALL(IF($Q$2=$E$3:$E$400,ROW($E$3:$E$400)-ROW($E$3)+1),ROW(28:28))) &amp; " " &amp; INDEX($D$3:$D$400,SMALL(IF($Q$2=$E$3:$E$400,ROW($E$3:$E$400)-ROW($E$3)+1),ROW(28:28)))</f>
        <v>Michael Gallup DAL</v>
      </c>
      <c r="S30" s="20">
        <f>'Default Rankings Import 2020'!$R$7*('Default Rankings'!T30)^2+'Default Rankings Import 2020'!$S$7*'Default Rankings'!T30+'Default Rankings Import 2020'!$T$7</f>
        <v>15.487712040711836</v>
      </c>
      <c r="T30" s="21">
        <f t="array" ref="T30">INDEX($B$3:$B$400,SMALL(IF($Q$2=$E$3:$E$400,ROW($E$3:$E$400)-ROW($E$3)+1),ROW(28:28)))</f>
        <v>62</v>
      </c>
      <c r="V30" s="12">
        <f t="shared" si="4"/>
        <v>28</v>
      </c>
      <c r="W30" s="20" t="str">
        <f t="array" ref="W30">INDEX($C$3:$C$400,SMALL(IF($V$2=$E$3:$E$400,ROW($E$3:$E$400)-ROW($E$3)+1),ROW(28:28))) &amp; " " &amp; INDEX($D$3:$D$400,SMALL(IF($V$2=$E$3:$E$400,ROW($E$3:$E$400)-ROW($E$3)+1),ROW(28:28)))</f>
        <v>Kyle Rudolph MIN</v>
      </c>
      <c r="X30" s="20">
        <f>'Default Rankings Import 2020'!$R$8*('Default Rankings'!Y30)^2+'Default Rankings Import 2020'!$S$8*'Default Rankings'!Y30+'Default Rankings Import 2020'!$T$8</f>
        <v>26.931438277819531</v>
      </c>
      <c r="Y30" s="21">
        <f t="array" ref="Y30">INDEX($B$3:$B$400,SMALL(IF($V$2=$E$3:$E$400,ROW($E$3:$E$400)-ROW($E$3)+1),ROW(28:28)))</f>
        <v>259</v>
      </c>
    </row>
    <row r="31" spans="2:35" x14ac:dyDescent="0.35">
      <c r="B31" s="12">
        <f t="shared" si="0"/>
        <v>29</v>
      </c>
      <c r="C31" s="20" t="str">
        <f>'Default Rankings Import 2020'!D30</f>
        <v>Odell Beckham Jr.</v>
      </c>
      <c r="D31" s="20" t="str">
        <f>'Default Rankings Import 2020'!E30</f>
        <v>CLE</v>
      </c>
      <c r="E31" s="21" t="str">
        <f>IF(LEFT('Default Rankings Import 2020'!F30,1)="D",LEFT('Default Rankings Import 2020'!F30,3),IF(LEFT('Default Rankings Import 2020'!F30,1)="K",LEFT('Default Rankings Import 2020'!F30,1),LEFT('Default Rankings Import 2020'!F30,2)))</f>
        <v>WR</v>
      </c>
      <c r="G31" s="12">
        <f>G30+1</f>
        <v>29</v>
      </c>
      <c r="H31" s="20" t="str">
        <f t="array" ref="H31">INDEX($C$3:$C$400,SMALL(IF($G$2=$E$3:$E$400,ROW($E$3:$E$400)-ROW($E$3)+1),ROW(29:29))) &amp; " " &amp; INDEX($D$3:$D$400,SMALL(IF($G$2=$E$3:$E$400,ROW($E$3:$E$400)-ROW($E$3)+1),ROW(29:29)))</f>
        <v>Dwayne Haskins Jr. WAS</v>
      </c>
      <c r="I31" s="100">
        <f>'Default Rankings Import 2020'!$R$5*('Default Rankings'!J31)^2+'Default Rankings Import 2020'!$S$5*'Default Rankings'!J31+'Default Rankings Import 2020'!$T$5</f>
        <v>48.043559155249902</v>
      </c>
      <c r="J31" s="21">
        <f t="array" ref="J31">_xlfn.NUMBERVALUE(INDEX($B$3:$B$400,SMALL(IF($G$2=$E$3:$E$400,ROW($E$3:$E$400)-ROW($E$3)+1),ROW(29:29))))</f>
        <v>267</v>
      </c>
      <c r="L31" s="12">
        <f t="shared" si="2"/>
        <v>29</v>
      </c>
      <c r="M31" s="20" t="str">
        <f t="array" ref="M31">INDEX($C$3:$C$400,SMALL(IF($L$2=$E$3:$E$400,ROW($E$3:$E$400)-ROW($E$3)+1),ROW(29:29))) &amp; " " &amp; INDEX($D$3:$D$400,SMALL(IF($L$2=$E$3:$E$400,ROW($E$3:$E$400)-ROW($E$3)+1),ROW(29:29)))</f>
        <v>Mark Ingram II BAL</v>
      </c>
      <c r="N31" s="20">
        <f>'Default Rankings Import 2020'!$R$6*('Default Rankings'!O31)^2+'Default Rankings Import 2020'!$S$6*'Default Rankings'!O31+'Default Rankings Import 2020'!$T$6</f>
        <v>20.653001645606594</v>
      </c>
      <c r="O31" s="49">
        <f t="array" ref="O31">INDEX($B$3:$B$400,SMALL(IF($L$2=$E$3:$E$400,ROW($E$3:$E$400)-ROW($E$3)+1),ROW(29:29)))</f>
        <v>70</v>
      </c>
      <c r="Q31" s="12">
        <f t="shared" si="3"/>
        <v>29</v>
      </c>
      <c r="R31" s="20" t="str">
        <f t="array" ref="R31">INDEX($C$3:$C$400,SMALL(IF($Q$2=$E$3:$E$400,ROW($E$3:$E$400)-ROW($E$3)+1),ROW(29:29))) &amp; " " &amp; INDEX($D$3:$D$400,SMALL(IF($Q$2=$E$3:$E$400,ROW($E$3:$E$400)-ROW($E$3)+1),ROW(29:29)))</f>
        <v>A.J. Green CIN</v>
      </c>
      <c r="S31" s="20">
        <f>'Default Rankings Import 2020'!$R$7*('Default Rankings'!T31)^2+'Default Rankings Import 2020'!$S$7*'Default Rankings'!T31+'Default Rankings Import 2020'!$T$7</f>
        <v>15.699655439986449</v>
      </c>
      <c r="T31" s="21">
        <f t="array" ref="T31">INDEX($B$3:$B$400,SMALL(IF($Q$2=$E$3:$E$400,ROW($E$3:$E$400)-ROW($E$3)+1),ROW(29:29)))</f>
        <v>63</v>
      </c>
      <c r="V31" s="12">
        <f t="shared" si="4"/>
        <v>29</v>
      </c>
      <c r="W31" s="20" t="str">
        <f t="array" ref="W31">INDEX($C$3:$C$400,SMALL(IF($V$2=$E$3:$E$400,ROW($E$3:$E$400)-ROW($E$3)+1),ROW(29:29))) &amp; " " &amp; INDEX($D$3:$D$400,SMALL(IF($V$2=$E$3:$E$400,ROW($E$3:$E$400)-ROW($E$3)+1),ROW(29:29)))</f>
        <v>Greg Olsen SEA</v>
      </c>
      <c r="X31" s="20">
        <f>'Default Rankings Import 2020'!$R$8*('Default Rankings'!Y31)^2+'Default Rankings Import 2020'!$S$8*'Default Rankings'!Y31+'Default Rankings Import 2020'!$T$8</f>
        <v>26.795486431276032</v>
      </c>
      <c r="Y31" s="21">
        <f t="array" ref="Y31">INDEX($B$3:$B$400,SMALL(IF($V$2=$E$3:$E$400,ROW($E$3:$E$400)-ROW($E$3)+1),ROW(29:29)))</f>
        <v>260</v>
      </c>
    </row>
    <row r="32" spans="2:35" ht="15" thickBot="1" x14ac:dyDescent="0.4">
      <c r="B32" s="12">
        <f t="shared" si="0"/>
        <v>30</v>
      </c>
      <c r="C32" s="20" t="str">
        <f>'Default Rankings Import 2020'!D31</f>
        <v>JuJu Smith-Schuster</v>
      </c>
      <c r="D32" s="20" t="str">
        <f>'Default Rankings Import 2020'!E31</f>
        <v>PIT</v>
      </c>
      <c r="E32" s="21" t="str">
        <f>IF(LEFT('Default Rankings Import 2020'!F31,1)="D",LEFT('Default Rankings Import 2020'!F31,3),IF(LEFT('Default Rankings Import 2020'!F31,1)="K",LEFT('Default Rankings Import 2020'!F31,1),LEFT('Default Rankings Import 2020'!F31,2)))</f>
        <v>WR</v>
      </c>
      <c r="G32" s="13">
        <f t="shared" ref="G32" si="9">G31+1</f>
        <v>30</v>
      </c>
      <c r="H32" s="20" t="str">
        <f t="array" ref="H32">INDEX($C$3:$C$400,SMALL(IF($G$2=$E$3:$E$400,ROW($E$3:$E$400)-ROW($E$3)+1),ROW(30:30))) &amp; " " &amp; INDEX($D$3:$D$400,SMALL(IF($G$2=$E$3:$E$400,ROW($E$3:$E$400)-ROW($E$3)+1),ROW(30:30)))</f>
        <v>Tyrod Taylor LAC</v>
      </c>
      <c r="I32" s="100">
        <f>'Default Rankings Import 2020'!$R$5*('Default Rankings'!J32)^2+'Default Rankings Import 2020'!$S$5*'Default Rankings'!J32+'Default Rankings Import 2020'!$T$5</f>
        <v>48.225866421297525</v>
      </c>
      <c r="J32" s="21">
        <f t="array" ref="J32">_xlfn.NUMBERVALUE(INDEX($B$3:$B$400,SMALL(IF($G$2=$E$3:$E$400,ROW($E$3:$E$400)-ROW($E$3)+1),ROW(30:30))))</f>
        <v>268</v>
      </c>
      <c r="L32" s="12">
        <f t="shared" si="2"/>
        <v>30</v>
      </c>
      <c r="M32" s="20" t="str">
        <f t="array" ref="M32">INDEX($C$3:$C$400,SMALL(IF($L$2=$E$3:$E$400,ROW($E$3:$E$400)-ROW($E$3)+1),ROW(30:30))) &amp; " " &amp; INDEX($D$3:$D$400,SMALL(IF($L$2=$E$3:$E$400,ROW($E$3:$E$400)-ROW($E$3)+1),ROW(30:30)))</f>
        <v>Kerryon Johnson DET</v>
      </c>
      <c r="N32" s="20">
        <f>'Default Rankings Import 2020'!$R$6*('Default Rankings'!O32)^2+'Default Rankings Import 2020'!$S$6*'Default Rankings'!O32+'Default Rankings Import 2020'!$T$6</f>
        <v>20.897208120937432</v>
      </c>
      <c r="O32" s="49">
        <f t="array" ref="O32">INDEX($B$3:$B$400,SMALL(IF($L$2=$E$3:$E$400,ROW($E$3:$E$400)-ROW($E$3)+1),ROW(30:30)))</f>
        <v>71</v>
      </c>
      <c r="Q32" s="12">
        <f t="shared" si="3"/>
        <v>30</v>
      </c>
      <c r="R32" s="20" t="str">
        <f t="array" ref="R32">INDEX($C$3:$C$400,SMALL(IF($Q$2=$E$3:$E$400,ROW($E$3:$E$400)-ROW($E$3)+1),ROW(30:30))) &amp; " " &amp; INDEX($D$3:$D$400,SMALL(IF($Q$2=$E$3:$E$400,ROW($E$3:$E$400)-ROW($E$3)+1),ROW(30:30)))</f>
        <v>Stefon Diggs BUF</v>
      </c>
      <c r="S32" s="20">
        <f>'Default Rankings Import 2020'!$R$7*('Default Rankings'!T32)^2+'Default Rankings Import 2020'!$S$7*'Default Rankings'!T32+'Default Rankings Import 2020'!$T$7</f>
        <v>15.91034908134481</v>
      </c>
      <c r="T32" s="21">
        <f t="array" ref="T32">INDEX($B$3:$B$400,SMALL(IF($Q$2=$E$3:$E$400,ROW($E$3:$E$400)-ROW($E$3)+1),ROW(30:30)))</f>
        <v>64</v>
      </c>
      <c r="V32" s="13">
        <f t="shared" si="4"/>
        <v>30</v>
      </c>
      <c r="W32" s="20" t="str">
        <f t="array" ref="W32">INDEX($C$3:$C$400,SMALL(IF($V$2=$E$3:$E$400,ROW($E$3:$E$400)-ROW($E$3)+1),ROW(30:30))) &amp; " " &amp; INDEX($D$3:$D$400,SMALL(IF($V$2=$E$3:$E$400,ROW($E$3:$E$400)-ROW($E$3)+1),ROW(30:30)))</f>
        <v>Dan Arnold ARI</v>
      </c>
      <c r="X32" s="20">
        <f>'Default Rankings Import 2020'!$R$8*('Default Rankings'!Y32)^2+'Default Rankings Import 2020'!$S$8*'Default Rankings'!Y32+'Default Rankings Import 2020'!$T$8</f>
        <v>22.238922739324636</v>
      </c>
      <c r="Y32" s="21">
        <f t="array" ref="Y32">INDEX($B$3:$B$400,SMALL(IF($V$2=$E$3:$E$400,ROW($E$3:$E$400)-ROW($E$3)+1),ROW(30:30)))</f>
        <v>288</v>
      </c>
    </row>
    <row r="33" spans="2:20" x14ac:dyDescent="0.35">
      <c r="B33" s="12">
        <f t="shared" si="0"/>
        <v>31</v>
      </c>
      <c r="C33" s="20" t="str">
        <f>'Default Rankings Import 2020'!D32</f>
        <v>Courtland Sutton</v>
      </c>
      <c r="D33" s="20" t="str">
        <f>'Default Rankings Import 2020'!E32</f>
        <v>DEN</v>
      </c>
      <c r="E33" s="21" t="str">
        <f>IF(LEFT('Default Rankings Import 2020'!F32,1)="D",LEFT('Default Rankings Import 2020'!F32,3),IF(LEFT('Default Rankings Import 2020'!F32,1)="K",LEFT('Default Rankings Import 2020'!F32,1),LEFT('Default Rankings Import 2020'!F32,2)))</f>
        <v>WR</v>
      </c>
      <c r="L33" s="12">
        <f t="shared" si="2"/>
        <v>31</v>
      </c>
      <c r="M33" s="20" t="str">
        <f t="array" ref="M33">INDEX($C$3:$C$400,SMALL(IF($L$2=$E$3:$E$400,ROW($E$3:$E$400)-ROW($E$3)+1),ROW(31:31))) &amp; " " &amp; INDEX($D$3:$D$400,SMALL(IF($L$2=$E$3:$E$400,ROW($E$3:$E$400)-ROW($E$3)+1),ROW(31:31)))</f>
        <v>Ronald Jones II TB</v>
      </c>
      <c r="N33" s="20">
        <f>'Default Rankings Import 2020'!$R$6*('Default Rankings'!O33)^2+'Default Rankings Import 2020'!$S$6*'Default Rankings'!O33+'Default Rankings Import 2020'!$T$6</f>
        <v>21.139994003739204</v>
      </c>
      <c r="O33" s="49">
        <f t="array" ref="O33">INDEX($B$3:$B$400,SMALL(IF($L$2=$E$3:$E$400,ROW($E$3:$E$400)-ROW($E$3)+1),ROW(31:31)))</f>
        <v>72</v>
      </c>
      <c r="Q33" s="12">
        <f t="shared" si="3"/>
        <v>31</v>
      </c>
      <c r="R33" s="20" t="str">
        <f t="array" ref="R33">INDEX($C$3:$C$400,SMALL(IF($Q$2=$E$3:$E$400,ROW($E$3:$E$400)-ROW($E$3)+1),ROW(31:31))) &amp; " " &amp; INDEX($D$3:$D$400,SMALL(IF($Q$2=$E$3:$E$400,ROW($E$3:$E$400)-ROW($E$3)+1),ROW(31:31)))</f>
        <v>Tyler Boyd CIN</v>
      </c>
      <c r="S33" s="20">
        <f>'Default Rankings Import 2020'!$R$7*('Default Rankings'!T33)^2+'Default Rankings Import 2020'!$S$7*'Default Rankings'!T33+'Default Rankings Import 2020'!$T$7</f>
        <v>16.119792964786914</v>
      </c>
      <c r="T33" s="21">
        <f t="array" ref="T33">INDEX($B$3:$B$400,SMALL(IF($Q$2=$E$3:$E$400,ROW($E$3:$E$400)-ROW($E$3)+1),ROW(31:31)))</f>
        <v>65</v>
      </c>
    </row>
    <row r="34" spans="2:20" x14ac:dyDescent="0.35">
      <c r="B34" s="12">
        <f t="shared" si="0"/>
        <v>32</v>
      </c>
      <c r="C34" s="20" t="str">
        <f>'Default Rankings Import 2020'!D33</f>
        <v>A.J. Brown</v>
      </c>
      <c r="D34" s="20" t="str">
        <f>'Default Rankings Import 2020'!E33</f>
        <v>TEN</v>
      </c>
      <c r="E34" s="21" t="str">
        <f>IF(LEFT('Default Rankings Import 2020'!F33,1)="D",LEFT('Default Rankings Import 2020'!F33,3),IF(LEFT('Default Rankings Import 2020'!F33,1)="K",LEFT('Default Rankings Import 2020'!F33,1),LEFT('Default Rankings Import 2020'!F33,2)))</f>
        <v>WR</v>
      </c>
      <c r="L34" s="12">
        <f t="shared" si="2"/>
        <v>32</v>
      </c>
      <c r="M34" s="20" t="str">
        <f t="array" ref="M34">INDEX($C$3:$C$400,SMALL(IF($L$2=$E$3:$E$400,ROW($E$3:$E$400)-ROW($E$3)+1),ROW(32:32))) &amp; " " &amp; INDEX($D$3:$D$400,SMALL(IF($L$2=$E$3:$E$400,ROW($E$3:$E$400)-ROW($E$3)+1),ROW(32:32)))</f>
        <v>Leonard Fournette JAC</v>
      </c>
      <c r="N34" s="20">
        <f>'Default Rankings Import 2020'!$R$6*('Default Rankings'!O34)^2+'Default Rankings Import 2020'!$S$6*'Default Rankings'!O34+'Default Rankings Import 2020'!$T$6</f>
        <v>24.166936560017657</v>
      </c>
      <c r="O34" s="49">
        <f t="array" ref="O34">INDEX($B$3:$B$400,SMALL(IF($L$2=$E$3:$E$400,ROW($E$3:$E$400)-ROW($E$3)+1),ROW(32:32)))</f>
        <v>85</v>
      </c>
      <c r="Q34" s="12">
        <f t="shared" si="3"/>
        <v>32</v>
      </c>
      <c r="R34" s="20" t="str">
        <f t="array" ref="R34">INDEX($C$3:$C$400,SMALL(IF($Q$2=$E$3:$E$400,ROW($E$3:$E$400)-ROW($E$3)+1),ROW(32:32))) &amp; " " &amp; INDEX($D$3:$D$400,SMALL(IF($Q$2=$E$3:$E$400,ROW($E$3:$E$400)-ROW($E$3)+1),ROW(32:32)))</f>
        <v>Will Fuller V HOU</v>
      </c>
      <c r="S34" s="20">
        <f>'Default Rankings Import 2020'!$R$7*('Default Rankings'!T34)^2+'Default Rankings Import 2020'!$S$7*'Default Rankings'!T34+'Default Rankings Import 2020'!$T$7</f>
        <v>16.327987090312764</v>
      </c>
      <c r="T34" s="21">
        <f t="array" ref="T34">INDEX($B$3:$B$400,SMALL(IF($Q$2=$E$3:$E$400,ROW($E$3:$E$400)-ROW($E$3)+1),ROW(32:32)))</f>
        <v>66</v>
      </c>
    </row>
    <row r="35" spans="2:20" x14ac:dyDescent="0.35">
      <c r="B35" s="12">
        <f t="shared" si="0"/>
        <v>33</v>
      </c>
      <c r="C35" s="20" t="str">
        <f>'Default Rankings Import 2020'!D34</f>
        <v>Calvin Ridley</v>
      </c>
      <c r="D35" s="20" t="str">
        <f>'Default Rankings Import 2020'!E34</f>
        <v>ATL</v>
      </c>
      <c r="E35" s="21" t="str">
        <f>IF(LEFT('Default Rankings Import 2020'!F34,1)="D",LEFT('Default Rankings Import 2020'!F34,3),IF(LEFT('Default Rankings Import 2020'!F34,1)="K",LEFT('Default Rankings Import 2020'!F34,1),LEFT('Default Rankings Import 2020'!F34,2)))</f>
        <v>WR</v>
      </c>
      <c r="L35" s="12">
        <f t="shared" si="2"/>
        <v>33</v>
      </c>
      <c r="M35" s="20" t="str">
        <f t="array" ref="M35">INDEX($C$3:$C$400,SMALL(IF($L$2=$E$3:$E$400,ROW($E$3:$E$400)-ROW($E$3)+1),ROW(33:33))) &amp; " " &amp; INDEX($D$3:$D$400,SMALL(IF($L$2=$E$3:$E$400,ROW($E$3:$E$400)-ROW($E$3)+1),ROW(33:33)))</f>
        <v>Phillip Lindsay DEN</v>
      </c>
      <c r="N35" s="20">
        <f>'Default Rankings Import 2020'!$R$6*('Default Rankings'!O35)^2+'Default Rankings Import 2020'!$S$6*'Default Rankings'!O35+'Default Rankings Import 2020'!$T$6</f>
        <v>24.389834147412568</v>
      </c>
      <c r="O35" s="49">
        <f t="array" ref="O35">INDEX($B$3:$B$400,SMALL(IF($L$2=$E$3:$E$400,ROW($E$3:$E$400)-ROW($E$3)+1),ROW(33:33)))</f>
        <v>86</v>
      </c>
      <c r="Q35" s="12">
        <f t="shared" si="3"/>
        <v>33</v>
      </c>
      <c r="R35" s="20" t="str">
        <f t="array" ref="R35">INDEX($C$3:$C$400,SMALL(IF($Q$2=$E$3:$E$400,ROW($E$3:$E$400)-ROW($E$3)+1),ROW(33:33))) &amp; " " &amp; INDEX($D$3:$D$400,SMALL(IF($Q$2=$E$3:$E$400,ROW($E$3:$E$400)-ROW($E$3)+1),ROW(33:33)))</f>
        <v>Marquise Brown BAL</v>
      </c>
      <c r="S35" s="20">
        <f>'Default Rankings Import 2020'!$R$7*('Default Rankings'!T35)^2+'Default Rankings Import 2020'!$S$7*'Default Rankings'!T35+'Default Rankings Import 2020'!$T$7</f>
        <v>16.534931457922358</v>
      </c>
      <c r="T35" s="21">
        <f t="array" ref="T35">INDEX($B$3:$B$400,SMALL(IF($Q$2=$E$3:$E$400,ROW($E$3:$E$400)-ROW($E$3)+1),ROW(33:33)))</f>
        <v>67</v>
      </c>
    </row>
    <row r="36" spans="2:20" x14ac:dyDescent="0.35">
      <c r="B36" s="12">
        <f t="shared" si="0"/>
        <v>34</v>
      </c>
      <c r="C36" s="20" t="str">
        <f>'Default Rankings Import 2020'!D35</f>
        <v>Lamar Jackson</v>
      </c>
      <c r="D36" s="20" t="str">
        <f>'Default Rankings Import 2020'!E35</f>
        <v>BAL</v>
      </c>
      <c r="E36" s="21" t="str">
        <f>IF(LEFT('Default Rankings Import 2020'!F35,1)="D",LEFT('Default Rankings Import 2020'!F35,3),IF(LEFT('Default Rankings Import 2020'!F35,1)="K",LEFT('Default Rankings Import 2020'!F35,1),LEFT('Default Rankings Import 2020'!F35,2)))</f>
        <v>QB</v>
      </c>
      <c r="L36" s="12">
        <f t="shared" si="2"/>
        <v>34</v>
      </c>
      <c r="M36" s="20" t="str">
        <f t="array" ref="M36">INDEX($C$3:$C$400,SMALL(IF($L$2=$E$3:$E$400,ROW($E$3:$E$400)-ROW($E$3)+1),ROW(34:34))) &amp; " " &amp; INDEX($D$3:$D$400,SMALL(IF($L$2=$E$3:$E$400,ROW($E$3:$E$400)-ROW($E$3)+1),ROW(34:34)))</f>
        <v>Jordan Howard MIA</v>
      </c>
      <c r="N36" s="20">
        <f>'Default Rankings Import 2020'!$R$6*('Default Rankings'!O36)^2+'Default Rankings Import 2020'!$S$6*'Default Rankings'!O36+'Default Rankings Import 2020'!$T$6</f>
        <v>24.611311142278414</v>
      </c>
      <c r="O36" s="49">
        <f t="array" ref="O36">INDEX($B$3:$B$400,SMALL(IF($L$2=$E$3:$E$400,ROW($E$3:$E$400)-ROW($E$3)+1),ROW(34:34)))</f>
        <v>87</v>
      </c>
      <c r="Q36" s="12">
        <f t="shared" si="3"/>
        <v>34</v>
      </c>
      <c r="R36" s="20" t="str">
        <f t="array" ref="R36">INDEX($C$3:$C$400,SMALL(IF($Q$2=$E$3:$E$400,ROW($E$3:$E$400)-ROW($E$3)+1),ROW(34:34))) &amp; " " &amp; INDEX($D$3:$D$400,SMALL(IF($Q$2=$E$3:$E$400,ROW($E$3:$E$400)-ROW($E$3)+1),ROW(34:34)))</f>
        <v>Deebo Samuel SF</v>
      </c>
      <c r="S36" s="20">
        <f>'Default Rankings Import 2020'!$R$7*('Default Rankings'!T36)^2+'Default Rankings Import 2020'!$S$7*'Default Rankings'!T36+'Default Rankings Import 2020'!$T$7</f>
        <v>16.740626067615697</v>
      </c>
      <c r="T36" s="21">
        <f t="array" ref="T36">INDEX($B$3:$B$400,SMALL(IF($Q$2=$E$3:$E$400,ROW($E$3:$E$400)-ROW($E$3)+1),ROW(34:34)))</f>
        <v>68</v>
      </c>
    </row>
    <row r="37" spans="2:20" x14ac:dyDescent="0.35">
      <c r="B37" s="12">
        <f t="shared" si="0"/>
        <v>35</v>
      </c>
      <c r="C37" s="20" t="str">
        <f>'Default Rankings Import 2020'!D36</f>
        <v>Patrick Mahomes</v>
      </c>
      <c r="D37" s="20" t="str">
        <f>'Default Rankings Import 2020'!E36</f>
        <v>KC</v>
      </c>
      <c r="E37" s="21" t="str">
        <f>IF(LEFT('Default Rankings Import 2020'!F36,1)="D",LEFT('Default Rankings Import 2020'!F36,3),IF(LEFT('Default Rankings Import 2020'!F36,1)="K",LEFT('Default Rankings Import 2020'!F36,1),LEFT('Default Rankings Import 2020'!F36,2)))</f>
        <v>QB</v>
      </c>
      <c r="L37" s="12">
        <f t="shared" si="2"/>
        <v>35</v>
      </c>
      <c r="M37" s="20" t="str">
        <f t="array" ref="M37">INDEX($C$3:$C$400,SMALL(IF($L$2=$E$3:$E$400,ROW($E$3:$E$400)-ROW($E$3)+1),ROW(35:35))) &amp; " " &amp; INDEX($D$3:$D$400,SMALL(IF($L$2=$E$3:$E$400,ROW($E$3:$E$400)-ROW($E$3)+1),ROW(35:35)))</f>
        <v>J.K. Dobbins BAL</v>
      </c>
      <c r="N37" s="20">
        <f>'Default Rankings Import 2020'!$R$6*('Default Rankings'!O37)^2+'Default Rankings Import 2020'!$S$6*'Default Rankings'!O37+'Default Rankings Import 2020'!$T$6</f>
        <v>24.831367544615201</v>
      </c>
      <c r="O37" s="49">
        <f t="array" ref="O37">INDEX($B$3:$B$400,SMALL(IF($L$2=$E$3:$E$400,ROW($E$3:$E$400)-ROW($E$3)+1),ROW(35:35)))</f>
        <v>88</v>
      </c>
      <c r="Q37" s="12">
        <f t="shared" si="3"/>
        <v>35</v>
      </c>
      <c r="R37" s="20" t="str">
        <f t="array" ref="R37">INDEX($C$3:$C$400,SMALL(IF($Q$2=$E$3:$E$400,ROW($E$3:$E$400)-ROW($E$3)+1),ROW(35:35))) &amp; " " &amp; INDEX($D$3:$D$400,SMALL(IF($Q$2=$E$3:$E$400,ROW($E$3:$E$400)-ROW($E$3)+1),ROW(35:35)))</f>
        <v>Marvin Jones Jr. DET</v>
      </c>
      <c r="S37" s="20">
        <f>'Default Rankings Import 2020'!$R$7*('Default Rankings'!T37)^2+'Default Rankings Import 2020'!$S$7*'Default Rankings'!T37+'Default Rankings Import 2020'!$T$7</f>
        <v>18.535638448624258</v>
      </c>
      <c r="T37" s="21">
        <f t="array" ref="T37">INDEX($B$3:$B$400,SMALL(IF($Q$2=$E$3:$E$400,ROW($E$3:$E$400)-ROW($E$3)+1),ROW(35:35)))</f>
        <v>77</v>
      </c>
    </row>
    <row r="38" spans="2:20" x14ac:dyDescent="0.35">
      <c r="B38" s="12">
        <f t="shared" si="0"/>
        <v>36</v>
      </c>
      <c r="C38" s="20" t="str">
        <f>'Default Rankings Import 2020'!D37</f>
        <v>Tyler Lockett</v>
      </c>
      <c r="D38" s="20" t="str">
        <f>'Default Rankings Import 2020'!E37</f>
        <v>SEA</v>
      </c>
      <c r="E38" s="21" t="str">
        <f>IF(LEFT('Default Rankings Import 2020'!F37,1)="D",LEFT('Default Rankings Import 2020'!F37,3),IF(LEFT('Default Rankings Import 2020'!F37,1)="K",LEFT('Default Rankings Import 2020'!F37,1),LEFT('Default Rankings Import 2020'!F37,2)))</f>
        <v>WR</v>
      </c>
      <c r="L38" s="12">
        <f t="shared" si="2"/>
        <v>36</v>
      </c>
      <c r="M38" s="20" t="str">
        <f t="array" ref="M38">INDEX($C$3:$C$400,SMALL(IF($L$2=$E$3:$E$400,ROW($E$3:$E$400)-ROW($E$3)+1),ROW(36:36))) &amp; " " &amp; INDEX($D$3:$D$400,SMALL(IF($L$2=$E$3:$E$400,ROW($E$3:$E$400)-ROW($E$3)+1),ROW(36:36)))</f>
        <v>Zack Moss BUF</v>
      </c>
      <c r="N38" s="20">
        <f>'Default Rankings Import 2020'!$R$6*('Default Rankings'!O38)^2+'Default Rankings Import 2020'!$S$6*'Default Rankings'!O38+'Default Rankings Import 2020'!$T$6</f>
        <v>25.050003354422923</v>
      </c>
      <c r="O38" s="49">
        <f t="array" ref="O38">INDEX($B$3:$B$400,SMALL(IF($L$2=$E$3:$E$400,ROW($E$3:$E$400)-ROW($E$3)+1),ROW(36:36)))</f>
        <v>89</v>
      </c>
      <c r="Q38" s="12">
        <f t="shared" si="3"/>
        <v>36</v>
      </c>
      <c r="R38" s="20" t="str">
        <f t="array" ref="R38">INDEX($C$3:$C$400,SMALL(IF($Q$2=$E$3:$E$400,ROW($E$3:$E$400)-ROW($E$3)+1),ROW(36:36))) &amp; " " &amp; INDEX($D$3:$D$400,SMALL(IF($Q$2=$E$3:$E$400,ROW($E$3:$E$400)-ROW($E$3)+1),ROW(36:36)))</f>
        <v>Julian Edelman NE</v>
      </c>
      <c r="S38" s="20">
        <f>'Default Rankings Import 2020'!$R$7*('Default Rankings'!T38)^2+'Default Rankings Import 2020'!$S$7*'Default Rankings'!T38+'Default Rankings Import 2020'!$T$7</f>
        <v>18.728835479155045</v>
      </c>
      <c r="T38" s="21">
        <f t="array" ref="T38">INDEX($B$3:$B$400,SMALL(IF($Q$2=$E$3:$E$400,ROW($E$3:$E$400)-ROW($E$3)+1),ROW(36:36)))</f>
        <v>78</v>
      </c>
    </row>
    <row r="39" spans="2:20" x14ac:dyDescent="0.35">
      <c r="B39" s="12">
        <f t="shared" si="0"/>
        <v>37</v>
      </c>
      <c r="C39" s="20" t="str">
        <f>'Default Rankings Import 2020'!D38</f>
        <v>Robert Woods</v>
      </c>
      <c r="D39" s="20" t="str">
        <f>'Default Rankings Import 2020'!E38</f>
        <v>LAR</v>
      </c>
      <c r="E39" s="21" t="str">
        <f>IF(LEFT('Default Rankings Import 2020'!F38,1)="D",LEFT('Default Rankings Import 2020'!F38,3),IF(LEFT('Default Rankings Import 2020'!F38,1)="K",LEFT('Default Rankings Import 2020'!F38,1),LEFT('Default Rankings Import 2020'!F38,2)))</f>
        <v>WR</v>
      </c>
      <c r="L39" s="12">
        <f t="shared" si="2"/>
        <v>37</v>
      </c>
      <c r="M39" s="20" t="str">
        <f t="array" ref="M39">INDEX($C$3:$C$400,SMALL(IF($L$2=$E$3:$E$400,ROW($E$3:$E$400)-ROW($E$3)+1),ROW(37:37))) &amp; " " &amp; INDEX($D$3:$D$400,SMALL(IF($L$2=$E$3:$E$400,ROW($E$3:$E$400)-ROW($E$3)+1),ROW(37:37)))</f>
        <v>Tarik Cohen CHI</v>
      </c>
      <c r="N39" s="20">
        <f>'Default Rankings Import 2020'!$R$6*('Default Rankings'!O39)^2+'Default Rankings Import 2020'!$S$6*'Default Rankings'!O39+'Default Rankings Import 2020'!$T$6</f>
        <v>25.267218571701587</v>
      </c>
      <c r="O39" s="49">
        <f t="array" ref="O39">INDEX($B$3:$B$400,SMALL(IF($L$2=$E$3:$E$400,ROW($E$3:$E$400)-ROW($E$3)+1),ROW(37:37)))</f>
        <v>90</v>
      </c>
      <c r="Q39" s="12">
        <f t="shared" si="3"/>
        <v>37</v>
      </c>
      <c r="R39" s="20" t="str">
        <f t="array" ref="R39">INDEX($C$3:$C$400,SMALL(IF($Q$2=$E$3:$E$400,ROW($E$3:$E$400)-ROW($E$3)+1),ROW(37:37))) &amp; " " &amp; INDEX($D$3:$D$400,SMALL(IF($Q$2=$E$3:$E$400,ROW($E$3:$E$400)-ROW($E$3)+1),ROW(37:37)))</f>
        <v>Sterling Shepard NYG</v>
      </c>
      <c r="S39" s="20">
        <f>'Default Rankings Import 2020'!$R$7*('Default Rankings'!T39)^2+'Default Rankings Import 2020'!$S$7*'Default Rankings'!T39+'Default Rankings Import 2020'!$T$7</f>
        <v>18.920782751769579</v>
      </c>
      <c r="T39" s="21">
        <f t="array" ref="T39">INDEX($B$3:$B$400,SMALL(IF($Q$2=$E$3:$E$400,ROW($E$3:$E$400)-ROW($E$3)+1),ROW(37:37)))</f>
        <v>79</v>
      </c>
    </row>
    <row r="40" spans="2:20" x14ac:dyDescent="0.35">
      <c r="B40" s="12">
        <f t="shared" si="0"/>
        <v>38</v>
      </c>
      <c r="C40" s="20" t="str">
        <f>'Default Rankings Import 2020'!D39</f>
        <v>Cooper Kupp</v>
      </c>
      <c r="D40" s="20" t="str">
        <f>'Default Rankings Import 2020'!E39</f>
        <v>LAR</v>
      </c>
      <c r="E40" s="21" t="str">
        <f>IF(LEFT('Default Rankings Import 2020'!F39,1)="D",LEFT('Default Rankings Import 2020'!F39,3),IF(LEFT('Default Rankings Import 2020'!F39,1)="K",LEFT('Default Rankings Import 2020'!F39,1),LEFT('Default Rankings Import 2020'!F39,2)))</f>
        <v>WR</v>
      </c>
      <c r="L40" s="12">
        <f t="shared" si="2"/>
        <v>38</v>
      </c>
      <c r="M40" s="20" t="str">
        <f t="array" ref="M40">INDEX($C$3:$C$400,SMALL(IF($L$2=$E$3:$E$400,ROW($E$3:$E$400)-ROW($E$3)+1),ROW(38:38))) &amp; " " &amp; INDEX($D$3:$D$400,SMALL(IF($L$2=$E$3:$E$400,ROW($E$3:$E$400)-ROW($E$3)+1),ROW(38:38)))</f>
        <v>Matt Breida MIA</v>
      </c>
      <c r="N40" s="20">
        <f>'Default Rankings Import 2020'!$R$6*('Default Rankings'!O40)^2+'Default Rankings Import 2020'!$S$6*'Default Rankings'!O40+'Default Rankings Import 2020'!$T$6</f>
        <v>25.483013196451186</v>
      </c>
      <c r="O40" s="49">
        <f t="array" ref="O40">INDEX($B$3:$B$400,SMALL(IF($L$2=$E$3:$E$400,ROW($E$3:$E$400)-ROW($E$3)+1),ROW(38:38)))</f>
        <v>91</v>
      </c>
      <c r="Q40" s="12">
        <f t="shared" si="3"/>
        <v>38</v>
      </c>
      <c r="R40" s="20" t="str">
        <f t="array" ref="R40">INDEX($C$3:$C$400,SMALL(IF($Q$2=$E$3:$E$400,ROW($E$3:$E$400)-ROW($E$3)+1),ROW(38:38))) &amp; " " &amp; INDEX($D$3:$D$400,SMALL(IF($Q$2=$E$3:$E$400,ROW($E$3:$E$400)-ROW($E$3)+1),ROW(38:38)))</f>
        <v>Brandin Cooks HOU</v>
      </c>
      <c r="S40" s="20">
        <f>'Default Rankings Import 2020'!$R$7*('Default Rankings'!T40)^2+'Default Rankings Import 2020'!$S$7*'Default Rankings'!T40+'Default Rankings Import 2020'!$T$7</f>
        <v>19.111480266467851</v>
      </c>
      <c r="T40" s="21">
        <f t="array" ref="T40">INDEX($B$3:$B$400,SMALL(IF($Q$2=$E$3:$E$400,ROW($E$3:$E$400)-ROW($E$3)+1),ROW(38:38)))</f>
        <v>80</v>
      </c>
    </row>
    <row r="41" spans="2:20" x14ac:dyDescent="0.35">
      <c r="B41" s="12">
        <f t="shared" si="0"/>
        <v>39</v>
      </c>
      <c r="C41" s="20" t="str">
        <f>'Default Rankings Import 2020'!D40</f>
        <v>Chris Carson</v>
      </c>
      <c r="D41" s="20" t="str">
        <f>'Default Rankings Import 2020'!E40</f>
        <v>SEA</v>
      </c>
      <c r="E41" s="21" t="str">
        <f>IF(LEFT('Default Rankings Import 2020'!F40,1)="D",LEFT('Default Rankings Import 2020'!F40,3),IF(LEFT('Default Rankings Import 2020'!F40,1)="K",LEFT('Default Rankings Import 2020'!F40,1),LEFT('Default Rankings Import 2020'!F40,2)))</f>
        <v>RB</v>
      </c>
      <c r="L41" s="12">
        <f t="shared" si="2"/>
        <v>39</v>
      </c>
      <c r="M41" s="20" t="str">
        <f t="array" ref="M41">INDEX($C$3:$C$400,SMALL(IF($L$2=$E$3:$E$400,ROW($E$3:$E$400)-ROW($E$3)+1),ROW(39:39))) &amp; " " &amp; INDEX($D$3:$D$400,SMALL(IF($L$2=$E$3:$E$400,ROW($E$3:$E$400)-ROW($E$3)+1),ROW(39:39)))</f>
        <v>Tevin Coleman SF</v>
      </c>
      <c r="N41" s="20">
        <f>'Default Rankings Import 2020'!$R$6*('Default Rankings'!O41)^2+'Default Rankings Import 2020'!$S$6*'Default Rankings'!O41+'Default Rankings Import 2020'!$T$6</f>
        <v>25.697387228671726</v>
      </c>
      <c r="O41" s="49">
        <f t="array" ref="O41">INDEX($B$3:$B$400,SMALL(IF($L$2=$E$3:$E$400,ROW($E$3:$E$400)-ROW($E$3)+1),ROW(39:39)))</f>
        <v>92</v>
      </c>
      <c r="Q41" s="12">
        <f t="shared" si="3"/>
        <v>39</v>
      </c>
      <c r="R41" s="20" t="str">
        <f t="array" ref="R41">INDEX($C$3:$C$400,SMALL(IF($Q$2=$E$3:$E$400,ROW($E$3:$E$400)-ROW($E$3)+1),ROW(39:39))) &amp; " " &amp; INDEX($D$3:$D$400,SMALL(IF($Q$2=$E$3:$E$400,ROW($E$3:$E$400)-ROW($E$3)+1),ROW(39:39)))</f>
        <v>Diontae Johnson PIT</v>
      </c>
      <c r="S41" s="20">
        <f>'Default Rankings Import 2020'!$R$7*('Default Rankings'!T41)^2+'Default Rankings Import 2020'!$S$7*'Default Rankings'!T41+'Default Rankings Import 2020'!$T$7</f>
        <v>19.300928023249874</v>
      </c>
      <c r="T41" s="21">
        <f t="array" ref="T41">INDEX($B$3:$B$400,SMALL(IF($Q$2=$E$3:$E$400,ROW($E$3:$E$400)-ROW($E$3)+1),ROW(39:39)))</f>
        <v>81</v>
      </c>
    </row>
    <row r="42" spans="2:20" x14ac:dyDescent="0.35">
      <c r="B42" s="12">
        <f t="shared" si="0"/>
        <v>40</v>
      </c>
      <c r="C42" s="20" t="str">
        <f>'Default Rankings Import 2020'!D41</f>
        <v>David Johnson</v>
      </c>
      <c r="D42" s="20" t="str">
        <f>'Default Rankings Import 2020'!E41</f>
        <v>HOU</v>
      </c>
      <c r="E42" s="21" t="str">
        <f>IF(LEFT('Default Rankings Import 2020'!F41,1)="D",LEFT('Default Rankings Import 2020'!F41,3),IF(LEFT('Default Rankings Import 2020'!F41,1)="K",LEFT('Default Rankings Import 2020'!F41,1),LEFT('Default Rankings Import 2020'!F41,2)))</f>
        <v>RB</v>
      </c>
      <c r="L42" s="12">
        <f t="shared" si="2"/>
        <v>40</v>
      </c>
      <c r="M42" s="20" t="str">
        <f t="array" ref="M42">INDEX($C$3:$C$400,SMALL(IF($L$2=$E$3:$E$400,ROW($E$3:$E$400)-ROW($E$3)+1),ROW(40:40))) &amp; " " &amp; INDEX($D$3:$D$400,SMALL(IF($L$2=$E$3:$E$400,ROW($E$3:$E$400)-ROW($E$3)+1),ROW(40:40)))</f>
        <v>James White NE</v>
      </c>
      <c r="N42" s="20">
        <f>'Default Rankings Import 2020'!$R$6*('Default Rankings'!O42)^2+'Default Rankings Import 2020'!$S$6*'Default Rankings'!O42+'Default Rankings Import 2020'!$T$6</f>
        <v>25.910340668363201</v>
      </c>
      <c r="O42" s="49">
        <f t="array" ref="O42">INDEX($B$3:$B$400,SMALL(IF($L$2=$E$3:$E$400,ROW($E$3:$E$400)-ROW($E$3)+1),ROW(40:40)))</f>
        <v>93</v>
      </c>
      <c r="Q42" s="12">
        <f t="shared" si="3"/>
        <v>40</v>
      </c>
      <c r="R42" s="20" t="str">
        <f t="array" ref="R42">INDEX($C$3:$C$400,SMALL(IF($Q$2=$E$3:$E$400,ROW($E$3:$E$400)-ROW($E$3)+1),ROW(40:40))) &amp; " " &amp; INDEX($D$3:$D$400,SMALL(IF($Q$2=$E$3:$E$400,ROW($E$3:$E$400)-ROW($E$3)+1),ROW(40:40)))</f>
        <v>Christian Kirk ARI</v>
      </c>
      <c r="S42" s="20">
        <f>'Default Rankings Import 2020'!$R$7*('Default Rankings'!T42)^2+'Default Rankings Import 2020'!$S$7*'Default Rankings'!T42+'Default Rankings Import 2020'!$T$7</f>
        <v>19.861772746098406</v>
      </c>
      <c r="T42" s="21">
        <f t="array" ref="T42">INDEX($B$3:$B$400,SMALL(IF($Q$2=$E$3:$E$400,ROW($E$3:$E$400)-ROW($E$3)+1),ROW(40:40)))</f>
        <v>84</v>
      </c>
    </row>
    <row r="43" spans="2:20" x14ac:dyDescent="0.35">
      <c r="B43" s="12">
        <f t="shared" si="0"/>
        <v>41</v>
      </c>
      <c r="C43" s="20" t="str">
        <f>'Default Rankings Import 2020'!D42</f>
        <v>Mark Andrews</v>
      </c>
      <c r="D43" s="20" t="str">
        <f>'Default Rankings Import 2020'!E42</f>
        <v>BAL</v>
      </c>
      <c r="E43" s="21" t="str">
        <f>IF(LEFT('Default Rankings Import 2020'!F42,1)="D",LEFT('Default Rankings Import 2020'!F42,3),IF(LEFT('Default Rankings Import 2020'!F42,1)="K",LEFT('Default Rankings Import 2020'!F42,1),LEFT('Default Rankings Import 2020'!F42,2)))</f>
        <v>TE</v>
      </c>
      <c r="L43" s="12">
        <f t="shared" si="2"/>
        <v>41</v>
      </c>
      <c r="M43" s="20" t="str">
        <f t="array" ref="M43">INDEX($C$3:$C$400,SMALL(IF($L$2=$E$3:$E$400,ROW($E$3:$E$400)-ROW($E$3)+1),ROW(41:41))) &amp; " " &amp; INDEX($D$3:$D$400,SMALL(IF($L$2=$E$3:$E$400,ROW($E$3:$E$400)-ROW($E$3)+1),ROW(41:41)))</f>
        <v>Alexander Mattison MIN</v>
      </c>
      <c r="N43" s="20">
        <f>'Default Rankings Import 2020'!$R$6*('Default Rankings'!O43)^2+'Default Rankings Import 2020'!$S$6*'Default Rankings'!O43+'Default Rankings Import 2020'!$T$6</f>
        <v>27.961742476179577</v>
      </c>
      <c r="O43" s="49">
        <f t="array" ref="O43">INDEX($B$3:$B$400,SMALL(IF($L$2=$E$3:$E$400,ROW($E$3:$E$400)-ROW($E$3)+1),ROW(41:41)))</f>
        <v>103</v>
      </c>
      <c r="Q43" s="12">
        <f t="shared" si="3"/>
        <v>41</v>
      </c>
      <c r="R43" s="20" t="str">
        <f t="array" ref="R43">INDEX($C$3:$C$400,SMALL(IF($Q$2=$E$3:$E$400,ROW($E$3:$E$400)-ROW($E$3)+1),ROW(41:41))) &amp; " " &amp; INDEX($D$3:$D$400,SMALL(IF($Q$2=$E$3:$E$400,ROW($E$3:$E$400)-ROW($E$3)+1),ROW(41:41)))</f>
        <v>Preston Williams MIA</v>
      </c>
      <c r="S43" s="20">
        <f>'Default Rankings Import 2020'!$R$7*('Default Rankings'!T43)^2+'Default Rankings Import 2020'!$S$7*'Default Rankings'!T43+'Default Rankings Import 2020'!$T$7</f>
        <v>21.650020891036913</v>
      </c>
      <c r="T43" s="21">
        <f t="array" ref="T43">INDEX($B$3:$B$400,SMALL(IF($Q$2=$E$3:$E$400,ROW($E$3:$E$400)-ROW($E$3)+1),ROW(41:41)))</f>
        <v>94</v>
      </c>
    </row>
    <row r="44" spans="2:20" x14ac:dyDescent="0.35">
      <c r="B44" s="12">
        <f t="shared" si="0"/>
        <v>42</v>
      </c>
      <c r="C44" s="20" t="str">
        <f>'Default Rankings Import 2020'!D43</f>
        <v>Zach Ertz</v>
      </c>
      <c r="D44" s="20" t="str">
        <f>'Default Rankings Import 2020'!E43</f>
        <v>PHI</v>
      </c>
      <c r="E44" s="21" t="str">
        <f>IF(LEFT('Default Rankings Import 2020'!F43,1)="D",LEFT('Default Rankings Import 2020'!F43,3),IF(LEFT('Default Rankings Import 2020'!F43,1)="K",LEFT('Default Rankings Import 2020'!F43,1),LEFT('Default Rankings Import 2020'!F43,2)))</f>
        <v>TE</v>
      </c>
      <c r="L44" s="12">
        <f t="shared" si="2"/>
        <v>42</v>
      </c>
      <c r="M44" s="20" t="str">
        <f t="array" ref="M44">INDEX($C$3:$C$400,SMALL(IF($L$2=$E$3:$E$400,ROW($E$3:$E$400)-ROW($E$3)+1),ROW(42:42))) &amp; " " &amp; INDEX($D$3:$D$400,SMALL(IF($L$2=$E$3:$E$400,ROW($E$3:$E$400)-ROW($E$3)+1),ROW(42:42)))</f>
        <v>Darrell Henderson Jr. LAR</v>
      </c>
      <c r="N44" s="20">
        <f>'Default Rankings Import 2020'!$R$6*('Default Rankings'!O44)^2+'Default Rankings Import 2020'!$S$6*'Default Rankings'!O44+'Default Rankings Import 2020'!$T$6</f>
        <v>28.159069398051376</v>
      </c>
      <c r="O44" s="49">
        <f t="array" ref="O44">INDEX($B$3:$B$400,SMALL(IF($L$2=$E$3:$E$400,ROW($E$3:$E$400)-ROW($E$3)+1),ROW(42:42)))</f>
        <v>104</v>
      </c>
      <c r="Q44" s="12">
        <f t="shared" si="3"/>
        <v>42</v>
      </c>
      <c r="R44" s="20" t="str">
        <f t="array" ref="R44">INDEX($C$3:$C$400,SMALL(IF($Q$2=$E$3:$E$400,ROW($E$3:$E$400)-ROW($E$3)+1),ROW(42:42))) &amp; " " &amp; INDEX($D$3:$D$400,SMALL(IF($Q$2=$E$3:$E$400,ROW($E$3:$E$400)-ROW($E$3)+1),ROW(42:42)))</f>
        <v>Jamison Crowder NYJ</v>
      </c>
      <c r="S44" s="20">
        <f>'Default Rankings Import 2020'!$R$7*('Default Rankings'!T44)^2+'Default Rankings Import 2020'!$S$7*'Default Rankings'!T44+'Default Rankings Import 2020'!$T$7</f>
        <v>21.821972036991362</v>
      </c>
      <c r="T44" s="21">
        <f t="array" ref="T44">INDEX($B$3:$B$400,SMALL(IF($Q$2=$E$3:$E$400,ROW($E$3:$E$400)-ROW($E$3)+1),ROW(42:42)))</f>
        <v>95</v>
      </c>
    </row>
    <row r="45" spans="2:20" x14ac:dyDescent="0.35">
      <c r="B45" s="12">
        <f t="shared" si="0"/>
        <v>43</v>
      </c>
      <c r="C45" s="20" t="str">
        <f>'Default Rankings Import 2020'!D44</f>
        <v>Todd Gurley II</v>
      </c>
      <c r="D45" s="20" t="str">
        <f>'Default Rankings Import 2020'!E44</f>
        <v>ATL</v>
      </c>
      <c r="E45" s="21" t="str">
        <f>IF(LEFT('Default Rankings Import 2020'!F44,1)="D",LEFT('Default Rankings Import 2020'!F44,3),IF(LEFT('Default Rankings Import 2020'!F44,1)="K",LEFT('Default Rankings Import 2020'!F44,1),LEFT('Default Rankings Import 2020'!F44,2)))</f>
        <v>RB</v>
      </c>
      <c r="L45" s="12">
        <f t="shared" si="2"/>
        <v>43</v>
      </c>
      <c r="M45" s="20" t="str">
        <f t="array" ref="M45">INDEX($C$3:$C$400,SMALL(IF($L$2=$E$3:$E$400,ROW($E$3:$E$400)-ROW($E$3)+1),ROW(43:43))) &amp; " " &amp; INDEX($D$3:$D$400,SMALL(IF($L$2=$E$3:$E$400,ROW($E$3:$E$400)-ROW($E$3)+1),ROW(43:43)))</f>
        <v>Latavius Murray NO</v>
      </c>
      <c r="N45" s="20">
        <f>'Default Rankings Import 2020'!$R$6*('Default Rankings'!O45)^2+'Default Rankings Import 2020'!$S$6*'Default Rankings'!O45+'Default Rankings Import 2020'!$T$6</f>
        <v>28.354975727394102</v>
      </c>
      <c r="O45" s="49">
        <f t="array" ref="O45">INDEX($B$3:$B$400,SMALL(IF($L$2=$E$3:$E$400,ROW($E$3:$E$400)-ROW($E$3)+1),ROW(43:43)))</f>
        <v>105</v>
      </c>
      <c r="Q45" s="12">
        <f t="shared" si="3"/>
        <v>43</v>
      </c>
      <c r="R45" s="20" t="str">
        <f t="array" ref="R45">INDEX($C$3:$C$400,SMALL(IF($Q$2=$E$3:$E$400,ROW($E$3:$E$400)-ROW($E$3)+1),ROW(43:43))) &amp; " " &amp; INDEX($D$3:$D$400,SMALL(IF($Q$2=$E$3:$E$400,ROW($E$3:$E$400)-ROW($E$3)+1),ROW(43:43)))</f>
        <v>Darius Slayton NYG</v>
      </c>
      <c r="S45" s="20">
        <f>'Default Rankings Import 2020'!$R$7*('Default Rankings'!T45)^2+'Default Rankings Import 2020'!$S$7*'Default Rankings'!T45+'Default Rankings Import 2020'!$T$7</f>
        <v>21.992673425029555</v>
      </c>
      <c r="T45" s="21">
        <f t="array" ref="T45">INDEX($B$3:$B$400,SMALL(IF($Q$2=$E$3:$E$400,ROW($E$3:$E$400)-ROW($E$3)+1),ROW(43:43)))</f>
        <v>96</v>
      </c>
    </row>
    <row r="46" spans="2:20" x14ac:dyDescent="0.35">
      <c r="B46" s="12">
        <f t="shared" si="0"/>
        <v>44</v>
      </c>
      <c r="C46" s="20" t="str">
        <f>'Default Rankings Import 2020'!D45</f>
        <v>James Conner</v>
      </c>
      <c r="D46" s="20" t="str">
        <f>'Default Rankings Import 2020'!E45</f>
        <v>PIT</v>
      </c>
      <c r="E46" s="21" t="str">
        <f>IF(LEFT('Default Rankings Import 2020'!F45,1)="D",LEFT('Default Rankings Import 2020'!F45,3),IF(LEFT('Default Rankings Import 2020'!F45,1)="K",LEFT('Default Rankings Import 2020'!F45,1),LEFT('Default Rankings Import 2020'!F45,2)))</f>
        <v>RB</v>
      </c>
      <c r="L46" s="12">
        <f t="shared" si="2"/>
        <v>44</v>
      </c>
      <c r="M46" s="20" t="str">
        <f t="array" ref="M46">INDEX($C$3:$C$400,SMALL(IF($L$2=$E$3:$E$400,ROW($E$3:$E$400)-ROW($E$3)+1),ROW(44:44))) &amp; " " &amp; INDEX($D$3:$D$400,SMALL(IF($L$2=$E$3:$E$400,ROW($E$3:$E$400)-ROW($E$3)+1),ROW(44:44)))</f>
        <v>Duke Johnson HOU</v>
      </c>
      <c r="N46" s="20">
        <f>'Default Rankings Import 2020'!$R$6*('Default Rankings'!O46)^2+'Default Rankings Import 2020'!$S$6*'Default Rankings'!O46+'Default Rankings Import 2020'!$T$6</f>
        <v>32.468737764255962</v>
      </c>
      <c r="O46" s="49">
        <f t="array" ref="O46">INDEX($B$3:$B$400,SMALL(IF($L$2=$E$3:$E$400,ROW($E$3:$E$400)-ROW($E$3)+1),ROW(44:44)))</f>
        <v>128</v>
      </c>
      <c r="Q46" s="12">
        <f t="shared" si="3"/>
        <v>44</v>
      </c>
      <c r="R46" s="20" t="str">
        <f t="array" ref="R46">INDEX($C$3:$C$400,SMALL(IF($Q$2=$E$3:$E$400,ROW($E$3:$E$400)-ROW($E$3)+1),ROW(44:44))) &amp; " " &amp; INDEX($D$3:$D$400,SMALL(IF($Q$2=$E$3:$E$400,ROW($E$3:$E$400)-ROW($E$3)+1),ROW(44:44)))</f>
        <v>Golden Tate NYG</v>
      </c>
      <c r="S46" s="20">
        <f>'Default Rankings Import 2020'!$R$7*('Default Rankings'!T46)^2+'Default Rankings Import 2020'!$S$7*'Default Rankings'!T46+'Default Rankings Import 2020'!$T$7</f>
        <v>22.162125055151488</v>
      </c>
      <c r="T46" s="21">
        <f t="array" ref="T46">INDEX($B$3:$B$400,SMALL(IF($Q$2=$E$3:$E$400,ROW($E$3:$E$400)-ROW($E$3)+1),ROW(44:44)))</f>
        <v>97</v>
      </c>
    </row>
    <row r="47" spans="2:20" x14ac:dyDescent="0.35">
      <c r="B47" s="12">
        <f t="shared" si="0"/>
        <v>45</v>
      </c>
      <c r="C47" s="20" t="str">
        <f>'Default Rankings Import 2020'!D46</f>
        <v>Jonathan Taylor</v>
      </c>
      <c r="D47" s="20" t="str">
        <f>'Default Rankings Import 2020'!E46</f>
        <v>IND</v>
      </c>
      <c r="E47" s="21" t="str">
        <f>IF(LEFT('Default Rankings Import 2020'!F46,1)="D",LEFT('Default Rankings Import 2020'!F46,3),IF(LEFT('Default Rankings Import 2020'!F46,1)="K",LEFT('Default Rankings Import 2020'!F46,1),LEFT('Default Rankings Import 2020'!F46,2)))</f>
        <v>RB</v>
      </c>
      <c r="L47" s="12">
        <f t="shared" si="2"/>
        <v>45</v>
      </c>
      <c r="M47" s="20" t="str">
        <f t="array" ref="M47">INDEX($C$3:$C$400,SMALL(IF($L$2=$E$3:$E$400,ROW($E$3:$E$400)-ROW($E$3)+1),ROW(45:45))) &amp; " " &amp; INDEX($D$3:$D$400,SMALL(IF($L$2=$E$3:$E$400,ROW($E$3:$E$400)-ROW($E$3)+1),ROW(45:45)))</f>
        <v>Marlon Mack IND</v>
      </c>
      <c r="N47" s="20">
        <f>'Default Rankings Import 2020'!$R$6*('Default Rankings'!O47)^2+'Default Rankings Import 2020'!$S$6*'Default Rankings'!O47+'Default Rankings Import 2020'!$T$6</f>
        <v>32.630549872901213</v>
      </c>
      <c r="O47" s="49">
        <f t="array" ref="O47">INDEX($B$3:$B$400,SMALL(IF($L$2=$E$3:$E$400,ROW($E$3:$E$400)-ROW($E$3)+1),ROW(45:45)))</f>
        <v>129</v>
      </c>
      <c r="Q47" s="12">
        <f t="shared" si="3"/>
        <v>45</v>
      </c>
      <c r="R47" s="20" t="str">
        <f t="array" ref="R47">INDEX($C$3:$C$400,SMALL(IF($Q$2=$E$3:$E$400,ROW($E$3:$E$400)-ROW($E$3)+1),ROW(45:45))) &amp; " " &amp; INDEX($D$3:$D$400,SMALL(IF($Q$2=$E$3:$E$400,ROW($E$3:$E$400)-ROW($E$3)+1),ROW(45:45)))</f>
        <v>Robby Anderson CAR</v>
      </c>
      <c r="S47" s="20">
        <f>'Default Rankings Import 2020'!$R$7*('Default Rankings'!T47)^2+'Default Rankings Import 2020'!$S$7*'Default Rankings'!T47+'Default Rankings Import 2020'!$T$7</f>
        <v>22.33032692735717</v>
      </c>
      <c r="T47" s="21">
        <f t="array" ref="T47">INDEX($B$3:$B$400,SMALL(IF($Q$2=$E$3:$E$400,ROW($E$3:$E$400)-ROW($E$3)+1),ROW(45:45)))</f>
        <v>98</v>
      </c>
    </row>
    <row r="48" spans="2:20" x14ac:dyDescent="0.35">
      <c r="B48" s="12">
        <f t="shared" si="0"/>
        <v>46</v>
      </c>
      <c r="C48" s="20" t="str">
        <f>'Default Rankings Import 2020'!D47</f>
        <v>Melvin Gordon</v>
      </c>
      <c r="D48" s="20" t="str">
        <f>'Default Rankings Import 2020'!E47</f>
        <v>DEN</v>
      </c>
      <c r="E48" s="21" t="str">
        <f>IF(LEFT('Default Rankings Import 2020'!F47,1)="D",LEFT('Default Rankings Import 2020'!F47,3),IF(LEFT('Default Rankings Import 2020'!F47,1)="K",LEFT('Default Rankings Import 2020'!F47,1),LEFT('Default Rankings Import 2020'!F47,2)))</f>
        <v>RB</v>
      </c>
      <c r="L48" s="12">
        <f t="shared" si="2"/>
        <v>46</v>
      </c>
      <c r="M48" s="20" t="str">
        <f t="array" ref="M48">INDEX($C$3:$C$400,SMALL(IF($L$2=$E$3:$E$400,ROW($E$3:$E$400)-ROW($E$3)+1),ROW(46:46))) &amp; " " &amp; INDEX($D$3:$D$400,SMALL(IF($L$2=$E$3:$E$400,ROW($E$3:$E$400)-ROW($E$3)+1),ROW(46:46)))</f>
        <v>Chase Edmonds ARI</v>
      </c>
      <c r="N48" s="20">
        <f>'Default Rankings Import 2020'!$R$6*('Default Rankings'!O48)^2+'Default Rankings Import 2020'!$S$6*'Default Rankings'!O48+'Default Rankings Import 2020'!$T$6</f>
        <v>32.790941389017405</v>
      </c>
      <c r="O48" s="49">
        <f t="array" ref="O48">INDEX($B$3:$B$400,SMALL(IF($L$2=$E$3:$E$400,ROW($E$3:$E$400)-ROW($E$3)+1),ROW(46:46)))</f>
        <v>130</v>
      </c>
      <c r="Q48" s="12">
        <f t="shared" si="3"/>
        <v>46</v>
      </c>
      <c r="R48" s="20" t="str">
        <f t="array" ref="R48">INDEX($C$3:$C$400,SMALL(IF($Q$2=$E$3:$E$400,ROW($E$3:$E$400)-ROW($E$3)+1),ROW(46:46))) &amp; " " &amp; INDEX($D$3:$D$400,SMALL(IF($Q$2=$E$3:$E$400,ROW($E$3:$E$400)-ROW($E$3)+1),ROW(46:46)))</f>
        <v>John Brown BUF</v>
      </c>
      <c r="S48" s="20">
        <f>'Default Rankings Import 2020'!$R$7*('Default Rankings'!T48)^2+'Default Rankings Import 2020'!$S$7*'Default Rankings'!T48+'Default Rankings Import 2020'!$T$7</f>
        <v>22.497279041646596</v>
      </c>
      <c r="T48" s="21">
        <f t="array" ref="T48">INDEX($B$3:$B$400,SMALL(IF($Q$2=$E$3:$E$400,ROW($E$3:$E$400)-ROW($E$3)+1),ROW(46:46)))</f>
        <v>99</v>
      </c>
    </row>
    <row r="49" spans="2:20" x14ac:dyDescent="0.35">
      <c r="B49" s="12">
        <f t="shared" si="0"/>
        <v>47</v>
      </c>
      <c r="C49" s="20" t="str">
        <f>'Default Rankings Import 2020'!D48</f>
        <v>Le'Veon Bell</v>
      </c>
      <c r="D49" s="20" t="str">
        <f>'Default Rankings Import 2020'!E48</f>
        <v>NYJ</v>
      </c>
      <c r="E49" s="21" t="str">
        <f>IF(LEFT('Default Rankings Import 2020'!F48,1)="D",LEFT('Default Rankings Import 2020'!F48,3),IF(LEFT('Default Rankings Import 2020'!F48,1)="K",LEFT('Default Rankings Import 2020'!F48,1),LEFT('Default Rankings Import 2020'!F48,2)))</f>
        <v>RB</v>
      </c>
      <c r="L49" s="12">
        <f t="shared" si="2"/>
        <v>47</v>
      </c>
      <c r="M49" s="20" t="str">
        <f t="array" ref="M49">INDEX($C$3:$C$400,SMALL(IF($L$2=$E$3:$E$400,ROW($E$3:$E$400)-ROW($E$3)+1),ROW(47:47))) &amp; " " &amp; INDEX($D$3:$D$400,SMALL(IF($L$2=$E$3:$E$400,ROW($E$3:$E$400)-ROW($E$3)+1),ROW(47:47)))</f>
        <v>Sony Michel NE</v>
      </c>
      <c r="N49" s="20">
        <f>'Default Rankings Import 2020'!$R$6*('Default Rankings'!O49)^2+'Default Rankings Import 2020'!$S$6*'Default Rankings'!O49+'Default Rankings Import 2020'!$T$6</f>
        <v>32.949912312604532</v>
      </c>
      <c r="O49" s="49">
        <f t="array" ref="O49">INDEX($B$3:$B$400,SMALL(IF($L$2=$E$3:$E$400,ROW($E$3:$E$400)-ROW($E$3)+1),ROW(47:47)))</f>
        <v>131</v>
      </c>
      <c r="Q49" s="12">
        <f t="shared" si="3"/>
        <v>47</v>
      </c>
      <c r="R49" s="20" t="str">
        <f t="array" ref="R49">INDEX($C$3:$C$400,SMALL(IF($Q$2=$E$3:$E$400,ROW($E$3:$E$400)-ROW($E$3)+1),ROW(47:47))) &amp; " " &amp; INDEX($D$3:$D$400,SMALL(IF($Q$2=$E$3:$E$400,ROW($E$3:$E$400)-ROW($E$3)+1),ROW(47:47)))</f>
        <v>Emmanuel Sanders NO</v>
      </c>
      <c r="S49" s="20">
        <f>'Default Rankings Import 2020'!$R$7*('Default Rankings'!T49)^2+'Default Rankings Import 2020'!$S$7*'Default Rankings'!T49+'Default Rankings Import 2020'!$T$7</f>
        <v>22.662981398019767</v>
      </c>
      <c r="T49" s="21">
        <f t="array" ref="T49">INDEX($B$3:$B$400,SMALL(IF($Q$2=$E$3:$E$400,ROW($E$3:$E$400)-ROW($E$3)+1),ROW(47:47)))</f>
        <v>100</v>
      </c>
    </row>
    <row r="50" spans="2:20" x14ac:dyDescent="0.35">
      <c r="B50" s="12">
        <f t="shared" si="0"/>
        <v>48</v>
      </c>
      <c r="C50" s="20" t="str">
        <f>'Default Rankings Import 2020'!D49</f>
        <v>Cam Akers</v>
      </c>
      <c r="D50" s="20" t="str">
        <f>'Default Rankings Import 2020'!E49</f>
        <v>LAR</v>
      </c>
      <c r="E50" s="21" t="str">
        <f>IF(LEFT('Default Rankings Import 2020'!F49,1)="D",LEFT('Default Rankings Import 2020'!F49,3),IF(LEFT('Default Rankings Import 2020'!F49,1)="K",LEFT('Default Rankings Import 2020'!F49,1),LEFT('Default Rankings Import 2020'!F49,2)))</f>
        <v>RB</v>
      </c>
      <c r="L50" s="12">
        <f t="shared" si="2"/>
        <v>48</v>
      </c>
      <c r="M50" s="20" t="str">
        <f t="array" ref="M50">INDEX($C$3:$C$400,SMALL(IF($L$2=$E$3:$E$400,ROW($E$3:$E$400)-ROW($E$3)+1),ROW(48:48))) &amp; " " &amp; INDEX($D$3:$D$400,SMALL(IF($L$2=$E$3:$E$400,ROW($E$3:$E$400)-ROW($E$3)+1),ROW(48:48)))</f>
        <v>Tony Pollard DAL</v>
      </c>
      <c r="N50" s="20">
        <f>'Default Rankings Import 2020'!$R$6*('Default Rankings'!O50)^2+'Default Rankings Import 2020'!$S$6*'Default Rankings'!O50+'Default Rankings Import 2020'!$T$6</f>
        <v>33.1074626436626</v>
      </c>
      <c r="O50" s="49">
        <f t="array" ref="O50">INDEX($B$3:$B$400,SMALL(IF($L$2=$E$3:$E$400,ROW($E$3:$E$400)-ROW($E$3)+1),ROW(48:48)))</f>
        <v>132</v>
      </c>
      <c r="Q50" s="12">
        <f t="shared" si="3"/>
        <v>48</v>
      </c>
      <c r="R50" s="20" t="str">
        <f t="array" ref="R50">INDEX($C$3:$C$400,SMALL(IF($Q$2=$E$3:$E$400,ROW($E$3:$E$400)-ROW($E$3)+1),ROW(48:48))) &amp; " " &amp; INDEX($D$3:$D$400,SMALL(IF($Q$2=$E$3:$E$400,ROW($E$3:$E$400)-ROW($E$3)+1),ROW(48:48)))</f>
        <v>Henry Ruggs III LV</v>
      </c>
      <c r="S50" s="20">
        <f>'Default Rankings Import 2020'!$R$7*('Default Rankings'!T50)^2+'Default Rankings Import 2020'!$S$7*'Default Rankings'!T50+'Default Rankings Import 2020'!$T$7</f>
        <v>22.827433996476685</v>
      </c>
      <c r="T50" s="21">
        <f t="array" ref="T50">INDEX($B$3:$B$400,SMALL(IF($Q$2=$E$3:$E$400,ROW($E$3:$E$400)-ROW($E$3)+1),ROW(48:48)))</f>
        <v>101</v>
      </c>
    </row>
    <row r="51" spans="2:20" x14ac:dyDescent="0.35">
      <c r="B51" s="12">
        <f t="shared" si="0"/>
        <v>49</v>
      </c>
      <c r="C51" s="20" t="str">
        <f>'Default Rankings Import 2020'!D50</f>
        <v>D'Andre Swift</v>
      </c>
      <c r="D51" s="20" t="str">
        <f>'Default Rankings Import 2020'!E50</f>
        <v>DET</v>
      </c>
      <c r="E51" s="21" t="str">
        <f>IF(LEFT('Default Rankings Import 2020'!F50,1)="D",LEFT('Default Rankings Import 2020'!F50,3),IF(LEFT('Default Rankings Import 2020'!F50,1)="K",LEFT('Default Rankings Import 2020'!F50,1),LEFT('Default Rankings Import 2020'!F50,2)))</f>
        <v>RB</v>
      </c>
      <c r="L51" s="12">
        <f t="shared" si="2"/>
        <v>49</v>
      </c>
      <c r="M51" s="20" t="str">
        <f t="array" ref="M51">INDEX($C$3:$C$400,SMALL(IF($L$2=$E$3:$E$400,ROW($E$3:$E$400)-ROW($E$3)+1),ROW(49:49))) &amp; " " &amp; INDEX($D$3:$D$400,SMALL(IF($L$2=$E$3:$E$400,ROW($E$3:$E$400)-ROW($E$3)+1),ROW(49:49)))</f>
        <v>Damien Harris NE</v>
      </c>
      <c r="N51" s="20">
        <f>'Default Rankings Import 2020'!$R$6*('Default Rankings'!O51)^2+'Default Rankings Import 2020'!$S$6*'Default Rankings'!O51+'Default Rankings Import 2020'!$T$6</f>
        <v>33.263592382191604</v>
      </c>
      <c r="O51" s="49">
        <f t="array" ref="O51">INDEX($B$3:$B$400,SMALL(IF($L$2=$E$3:$E$400,ROW($E$3:$E$400)-ROW($E$3)+1),ROW(49:49)))</f>
        <v>133</v>
      </c>
      <c r="Q51" s="12">
        <f t="shared" si="3"/>
        <v>49</v>
      </c>
      <c r="R51" s="20" t="str">
        <f t="array" ref="R51">INDEX($C$3:$C$400,SMALL(IF($Q$2=$E$3:$E$400,ROW($E$3:$E$400)-ROW($E$3)+1),ROW(49:49))) &amp; " " &amp; INDEX($D$3:$D$400,SMALL(IF($Q$2=$E$3:$E$400,ROW($E$3:$E$400)-ROW($E$3)+1),ROW(49:49)))</f>
        <v>DeSean Jackson PHI</v>
      </c>
      <c r="S51" s="20">
        <f>'Default Rankings Import 2020'!$R$7*('Default Rankings'!T51)^2+'Default Rankings Import 2020'!$S$7*'Default Rankings'!T51+'Default Rankings Import 2020'!$T$7</f>
        <v>22.990636837017341</v>
      </c>
      <c r="T51" s="21">
        <f t="array" ref="T51">INDEX($B$3:$B$400,SMALL(IF($Q$2=$E$3:$E$400,ROW($E$3:$E$400)-ROW($E$3)+1),ROW(49:49)))</f>
        <v>102</v>
      </c>
    </row>
    <row r="52" spans="2:20" x14ac:dyDescent="0.35">
      <c r="B52" s="12">
        <f t="shared" si="0"/>
        <v>50</v>
      </c>
      <c r="C52" s="20" t="str">
        <f>'Default Rankings Import 2020'!D51</f>
        <v>Terry McLaurin</v>
      </c>
      <c r="D52" s="20" t="str">
        <f>'Default Rankings Import 2020'!E51</f>
        <v>WAS</v>
      </c>
      <c r="E52" s="21" t="str">
        <f>IF(LEFT('Default Rankings Import 2020'!F51,1)="D",LEFT('Default Rankings Import 2020'!F51,3),IF(LEFT('Default Rankings Import 2020'!F51,1)="K",LEFT('Default Rankings Import 2020'!F51,1),LEFT('Default Rankings Import 2020'!F51,2)))</f>
        <v>WR</v>
      </c>
      <c r="L52" s="12">
        <f t="shared" si="2"/>
        <v>50</v>
      </c>
      <c r="M52" s="20" t="str">
        <f t="array" ref="M52">INDEX($C$3:$C$400,SMALL(IF($L$2=$E$3:$E$400,ROW($E$3:$E$400)-ROW($E$3)+1),ROW(50:50))) &amp; " " &amp; INDEX($D$3:$D$400,SMALL(IF($L$2=$E$3:$E$400,ROW($E$3:$E$400)-ROW($E$3)+1),ROW(50:50)))</f>
        <v>Justin Jackson LAC</v>
      </c>
      <c r="N52" s="20">
        <f>'Default Rankings Import 2020'!$R$6*('Default Rankings'!O52)^2+'Default Rankings Import 2020'!$S$6*'Default Rankings'!O52+'Default Rankings Import 2020'!$T$6</f>
        <v>34.170538370255329</v>
      </c>
      <c r="O52" s="49">
        <f t="array" ref="O52">INDEX($B$3:$B$400,SMALL(IF($L$2=$E$3:$E$400,ROW($E$3:$E$400)-ROW($E$3)+1),ROW(50:50)))</f>
        <v>139</v>
      </c>
      <c r="Q52" s="12">
        <f t="shared" si="3"/>
        <v>50</v>
      </c>
      <c r="R52" s="20" t="str">
        <f t="array" ref="R52">INDEX($C$3:$C$400,SMALL(IF($Q$2=$E$3:$E$400,ROW($E$3:$E$400)-ROW($E$3)+1),ROW(50:50))) &amp; " " &amp; INDEX($D$3:$D$400,SMALL(IF($Q$2=$E$3:$E$400,ROW($E$3:$E$400)-ROW($E$3)+1),ROW(50:50)))</f>
        <v>Breshad Perriman NYJ</v>
      </c>
      <c r="S52" s="20">
        <f>'Default Rankings Import 2020'!$R$7*('Default Rankings'!T52)^2+'Default Rankings Import 2020'!$S$7*'Default Rankings'!T52+'Default Rankings Import 2020'!$T$7</f>
        <v>23.630950620017433</v>
      </c>
      <c r="T52" s="21">
        <f t="array" ref="T52">INDEX($B$3:$B$400,SMALL(IF($Q$2=$E$3:$E$400,ROW($E$3:$E$400)-ROW($E$3)+1),ROW(50:50)))</f>
        <v>106</v>
      </c>
    </row>
    <row r="53" spans="2:20" x14ac:dyDescent="0.35">
      <c r="B53" s="12">
        <f t="shared" si="0"/>
        <v>51</v>
      </c>
      <c r="C53" s="20" t="str">
        <f>'Default Rankings Import 2020'!D52</f>
        <v>T.Y. Hilton</v>
      </c>
      <c r="D53" s="20" t="str">
        <f>'Default Rankings Import 2020'!E52</f>
        <v>IND</v>
      </c>
      <c r="E53" s="21" t="str">
        <f>IF(LEFT('Default Rankings Import 2020'!F52,1)="D",LEFT('Default Rankings Import 2020'!F52,3),IF(LEFT('Default Rankings Import 2020'!F52,1)="K",LEFT('Default Rankings Import 2020'!F52,1),LEFT('Default Rankings Import 2020'!F52,2)))</f>
        <v>WR</v>
      </c>
      <c r="L53" s="12">
        <f t="shared" si="2"/>
        <v>51</v>
      </c>
      <c r="M53" s="20" t="str">
        <f t="array" ref="M53">INDEX($C$3:$C$400,SMALL(IF($L$2=$E$3:$E$400,ROW($E$3:$E$400)-ROW($E$3)+1),ROW(51:51))) &amp; " " &amp; INDEX($D$3:$D$400,SMALL(IF($L$2=$E$3:$E$400,ROW($E$3:$E$400)-ROW($E$3)+1),ROW(51:51)))</f>
        <v>Chris Thompson JAC</v>
      </c>
      <c r="N53" s="20">
        <f>'Default Rankings Import 2020'!$R$6*('Default Rankings'!O53)^2+'Default Rankings Import 2020'!$S$6*'Default Rankings'!O53+'Default Rankings Import 2020'!$T$6</f>
        <v>34.316723961080903</v>
      </c>
      <c r="O53" s="49">
        <f t="array" ref="O53">INDEX($B$3:$B$400,SMALL(IF($L$2=$E$3:$E$400,ROW($E$3:$E$400)-ROW($E$3)+1),ROW(51:51)))</f>
        <v>140</v>
      </c>
      <c r="Q53" s="12">
        <f t="shared" si="3"/>
        <v>51</v>
      </c>
      <c r="R53" s="20" t="str">
        <f t="array" ref="R53">INDEX($C$3:$C$400,SMALL(IF($Q$2=$E$3:$E$400,ROW($E$3:$E$400)-ROW($E$3)+1),ROW(51:51))) &amp; " " &amp; INDEX($D$3:$D$400,SMALL(IF($Q$2=$E$3:$E$400,ROW($E$3:$E$400)-ROW($E$3)+1),ROW(51:51)))</f>
        <v>Jerry Jeudy DEN</v>
      </c>
      <c r="S53" s="20">
        <f>'Default Rankings Import 2020'!$R$7*('Default Rankings'!T53)^2+'Default Rankings Import 2020'!$S$7*'Default Rankings'!T53+'Default Rankings Import 2020'!$T$7</f>
        <v>23.787904670976818</v>
      </c>
      <c r="T53" s="21">
        <f t="array" ref="T53">INDEX($B$3:$B$400,SMALL(IF($Q$2=$E$3:$E$400,ROW($E$3:$E$400)-ROW($E$3)+1),ROW(51:51)))</f>
        <v>107</v>
      </c>
    </row>
    <row r="54" spans="2:20" x14ac:dyDescent="0.35">
      <c r="B54" s="12">
        <f t="shared" si="0"/>
        <v>52</v>
      </c>
      <c r="C54" s="20" t="str">
        <f>'Default Rankings Import 2020'!D53</f>
        <v>Keenan Allen</v>
      </c>
      <c r="D54" s="20" t="str">
        <f>'Default Rankings Import 2020'!E53</f>
        <v>LAC</v>
      </c>
      <c r="E54" s="21" t="str">
        <f>IF(LEFT('Default Rankings Import 2020'!F53,1)="D",LEFT('Default Rankings Import 2020'!F53,3),IF(LEFT('Default Rankings Import 2020'!F53,1)="K",LEFT('Default Rankings Import 2020'!F53,1),LEFT('Default Rankings Import 2020'!F53,2)))</f>
        <v>WR</v>
      </c>
      <c r="L54" s="12">
        <f t="shared" si="2"/>
        <v>52</v>
      </c>
      <c r="M54" s="20" t="str">
        <f t="array" ref="M54">INDEX($C$3:$C$400,SMALL(IF($L$2=$E$3:$E$400,ROW($E$3:$E$400)-ROW($E$3)+1),ROW(52:52))) &amp; " " &amp; INDEX($D$3:$D$400,SMALL(IF($L$2=$E$3:$E$400,ROW($E$3:$E$400)-ROW($E$3)+1),ROW(52:52)))</f>
        <v>Adrian Peterson WAS</v>
      </c>
      <c r="N54" s="20">
        <f>'Default Rankings Import 2020'!$R$6*('Default Rankings'!O54)^2+'Default Rankings Import 2020'!$S$6*'Default Rankings'!O54+'Default Rankings Import 2020'!$T$6</f>
        <v>34.461488959377419</v>
      </c>
      <c r="O54" s="49">
        <f t="array" ref="O54">INDEX($B$3:$B$400,SMALL(IF($L$2=$E$3:$E$400,ROW($E$3:$E$400)-ROW($E$3)+1),ROW(52:52)))</f>
        <v>141</v>
      </c>
      <c r="Q54" s="12">
        <f t="shared" si="3"/>
        <v>52</v>
      </c>
      <c r="R54" s="20" t="str">
        <f t="array" ref="R54">INDEX($C$3:$C$400,SMALL(IF($Q$2=$E$3:$E$400,ROW($E$3:$E$400)-ROW($E$3)+1),ROW(52:52))) &amp; " " &amp; INDEX($D$3:$D$400,SMALL(IF($Q$2=$E$3:$E$400,ROW($E$3:$E$400)-ROW($E$3)+1),ROW(52:52)))</f>
        <v>Mike Williams LAC</v>
      </c>
      <c r="S54" s="20">
        <f>'Default Rankings Import 2020'!$R$7*('Default Rankings'!T54)^2+'Default Rankings Import 2020'!$S$7*'Default Rankings'!T54+'Default Rankings Import 2020'!$T$7</f>
        <v>23.943608964019944</v>
      </c>
      <c r="T54" s="21">
        <f t="array" ref="T54">INDEX($B$3:$B$400,SMALL(IF($Q$2=$E$3:$E$400,ROW($E$3:$E$400)-ROW($E$3)+1),ROW(52:52)))</f>
        <v>108</v>
      </c>
    </row>
    <row r="55" spans="2:20" x14ac:dyDescent="0.35">
      <c r="B55" s="12">
        <f t="shared" si="0"/>
        <v>53</v>
      </c>
      <c r="C55" s="20" t="str">
        <f>'Default Rankings Import 2020'!D54</f>
        <v>DK Metcalf</v>
      </c>
      <c r="D55" s="20" t="str">
        <f>'Default Rankings Import 2020'!E54</f>
        <v>SEA</v>
      </c>
      <c r="E55" s="21" t="str">
        <f>IF(LEFT('Default Rankings Import 2020'!F54,1)="D",LEFT('Default Rankings Import 2020'!F54,3),IF(LEFT('Default Rankings Import 2020'!F54,1)="K",LEFT('Default Rankings Import 2020'!F54,1),LEFT('Default Rankings Import 2020'!F54,2)))</f>
        <v>WR</v>
      </c>
      <c r="L55" s="12">
        <f t="shared" si="2"/>
        <v>53</v>
      </c>
      <c r="M55" s="20" t="str">
        <f t="array" ref="M55">INDEX($C$3:$C$400,SMALL(IF($L$2=$E$3:$E$400,ROW($E$3:$E$400)-ROW($E$3)+1),ROW(53:53))) &amp; " " &amp; INDEX($D$3:$D$400,SMALL(IF($L$2=$E$3:$E$400,ROW($E$3:$E$400)-ROW($E$3)+1),ROW(53:53)))</f>
        <v>Devine Ozigbo JAC</v>
      </c>
      <c r="N55" s="20">
        <f>'Default Rankings Import 2020'!$R$6*('Default Rankings'!O55)^2+'Default Rankings Import 2020'!$S$6*'Default Rankings'!O55+'Default Rankings Import 2020'!$T$6</f>
        <v>34.60483336514487</v>
      </c>
      <c r="O55" s="49">
        <f t="array" ref="O55">INDEX($B$3:$B$400,SMALL(IF($L$2=$E$3:$E$400,ROW($E$3:$E$400)-ROW($E$3)+1),ROW(53:53)))</f>
        <v>142</v>
      </c>
      <c r="Q55" s="12">
        <f t="shared" si="3"/>
        <v>53</v>
      </c>
      <c r="R55" s="20" t="str">
        <f t="array" ref="R55">INDEX($C$3:$C$400,SMALL(IF($Q$2=$E$3:$E$400,ROW($E$3:$E$400)-ROW($E$3)+1),ROW(53:53))) &amp; " " &amp; INDEX($D$3:$D$400,SMALL(IF($Q$2=$E$3:$E$400,ROW($E$3:$E$400)-ROW($E$3)+1),ROW(53:53)))</f>
        <v>CeeDee Lamb DAL</v>
      </c>
      <c r="S55" s="20">
        <f>'Default Rankings Import 2020'!$R$7*('Default Rankings'!T55)^2+'Default Rankings Import 2020'!$S$7*'Default Rankings'!T55+'Default Rankings Import 2020'!$T$7</f>
        <v>24.098063499146818</v>
      </c>
      <c r="T55" s="21">
        <f t="array" ref="T55">INDEX($B$3:$B$400,SMALL(IF($Q$2=$E$3:$E$400,ROW($E$3:$E$400)-ROW($E$3)+1),ROW(53:53)))</f>
        <v>109</v>
      </c>
    </row>
    <row r="56" spans="2:20" x14ac:dyDescent="0.35">
      <c r="B56" s="12">
        <f t="shared" si="0"/>
        <v>54</v>
      </c>
      <c r="C56" s="20" t="str">
        <f>'Default Rankings Import 2020'!D55</f>
        <v>Jarvis Landry</v>
      </c>
      <c r="D56" s="20" t="str">
        <f>'Default Rankings Import 2020'!E55</f>
        <v>CLE</v>
      </c>
      <c r="E56" s="21" t="str">
        <f>IF(LEFT('Default Rankings Import 2020'!F55,1)="D",LEFT('Default Rankings Import 2020'!F55,3),IF(LEFT('Default Rankings Import 2020'!F55,1)="K",LEFT('Default Rankings Import 2020'!F55,1),LEFT('Default Rankings Import 2020'!F55,2)))</f>
        <v>WR</v>
      </c>
      <c r="L56" s="12">
        <f t="shared" si="2"/>
        <v>54</v>
      </c>
      <c r="M56" s="20" t="str">
        <f t="array" ref="M56">INDEX($C$3:$C$400,SMALL(IF($L$2=$E$3:$E$400,ROW($E$3:$E$400)-ROW($E$3)+1),ROW(54:54))) &amp; " " &amp; INDEX($D$3:$D$400,SMALL(IF($L$2=$E$3:$E$400,ROW($E$3:$E$400)-ROW($E$3)+1),ROW(54:54)))</f>
        <v>Boston Scott PHI</v>
      </c>
      <c r="N56" s="20">
        <f>'Default Rankings Import 2020'!$R$6*('Default Rankings'!O56)^2+'Default Rankings Import 2020'!$S$6*'Default Rankings'!O56+'Default Rankings Import 2020'!$T$6</f>
        <v>34.746757178383248</v>
      </c>
      <c r="O56" s="49">
        <f t="array" ref="O56">INDEX($B$3:$B$400,SMALL(IF($L$2=$E$3:$E$400,ROW($E$3:$E$400)-ROW($E$3)+1),ROW(54:54)))</f>
        <v>143</v>
      </c>
      <c r="Q56" s="12">
        <f t="shared" si="3"/>
        <v>54</v>
      </c>
      <c r="R56" s="20" t="str">
        <f t="array" ref="R56">INDEX($C$3:$C$400,SMALL(IF($Q$2=$E$3:$E$400,ROW($E$3:$E$400)-ROW($E$3)+1),ROW(54:54))) &amp; " " &amp; INDEX($D$3:$D$400,SMALL(IF($Q$2=$E$3:$E$400,ROW($E$3:$E$400)-ROW($E$3)+1),ROW(54:54)))</f>
        <v>Mecole Hardman KC</v>
      </c>
      <c r="S56" s="20">
        <f>'Default Rankings Import 2020'!$R$7*('Default Rankings'!T56)^2+'Default Rankings Import 2020'!$S$7*'Default Rankings'!T56+'Default Rankings Import 2020'!$T$7</f>
        <v>26.12920240971625</v>
      </c>
      <c r="T56" s="21">
        <f t="array" ref="T56">INDEX($B$3:$B$400,SMALL(IF($Q$2=$E$3:$E$400,ROW($E$3:$E$400)-ROW($E$3)+1),ROW(54:54)))</f>
        <v>123</v>
      </c>
    </row>
    <row r="57" spans="2:20" x14ac:dyDescent="0.35">
      <c r="B57" s="12">
        <f t="shared" si="0"/>
        <v>55</v>
      </c>
      <c r="C57" s="20" t="str">
        <f>'Default Rankings Import 2020'!D56</f>
        <v>DJ Chark Jr.</v>
      </c>
      <c r="D57" s="20" t="str">
        <f>'Default Rankings Import 2020'!E56</f>
        <v>JAC</v>
      </c>
      <c r="E57" s="21" t="str">
        <f>IF(LEFT('Default Rankings Import 2020'!F56,1)="D",LEFT('Default Rankings Import 2020'!F56,3),IF(LEFT('Default Rankings Import 2020'!F56,1)="K",LEFT('Default Rankings Import 2020'!F56,1),LEFT('Default Rankings Import 2020'!F56,2)))</f>
        <v>WR</v>
      </c>
      <c r="L57" s="12">
        <f t="shared" si="2"/>
        <v>55</v>
      </c>
      <c r="M57" s="20" t="str">
        <f t="array" ref="M57">INDEX($C$3:$C$400,SMALL(IF($L$2=$E$3:$E$400,ROW($E$3:$E$400)-ROW($E$3)+1),ROW(55:55))) &amp; " " &amp; INDEX($D$3:$D$400,SMALL(IF($L$2=$E$3:$E$400,ROW($E$3:$E$400)-ROW($E$3)+1),ROW(55:55)))</f>
        <v>Nyheim Hines IND</v>
      </c>
      <c r="N57" s="20">
        <f>'Default Rankings Import 2020'!$R$6*('Default Rankings'!O57)^2+'Default Rankings Import 2020'!$S$6*'Default Rankings'!O57+'Default Rankings Import 2020'!$T$6</f>
        <v>34.887260399092575</v>
      </c>
      <c r="O57" s="49">
        <f t="array" ref="O57">INDEX($B$3:$B$400,SMALL(IF($L$2=$E$3:$E$400,ROW($E$3:$E$400)-ROW($E$3)+1),ROW(55:55)))</f>
        <v>144</v>
      </c>
      <c r="Q57" s="12">
        <f t="shared" si="3"/>
        <v>55</v>
      </c>
      <c r="R57" s="20" t="str">
        <f t="array" ref="R57">INDEX($C$3:$C$400,SMALL(IF($Q$2=$E$3:$E$400,ROW($E$3:$E$400)-ROW($E$3)+1),ROW(55:55))) &amp; " " &amp; INDEX($D$3:$D$400,SMALL(IF($Q$2=$E$3:$E$400,ROW($E$3:$E$400)-ROW($E$3)+1),ROW(55:55)))</f>
        <v>N'Keal Harry NE</v>
      </c>
      <c r="S57" s="20">
        <f>'Default Rankings Import 2020'!$R$7*('Default Rankings'!T57)^2+'Default Rankings Import 2020'!$S$7*'Default Rankings'!T57+'Default Rankings Import 2020'!$T$7</f>
        <v>26.264910576099293</v>
      </c>
      <c r="T57" s="21">
        <f t="array" ref="T57">INDEX($B$3:$B$400,SMALL(IF($Q$2=$E$3:$E$400,ROW($E$3:$E$400)-ROW($E$3)+1),ROW(55:55)))</f>
        <v>124</v>
      </c>
    </row>
    <row r="58" spans="2:20" x14ac:dyDescent="0.35">
      <c r="B58" s="12">
        <f t="shared" si="0"/>
        <v>56</v>
      </c>
      <c r="C58" s="20" t="str">
        <f>'Default Rankings Import 2020'!D57</f>
        <v>Raheem Mostert</v>
      </c>
      <c r="D58" s="20" t="str">
        <f>'Default Rankings Import 2020'!E57</f>
        <v>SF</v>
      </c>
      <c r="E58" s="21" t="str">
        <f>IF(LEFT('Default Rankings Import 2020'!F57,1)="D",LEFT('Default Rankings Import 2020'!F57,3),IF(LEFT('Default Rankings Import 2020'!F57,1)="K",LEFT('Default Rankings Import 2020'!F57,1),LEFT('Default Rankings Import 2020'!F57,2)))</f>
        <v>RB</v>
      </c>
      <c r="L58" s="12">
        <f t="shared" si="2"/>
        <v>56</v>
      </c>
      <c r="M58" s="20" t="str">
        <f t="array" ref="M58">INDEX($C$3:$C$400,SMALL(IF($L$2=$E$3:$E$400,ROW($E$3:$E$400)-ROW($E$3)+1),ROW(56:56))) &amp; " " &amp; INDEX($D$3:$D$400,SMALL(IF($L$2=$E$3:$E$400,ROW($E$3:$E$400)-ROW($E$3)+1),ROW(56:56)))</f>
        <v>Darrynton Evans TEN</v>
      </c>
      <c r="N58" s="20">
        <f>'Default Rankings Import 2020'!$R$6*('Default Rankings'!O58)^2+'Default Rankings Import 2020'!$S$6*'Default Rankings'!O58+'Default Rankings Import 2020'!$T$6</f>
        <v>36.462492830337652</v>
      </c>
      <c r="O58" s="49">
        <f t="array" ref="O58">INDEX($B$3:$B$400,SMALL(IF($L$2=$E$3:$E$400,ROW($E$3:$E$400)-ROW($E$3)+1),ROW(56:56)))</f>
        <v>156</v>
      </c>
      <c r="Q58" s="12">
        <f t="shared" si="3"/>
        <v>56</v>
      </c>
      <c r="R58" s="20" t="str">
        <f t="array" ref="R58">INDEX($C$3:$C$400,SMALL(IF($Q$2=$E$3:$E$400,ROW($E$3:$E$400)-ROW($E$3)+1),ROW(56:56))) &amp; " " &amp; INDEX($D$3:$D$400,SMALL(IF($Q$2=$E$3:$E$400,ROW($E$3:$E$400)-ROW($E$3)+1),ROW(56:56)))</f>
        <v>Curtis Samuel CAR</v>
      </c>
      <c r="S58" s="20">
        <f>'Default Rankings Import 2020'!$R$7*('Default Rankings'!T58)^2+'Default Rankings Import 2020'!$S$7*'Default Rankings'!T58+'Default Rankings Import 2020'!$T$7</f>
        <v>26.399368984566085</v>
      </c>
      <c r="T58" s="21">
        <f t="array" ref="T58">INDEX($B$3:$B$400,SMALL(IF($Q$2=$E$3:$E$400,ROW($E$3:$E$400)-ROW($E$3)+1),ROW(56:56)))</f>
        <v>125</v>
      </c>
    </row>
    <row r="59" spans="2:20" x14ac:dyDescent="0.35">
      <c r="B59" s="12">
        <f t="shared" si="0"/>
        <v>57</v>
      </c>
      <c r="C59" s="20" t="str">
        <f>'Default Rankings Import 2020'!D58</f>
        <v>David Montgomery</v>
      </c>
      <c r="D59" s="20" t="str">
        <f>'Default Rankings Import 2020'!E58</f>
        <v>CHI</v>
      </c>
      <c r="E59" s="21" t="str">
        <f>IF(LEFT('Default Rankings Import 2020'!F58,1)="D",LEFT('Default Rankings Import 2020'!F58,3),IF(LEFT('Default Rankings Import 2020'!F58,1)="K",LEFT('Default Rankings Import 2020'!F58,1),LEFT('Default Rankings Import 2020'!F58,2)))</f>
        <v>RB</v>
      </c>
      <c r="L59" s="12">
        <f t="shared" si="2"/>
        <v>57</v>
      </c>
      <c r="M59" s="20" t="str">
        <f t="array" ref="M59">INDEX($C$3:$C$400,SMALL(IF($L$2=$E$3:$E$400,ROW($E$3:$E$400)-ROW($E$3)+1),ROW(57:57))) &amp; " " &amp; INDEX($D$3:$D$400,SMALL(IF($L$2=$E$3:$E$400,ROW($E$3:$E$400)-ROW($E$3)+1),ROW(57:57)))</f>
        <v>Benny Snell Jr. PIT</v>
      </c>
      <c r="N59" s="20">
        <f>'Default Rankings Import 2020'!$R$6*('Default Rankings'!O59)^2+'Default Rankings Import 2020'!$S$6*'Default Rankings'!O59+'Default Rankings Import 2020'!$T$6</f>
        <v>36.584528348169172</v>
      </c>
      <c r="O59" s="49">
        <f t="array" ref="O59">INDEX($B$3:$B$400,SMALL(IF($L$2=$E$3:$E$400,ROW($E$3:$E$400)-ROW($E$3)+1),ROW(57:57)))</f>
        <v>157</v>
      </c>
      <c r="Q59" s="12">
        <f t="shared" si="3"/>
        <v>57</v>
      </c>
      <c r="R59" s="20" t="str">
        <f t="array" ref="R59">INDEX($C$3:$C$400,SMALL(IF($Q$2=$E$3:$E$400,ROW($E$3:$E$400)-ROW($E$3)+1),ROW(57:57))) &amp; " " &amp; INDEX($D$3:$D$400,SMALL(IF($Q$2=$E$3:$E$400,ROW($E$3:$E$400)-ROW($E$3)+1),ROW(57:57)))</f>
        <v>Parris Campbell IND</v>
      </c>
      <c r="S59" s="20">
        <f>'Default Rankings Import 2020'!$R$7*('Default Rankings'!T59)^2+'Default Rankings Import 2020'!$S$7*'Default Rankings'!T59+'Default Rankings Import 2020'!$T$7</f>
        <v>26.532577635116613</v>
      </c>
      <c r="T59" s="21">
        <f t="array" ref="T59">INDEX($B$3:$B$400,SMALL(IF($Q$2=$E$3:$E$400,ROW($E$3:$E$400)-ROW($E$3)+1),ROW(57:57)))</f>
        <v>126</v>
      </c>
    </row>
    <row r="60" spans="2:20" x14ac:dyDescent="0.35">
      <c r="B60" s="12">
        <f t="shared" si="0"/>
        <v>58</v>
      </c>
      <c r="C60" s="20" t="str">
        <f>'Default Rankings Import 2020'!D59</f>
        <v>Devin Singletary</v>
      </c>
      <c r="D60" s="20" t="str">
        <f>'Default Rankings Import 2020'!E59</f>
        <v>BUF</v>
      </c>
      <c r="E60" s="21" t="str">
        <f>IF(LEFT('Default Rankings Import 2020'!F59,1)="D",LEFT('Default Rankings Import 2020'!F59,3),IF(LEFT('Default Rankings Import 2020'!F59,1)="K",LEFT('Default Rankings Import 2020'!F59,1),LEFT('Default Rankings Import 2020'!F59,2)))</f>
        <v>RB</v>
      </c>
      <c r="L60" s="12">
        <f t="shared" si="2"/>
        <v>58</v>
      </c>
      <c r="M60" s="20" t="str">
        <f t="array" ref="M60">INDEX($C$3:$C$400,SMALL(IF($L$2=$E$3:$E$400,ROW($E$3:$E$400)-ROW($E$3)+1),ROW(58:58))) &amp; " " &amp; INDEX($D$3:$D$400,SMALL(IF($L$2=$E$3:$E$400,ROW($E$3:$E$400)-ROW($E$3)+1),ROW(58:58)))</f>
        <v>Ryquell Armstead JAC</v>
      </c>
      <c r="N60" s="20">
        <f>'Default Rankings Import 2020'!$R$6*('Default Rankings'!O60)^2+'Default Rankings Import 2020'!$S$6*'Default Rankings'!O60+'Default Rankings Import 2020'!$T$6</f>
        <v>36.705143273471634</v>
      </c>
      <c r="O60" s="49">
        <f t="array" ref="O60">INDEX($B$3:$B$400,SMALL(IF($L$2=$E$3:$E$400,ROW($E$3:$E$400)-ROW($E$3)+1),ROW(58:58)))</f>
        <v>158</v>
      </c>
      <c r="Q60" s="12">
        <f t="shared" si="3"/>
        <v>58</v>
      </c>
      <c r="R60" s="20" t="str">
        <f t="array" ref="R60">INDEX($C$3:$C$400,SMALL(IF($Q$2=$E$3:$E$400,ROW($E$3:$E$400)-ROW($E$3)+1),ROW(58:58))) &amp; " " &amp; INDEX($D$3:$D$400,SMALL(IF($Q$2=$E$3:$E$400,ROW($E$3:$E$400)-ROW($E$3)+1),ROW(58:58)))</f>
        <v>Anthony Miller CHI</v>
      </c>
      <c r="S60" s="20">
        <f>'Default Rankings Import 2020'!$R$7*('Default Rankings'!T60)^2+'Default Rankings Import 2020'!$S$7*'Default Rankings'!T60+'Default Rankings Import 2020'!$T$7</f>
        <v>26.664536527750894</v>
      </c>
      <c r="T60" s="21">
        <f t="array" ref="T60">INDEX($B$3:$B$400,SMALL(IF($Q$2=$E$3:$E$400,ROW($E$3:$E$400)-ROW($E$3)+1),ROW(58:58)))</f>
        <v>127</v>
      </c>
    </row>
    <row r="61" spans="2:20" x14ac:dyDescent="0.35">
      <c r="B61" s="12">
        <f t="shared" si="0"/>
        <v>59</v>
      </c>
      <c r="C61" s="20" t="str">
        <f>'Default Rankings Import 2020'!D60</f>
        <v>Kareem Hunt</v>
      </c>
      <c r="D61" s="20" t="str">
        <f>'Default Rankings Import 2020'!E60</f>
        <v>CLE</v>
      </c>
      <c r="E61" s="21" t="str">
        <f>IF(LEFT('Default Rankings Import 2020'!F60,1)="D",LEFT('Default Rankings Import 2020'!F60,3),IF(LEFT('Default Rankings Import 2020'!F60,1)="K",LEFT('Default Rankings Import 2020'!F60,1),LEFT('Default Rankings Import 2020'!F60,2)))</f>
        <v>RB</v>
      </c>
      <c r="L61" s="12">
        <f t="shared" si="2"/>
        <v>59</v>
      </c>
      <c r="M61" s="20" t="str">
        <f t="array" ref="M61">INDEX($C$3:$C$400,SMALL(IF($L$2=$E$3:$E$400,ROW($E$3:$E$400)-ROW($E$3)+1),ROW(59:59))) &amp; " " &amp; INDEX($D$3:$D$400,SMALL(IF($L$2=$E$3:$E$400,ROW($E$3:$E$400)-ROW($E$3)+1),ROW(59:59)))</f>
        <v>Joshua Kelley LAC</v>
      </c>
      <c r="N61" s="20">
        <f>'Default Rankings Import 2020'!$R$6*('Default Rankings'!O61)^2+'Default Rankings Import 2020'!$S$6*'Default Rankings'!O61+'Default Rankings Import 2020'!$T$6</f>
        <v>36.824337606245031</v>
      </c>
      <c r="O61" s="49">
        <f t="array" ref="O61">INDEX($B$3:$B$400,SMALL(IF($L$2=$E$3:$E$400,ROW($E$3:$E$400)-ROW($E$3)+1),ROW(59:59)))</f>
        <v>159</v>
      </c>
      <c r="Q61" s="12">
        <f t="shared" si="3"/>
        <v>59</v>
      </c>
      <c r="R61" s="20" t="str">
        <f t="array" ref="R61">INDEX($C$3:$C$400,SMALL(IF($Q$2=$E$3:$E$400,ROW($E$3:$E$400)-ROW($E$3)+1),ROW(59:59))) &amp; " " &amp; INDEX($D$3:$D$400,SMALL(IF($Q$2=$E$3:$E$400,ROW($E$3:$E$400)-ROW($E$3)+1),ROW(59:59)))</f>
        <v>Justin Jefferson MIN</v>
      </c>
      <c r="S61" s="20">
        <f>'Default Rankings Import 2020'!$R$7*('Default Rankings'!T61)^2+'Default Rankings Import 2020'!$S$7*'Default Rankings'!T61+'Default Rankings Import 2020'!$T$7</f>
        <v>28.826087991488269</v>
      </c>
      <c r="T61" s="21">
        <f t="array" ref="T61">INDEX($B$3:$B$400,SMALL(IF($Q$2=$E$3:$E$400,ROW($E$3:$E$400)-ROW($E$3)+1),ROW(59:59)))</f>
        <v>145</v>
      </c>
    </row>
    <row r="62" spans="2:20" x14ac:dyDescent="0.35">
      <c r="B62" s="12">
        <f t="shared" si="0"/>
        <v>60</v>
      </c>
      <c r="C62" s="20" t="str">
        <f>'Default Rankings Import 2020'!D61</f>
        <v>Antonio Gibson</v>
      </c>
      <c r="D62" s="20" t="str">
        <f>'Default Rankings Import 2020'!E61</f>
        <v>WAS</v>
      </c>
      <c r="E62" s="21" t="str">
        <f>IF(LEFT('Default Rankings Import 2020'!F61,1)="D",LEFT('Default Rankings Import 2020'!F61,3),IF(LEFT('Default Rankings Import 2020'!F61,1)="K",LEFT('Default Rankings Import 2020'!F61,1),LEFT('Default Rankings Import 2020'!F61,2)))</f>
        <v>RB</v>
      </c>
      <c r="L62" s="12">
        <f t="shared" si="2"/>
        <v>60</v>
      </c>
      <c r="M62" s="20" t="str">
        <f t="array" ref="M62">INDEX($C$3:$C$400,SMALL(IF($L$2=$E$3:$E$400,ROW($E$3:$E$400)-ROW($E$3)+1),ROW(60:60))) &amp; " " &amp; INDEX($D$3:$D$400,SMALL(IF($L$2=$E$3:$E$400,ROW($E$3:$E$400)-ROW($E$3)+1),ROW(60:60)))</f>
        <v>Jerick McKinnon SF</v>
      </c>
      <c r="N62" s="20">
        <f>'Default Rankings Import 2020'!$R$6*('Default Rankings'!O62)^2+'Default Rankings Import 2020'!$S$6*'Default Rankings'!O62+'Default Rankings Import 2020'!$T$6</f>
        <v>36.942111346489362</v>
      </c>
      <c r="O62" s="49">
        <f t="array" ref="O62">INDEX($B$3:$B$400,SMALL(IF($L$2=$E$3:$E$400,ROW($E$3:$E$400)-ROW($E$3)+1),ROW(60:60)))</f>
        <v>160</v>
      </c>
      <c r="Q62" s="12">
        <f t="shared" si="3"/>
        <v>60</v>
      </c>
      <c r="R62" s="20" t="str">
        <f t="array" ref="R62">INDEX($C$3:$C$400,SMALL(IF($Q$2=$E$3:$E$400,ROW($E$3:$E$400)-ROW($E$3)+1),ROW(60:60))) &amp; " " &amp; INDEX($D$3:$D$400,SMALL(IF($Q$2=$E$3:$E$400,ROW($E$3:$E$400)-ROW($E$3)+1),ROW(60:60)))</f>
        <v>Brandon Aiyuk SF</v>
      </c>
      <c r="S62" s="20">
        <f>'Default Rankings Import 2020'!$R$7*('Default Rankings'!T62)^2+'Default Rankings Import 2020'!$S$7*'Default Rankings'!T62+'Default Rankings Import 2020'!$T$7</f>
        <v>28.9343014837137</v>
      </c>
      <c r="T62" s="21">
        <f t="array" ref="T62">INDEX($B$3:$B$400,SMALL(IF($Q$2=$E$3:$E$400,ROW($E$3:$E$400)-ROW($E$3)+1),ROW(60:60)))</f>
        <v>146</v>
      </c>
    </row>
    <row r="63" spans="2:20" x14ac:dyDescent="0.35">
      <c r="B63" s="12">
        <f t="shared" si="0"/>
        <v>61</v>
      </c>
      <c r="C63" s="20" t="str">
        <f>'Default Rankings Import 2020'!D62</f>
        <v>DeVante Parker</v>
      </c>
      <c r="D63" s="20" t="str">
        <f>'Default Rankings Import 2020'!E62</f>
        <v>MIA</v>
      </c>
      <c r="E63" s="21" t="str">
        <f>IF(LEFT('Default Rankings Import 2020'!F62,1)="D",LEFT('Default Rankings Import 2020'!F62,3),IF(LEFT('Default Rankings Import 2020'!F62,1)="K",LEFT('Default Rankings Import 2020'!F62,1),LEFT('Default Rankings Import 2020'!F62,2)))</f>
        <v>WR</v>
      </c>
      <c r="L63" s="12">
        <f t="shared" si="2"/>
        <v>61</v>
      </c>
      <c r="M63" s="20" t="str">
        <f t="array" ref="M63">INDEX($C$3:$C$400,SMALL(IF($L$2=$E$3:$E$400,ROW($E$3:$E$400)-ROW($E$3)+1),ROW(61:61))) &amp; " " &amp; INDEX($D$3:$D$400,SMALL(IF($L$2=$E$3:$E$400,ROW($E$3:$E$400)-ROW($E$3)+1),ROW(61:61)))</f>
        <v>AJ Dillon GB</v>
      </c>
      <c r="N63" s="20">
        <f>'Default Rankings Import 2020'!$R$6*('Default Rankings'!O63)^2+'Default Rankings Import 2020'!$S$6*'Default Rankings'!O63+'Default Rankings Import 2020'!$T$6</f>
        <v>37.058464494204635</v>
      </c>
      <c r="O63" s="49">
        <f t="array" ref="O63">INDEX($B$3:$B$400,SMALL(IF($L$2=$E$3:$E$400,ROW($E$3:$E$400)-ROW($E$3)+1),ROW(61:61)))</f>
        <v>161</v>
      </c>
      <c r="Q63" s="12">
        <f t="shared" si="3"/>
        <v>61</v>
      </c>
      <c r="R63" s="20" t="str">
        <f t="array" ref="R63">INDEX($C$3:$C$400,SMALL(IF($Q$2=$E$3:$E$400,ROW($E$3:$E$400)-ROW($E$3)+1),ROW(61:61))) &amp; " " &amp; INDEX($D$3:$D$400,SMALL(IF($Q$2=$E$3:$E$400,ROW($E$3:$E$400)-ROW($E$3)+1),ROW(61:61)))</f>
        <v>Sammy Watkins KC</v>
      </c>
      <c r="S63" s="20">
        <f>'Default Rankings Import 2020'!$R$7*('Default Rankings'!T63)^2+'Default Rankings Import 2020'!$S$7*'Default Rankings'!T63+'Default Rankings Import 2020'!$T$7</f>
        <v>29.041265218022875</v>
      </c>
      <c r="T63" s="21">
        <f t="array" ref="T63">INDEX($B$3:$B$400,SMALL(IF($Q$2=$E$3:$E$400,ROW($E$3:$E$400)-ROW($E$3)+1),ROW(61:61)))</f>
        <v>147</v>
      </c>
    </row>
    <row r="64" spans="2:20" x14ac:dyDescent="0.35">
      <c r="B64" s="12">
        <f t="shared" si="0"/>
        <v>62</v>
      </c>
      <c r="C64" s="20" t="str">
        <f>'Default Rankings Import 2020'!D63</f>
        <v>Michael Gallup</v>
      </c>
      <c r="D64" s="20" t="str">
        <f>'Default Rankings Import 2020'!E63</f>
        <v>DAL</v>
      </c>
      <c r="E64" s="21" t="str">
        <f>IF(LEFT('Default Rankings Import 2020'!F63,1)="D",LEFT('Default Rankings Import 2020'!F63,3),IF(LEFT('Default Rankings Import 2020'!F63,1)="K",LEFT('Default Rankings Import 2020'!F63,1),LEFT('Default Rankings Import 2020'!F63,2)))</f>
        <v>WR</v>
      </c>
      <c r="L64" s="12">
        <f t="shared" si="2"/>
        <v>62</v>
      </c>
      <c r="M64" s="20" t="str">
        <f t="array" ref="M64">INDEX($C$3:$C$400,SMALL(IF($L$2=$E$3:$E$400,ROW($E$3:$E$400)-ROW($E$3)+1),ROW(62:62))) &amp; " " &amp; INDEX($D$3:$D$400,SMALL(IF($L$2=$E$3:$E$400,ROW($E$3:$E$400)-ROW($E$3)+1),ROW(62:62)))</f>
        <v>Carlos Hyde SEA</v>
      </c>
      <c r="N64" s="20">
        <f>'Default Rankings Import 2020'!$R$6*('Default Rankings'!O64)^2+'Default Rankings Import 2020'!$S$6*'Default Rankings'!O64+'Default Rankings Import 2020'!$T$6</f>
        <v>40.427225043350248</v>
      </c>
      <c r="O64" s="49">
        <f t="array" ref="O64">INDEX($B$3:$B$400,SMALL(IF($L$2=$E$3:$E$400,ROW($E$3:$E$400)-ROW($E$3)+1),ROW(62:62)))</f>
        <v>199</v>
      </c>
      <c r="Q64" s="12">
        <f t="shared" si="3"/>
        <v>62</v>
      </c>
      <c r="R64" s="20" t="str">
        <f t="array" ref="R64">INDEX($C$3:$C$400,SMALL(IF($Q$2=$E$3:$E$400,ROW($E$3:$E$400)-ROW($E$3)+1),ROW(62:62))) &amp; " " &amp; INDEX($D$3:$D$400,SMALL(IF($Q$2=$E$3:$E$400,ROW($E$3:$E$400)-ROW($E$3)+1),ROW(62:62)))</f>
        <v>Randall Cobb HOU</v>
      </c>
      <c r="S64" s="20">
        <f>'Default Rankings Import 2020'!$R$7*('Default Rankings'!T64)^2+'Default Rankings Import 2020'!$S$7*'Default Rankings'!T64+'Default Rankings Import 2020'!$T$7</f>
        <v>29.146979194415788</v>
      </c>
      <c r="T64" s="21">
        <f t="array" ref="T64">INDEX($B$3:$B$400,SMALL(IF($Q$2=$E$3:$E$400,ROW($E$3:$E$400)-ROW($E$3)+1),ROW(62:62)))</f>
        <v>148</v>
      </c>
    </row>
    <row r="65" spans="2:20" x14ac:dyDescent="0.35">
      <c r="B65" s="12">
        <f t="shared" si="0"/>
        <v>63</v>
      </c>
      <c r="C65" s="20" t="str">
        <f>'Default Rankings Import 2020'!D64</f>
        <v>A.J. Green</v>
      </c>
      <c r="D65" s="20" t="str">
        <f>'Default Rankings Import 2020'!E64</f>
        <v>CIN</v>
      </c>
      <c r="E65" s="21" t="str">
        <f>IF(LEFT('Default Rankings Import 2020'!F64,1)="D",LEFT('Default Rankings Import 2020'!F64,3),IF(LEFT('Default Rankings Import 2020'!F64,1)="K",LEFT('Default Rankings Import 2020'!F64,1),LEFT('Default Rankings Import 2020'!F64,2)))</f>
        <v>WR</v>
      </c>
      <c r="L65" s="12">
        <f t="shared" si="2"/>
        <v>63</v>
      </c>
      <c r="M65" s="20" t="str">
        <f t="array" ref="M65">INDEX($C$3:$C$400,SMALL(IF($L$2=$E$3:$E$400,ROW($E$3:$E$400)-ROW($E$3)+1),ROW(63:63))) &amp; " " &amp; INDEX($D$3:$D$400,SMALL(IF($L$2=$E$3:$E$400,ROW($E$3:$E$400)-ROW($E$3)+1),ROW(63:63)))</f>
        <v>Darrel Williams KC</v>
      </c>
      <c r="N65" s="20">
        <f>'Default Rankings Import 2020'!$R$6*('Default Rankings'!O65)^2+'Default Rankings Import 2020'!$S$6*'Default Rankings'!O65+'Default Rankings Import 2020'!$T$6</f>
        <v>40.488175082432114</v>
      </c>
      <c r="O65" s="49">
        <f t="array" ref="O65">INDEX($B$3:$B$400,SMALL(IF($L$2=$E$3:$E$400,ROW($E$3:$E$400)-ROW($E$3)+1),ROW(63:63)))</f>
        <v>200</v>
      </c>
      <c r="Q65" s="12">
        <f t="shared" si="3"/>
        <v>63</v>
      </c>
      <c r="R65" s="20" t="str">
        <f t="array" ref="R65">INDEX($C$3:$C$400,SMALL(IF($Q$2=$E$3:$E$400,ROW($E$3:$E$400)-ROW($E$3)+1),ROW(63:63))) &amp; " " &amp; INDEX($D$3:$D$400,SMALL(IF($Q$2=$E$3:$E$400,ROW($E$3:$E$400)-ROW($E$3)+1),ROW(63:63)))</f>
        <v>Alshon Jeffery PHI</v>
      </c>
      <c r="S65" s="20">
        <f>'Default Rankings Import 2020'!$R$7*('Default Rankings'!T65)^2+'Default Rankings Import 2020'!$S$7*'Default Rankings'!T65+'Default Rankings Import 2020'!$T$7</f>
        <v>29.251443412892453</v>
      </c>
      <c r="T65" s="21">
        <f t="array" ref="T65">INDEX($B$3:$B$400,SMALL(IF($Q$2=$E$3:$E$400,ROW($E$3:$E$400)-ROW($E$3)+1),ROW(63:63)))</f>
        <v>149</v>
      </c>
    </row>
    <row r="66" spans="2:20" x14ac:dyDescent="0.35">
      <c r="B66" s="12">
        <f t="shared" si="0"/>
        <v>64</v>
      </c>
      <c r="C66" s="20" t="str">
        <f>'Default Rankings Import 2020'!D65</f>
        <v>Stefon Diggs</v>
      </c>
      <c r="D66" s="20" t="str">
        <f>'Default Rankings Import 2020'!E65</f>
        <v>BUF</v>
      </c>
      <c r="E66" s="21" t="str">
        <f>IF(LEFT('Default Rankings Import 2020'!F65,1)="D",LEFT('Default Rankings Import 2020'!F65,3),IF(LEFT('Default Rankings Import 2020'!F65,1)="K",LEFT('Default Rankings Import 2020'!F65,1),LEFT('Default Rankings Import 2020'!F65,2)))</f>
        <v>WR</v>
      </c>
      <c r="L66" s="12">
        <f t="shared" si="2"/>
        <v>64</v>
      </c>
      <c r="M66" s="20" t="str">
        <f t="array" ref="M66">INDEX($C$3:$C$400,SMALL(IF($L$2=$E$3:$E$400,ROW($E$3:$E$400)-ROW($E$3)+1),ROW(64:64))) &amp; " " &amp; INDEX($D$3:$D$400,SMALL(IF($L$2=$E$3:$E$400,ROW($E$3:$E$400)-ROW($E$3)+1),ROW(64:64)))</f>
        <v>Bryce Love WAS</v>
      </c>
      <c r="N66" s="20">
        <f>'Default Rankings Import 2020'!$R$6*('Default Rankings'!O66)^2+'Default Rankings Import 2020'!$S$6*'Default Rankings'!O66+'Default Rankings Import 2020'!$T$6</f>
        <v>40.547704528984909</v>
      </c>
      <c r="O66" s="49">
        <f t="array" ref="O66">INDEX($B$3:$B$400,SMALL(IF($L$2=$E$3:$E$400,ROW($E$3:$E$400)-ROW($E$3)+1),ROW(64:64)))</f>
        <v>201</v>
      </c>
      <c r="Q66" s="12">
        <f t="shared" si="3"/>
        <v>64</v>
      </c>
      <c r="R66" s="20" t="str">
        <f t="array" ref="R66">INDEX($C$3:$C$400,SMALL(IF($Q$2=$E$3:$E$400,ROW($E$3:$E$400)-ROW($E$3)+1),ROW(64:64))) &amp; " " &amp; INDEX($D$3:$D$400,SMALL(IF($Q$2=$E$3:$E$400,ROW($E$3:$E$400)-ROW($E$3)+1),ROW(64:64)))</f>
        <v>Jalen Reagor PHI</v>
      </c>
      <c r="S66" s="20">
        <f>'Default Rankings Import 2020'!$R$7*('Default Rankings'!T66)^2+'Default Rankings Import 2020'!$S$7*'Default Rankings'!T66+'Default Rankings Import 2020'!$T$7</f>
        <v>29.354657873452862</v>
      </c>
      <c r="T66" s="21">
        <f t="array" ref="T66">INDEX($B$3:$B$400,SMALL(IF($Q$2=$E$3:$E$400,ROW($E$3:$E$400)-ROW($E$3)+1),ROW(64:64)))</f>
        <v>150</v>
      </c>
    </row>
    <row r="67" spans="2:20" x14ac:dyDescent="0.35">
      <c r="B67" s="12">
        <f t="shared" si="0"/>
        <v>65</v>
      </c>
      <c r="C67" s="20" t="str">
        <f>'Default Rankings Import 2020'!D66</f>
        <v>Tyler Boyd</v>
      </c>
      <c r="D67" s="20" t="str">
        <f>'Default Rankings Import 2020'!E66</f>
        <v>CIN</v>
      </c>
      <c r="E67" s="21" t="str">
        <f>IF(LEFT('Default Rankings Import 2020'!F66,1)="D",LEFT('Default Rankings Import 2020'!F66,3),IF(LEFT('Default Rankings Import 2020'!F66,1)="K",LEFT('Default Rankings Import 2020'!F66,1),LEFT('Default Rankings Import 2020'!F66,2)))</f>
        <v>WR</v>
      </c>
      <c r="L67" s="12">
        <f t="shared" si="2"/>
        <v>65</v>
      </c>
      <c r="M67" s="20" t="str">
        <f t="array" ref="M67">INDEX($C$3:$C$400,SMALL(IF($L$2=$E$3:$E$400,ROW($E$3:$E$400)-ROW($E$3)+1),ROW(65:65))) &amp; " " &amp; INDEX($D$3:$D$400,SMALL(IF($L$2=$E$3:$E$400,ROW($E$3:$E$400)-ROW($E$3)+1),ROW(65:65)))</f>
        <v>Malcolm Brown LAR</v>
      </c>
      <c r="N67" s="20">
        <f>'Default Rankings Import 2020'!$R$6*('Default Rankings'!O67)^2+'Default Rankings Import 2020'!$S$6*'Default Rankings'!O67+'Default Rankings Import 2020'!$T$6</f>
        <v>40.605813383008645</v>
      </c>
      <c r="O67" s="49">
        <f t="array" ref="O67">INDEX($B$3:$B$400,SMALL(IF($L$2=$E$3:$E$400,ROW($E$3:$E$400)-ROW($E$3)+1),ROW(65:65)))</f>
        <v>202</v>
      </c>
      <c r="Q67" s="12">
        <f t="shared" si="3"/>
        <v>65</v>
      </c>
      <c r="R67" s="20" t="str">
        <f t="array" ref="R67">INDEX($C$3:$C$400,SMALL(IF($Q$2=$E$3:$E$400,ROW($E$3:$E$400)-ROW($E$3)+1),ROW(65:65))) &amp; " " &amp; INDEX($D$3:$D$400,SMALL(IF($Q$2=$E$3:$E$400,ROW($E$3:$E$400)-ROW($E$3)+1),ROW(65:65)))</f>
        <v>Michael Pittman Jr. IND</v>
      </c>
      <c r="S67" s="20">
        <f>'Default Rankings Import 2020'!$R$7*('Default Rankings'!T67)^2+'Default Rankings Import 2020'!$S$7*'Default Rankings'!T67+'Default Rankings Import 2020'!$T$7</f>
        <v>29.456622576097018</v>
      </c>
      <c r="T67" s="21">
        <f t="array" ref="T67">INDEX($B$3:$B$400,SMALL(IF($Q$2=$E$3:$E$400,ROW($E$3:$E$400)-ROW($E$3)+1),ROW(65:65)))</f>
        <v>151</v>
      </c>
    </row>
    <row r="68" spans="2:20" x14ac:dyDescent="0.35">
      <c r="B68" s="12">
        <f t="shared" si="0"/>
        <v>66</v>
      </c>
      <c r="C68" s="20" t="str">
        <f>'Default Rankings Import 2020'!D67</f>
        <v>Will Fuller V</v>
      </c>
      <c r="D68" s="20" t="str">
        <f>'Default Rankings Import 2020'!E67</f>
        <v>HOU</v>
      </c>
      <c r="E68" s="21" t="str">
        <f>IF(LEFT('Default Rankings Import 2020'!F67,1)="D",LEFT('Default Rankings Import 2020'!F67,3),IF(LEFT('Default Rankings Import 2020'!F67,1)="K",LEFT('Default Rankings Import 2020'!F67,1),LEFT('Default Rankings Import 2020'!F67,2)))</f>
        <v>WR</v>
      </c>
      <c r="L68" s="12">
        <f t="shared" si="2"/>
        <v>66</v>
      </c>
      <c r="M68" s="20" t="str">
        <f t="array" ref="M68">INDEX($C$3:$C$400,SMALL(IF($L$2=$E$3:$E$400,ROW($E$3:$E$400)-ROW($E$3)+1),ROW(66:66))) &amp; " " &amp; INDEX($D$3:$D$400,SMALL(IF($L$2=$E$3:$E$400,ROW($E$3:$E$400)-ROW($E$3)+1),ROW(66:66)))</f>
        <v>Jamaal Williams GB</v>
      </c>
      <c r="N68" s="20">
        <f>'Default Rankings Import 2020'!$R$6*('Default Rankings'!O68)^2+'Default Rankings Import 2020'!$S$6*'Default Rankings'!O68+'Default Rankings Import 2020'!$T$6</f>
        <v>40.662501644503337</v>
      </c>
      <c r="O68" s="49">
        <f t="array" ref="O68">INDEX($B$3:$B$400,SMALL(IF($L$2=$E$3:$E$400,ROW($E$3:$E$400)-ROW($E$3)+1),ROW(66:66)))</f>
        <v>203</v>
      </c>
      <c r="Q68" s="12">
        <f t="shared" si="3"/>
        <v>66</v>
      </c>
      <c r="R68" s="20" t="str">
        <f t="array" ref="R68">INDEX($C$3:$C$400,SMALL(IF($Q$2=$E$3:$E$400,ROW($E$3:$E$400)-ROW($E$3)+1),ROW(66:66))) &amp; " " &amp; INDEX($D$3:$D$400,SMALL(IF($Q$2=$E$3:$E$400,ROW($E$3:$E$400)-ROW($E$3)+1),ROW(66:66)))</f>
        <v>Larry Fitzgerald ARI</v>
      </c>
      <c r="S68" s="20">
        <f>'Default Rankings Import 2020'!$R$7*('Default Rankings'!T68)^2+'Default Rankings Import 2020'!$S$7*'Default Rankings'!T68+'Default Rankings Import 2020'!$T$7</f>
        <v>29.557337520824916</v>
      </c>
      <c r="T68" s="21">
        <f t="array" ref="T68">INDEX($B$3:$B$400,SMALL(IF($Q$2=$E$3:$E$400,ROW($E$3:$E$400)-ROW($E$3)+1),ROW(66:66)))</f>
        <v>152</v>
      </c>
    </row>
    <row r="69" spans="2:20" x14ac:dyDescent="0.35">
      <c r="B69" s="12">
        <f t="shared" ref="B69:B132" si="10">B68+1</f>
        <v>67</v>
      </c>
      <c r="C69" s="20" t="str">
        <f>'Default Rankings Import 2020'!D68</f>
        <v>Marquise Brown</v>
      </c>
      <c r="D69" s="20" t="str">
        <f>'Default Rankings Import 2020'!E68</f>
        <v>BAL</v>
      </c>
      <c r="E69" s="21" t="str">
        <f>IF(LEFT('Default Rankings Import 2020'!F68,1)="D",LEFT('Default Rankings Import 2020'!F68,3),IF(LEFT('Default Rankings Import 2020'!F68,1)="K",LEFT('Default Rankings Import 2020'!F68,1),LEFT('Default Rankings Import 2020'!F68,2)))</f>
        <v>WR</v>
      </c>
      <c r="L69" s="12">
        <f t="shared" ref="L69:L77" si="11">L68+1</f>
        <v>67</v>
      </c>
      <c r="M69" s="20" t="str">
        <f t="array" ref="M69">INDEX($C$3:$C$400,SMALL(IF($L$2=$E$3:$E$400,ROW($E$3:$E$400)-ROW($E$3)+1),ROW(67:67))) &amp; " " &amp; INDEX($D$3:$D$400,SMALL(IF($L$2=$E$3:$E$400,ROW($E$3:$E$400)-ROW($E$3)+1),ROW(67:67)))</f>
        <v>Lynn Bowden Jr. LV</v>
      </c>
      <c r="N69" s="20">
        <f>'Default Rankings Import 2020'!$R$6*('Default Rankings'!O69)^2+'Default Rankings Import 2020'!$S$6*'Default Rankings'!O69+'Default Rankings Import 2020'!$T$6</f>
        <v>40.717769313468942</v>
      </c>
      <c r="O69" s="49">
        <f t="array" ref="O69">INDEX($B$3:$B$400,SMALL(IF($L$2=$E$3:$E$400,ROW($E$3:$E$400)-ROW($E$3)+1),ROW(67:67)))</f>
        <v>204</v>
      </c>
      <c r="Q69" s="12">
        <f t="shared" ref="Q69:Q77" si="12">Q68+1</f>
        <v>67</v>
      </c>
      <c r="R69" s="20" t="str">
        <f t="array" ref="R69">INDEX($C$3:$C$400,SMALL(IF($Q$2=$E$3:$E$400,ROW($E$3:$E$400)-ROW($E$3)+1),ROW(67:67))) &amp; " " &amp; INDEX($D$3:$D$400,SMALL(IF($Q$2=$E$3:$E$400,ROW($E$3:$E$400)-ROW($E$3)+1),ROW(67:67)))</f>
        <v>Allen Lazard GB</v>
      </c>
      <c r="S69" s="20">
        <f>'Default Rankings Import 2020'!$R$7*('Default Rankings'!T69)^2+'Default Rankings Import 2020'!$S$7*'Default Rankings'!T69+'Default Rankings Import 2020'!$T$7</f>
        <v>29.656802707636558</v>
      </c>
      <c r="T69" s="21">
        <f t="array" ref="T69">INDEX($B$3:$B$400,SMALL(IF($Q$2=$E$3:$E$400,ROW($E$3:$E$400)-ROW($E$3)+1),ROW(67:67)))</f>
        <v>153</v>
      </c>
    </row>
    <row r="70" spans="2:20" x14ac:dyDescent="0.35">
      <c r="B70" s="12">
        <f t="shared" si="10"/>
        <v>68</v>
      </c>
      <c r="C70" s="20" t="str">
        <f>'Default Rankings Import 2020'!D69</f>
        <v>Deebo Samuel</v>
      </c>
      <c r="D70" s="20" t="str">
        <f>'Default Rankings Import 2020'!E69</f>
        <v>SF</v>
      </c>
      <c r="E70" s="21" t="str">
        <f>IF(LEFT('Default Rankings Import 2020'!F69,1)="D",LEFT('Default Rankings Import 2020'!F69,3),IF(LEFT('Default Rankings Import 2020'!F69,1)="K",LEFT('Default Rankings Import 2020'!F69,1),LEFT('Default Rankings Import 2020'!F69,2)))</f>
        <v>WR</v>
      </c>
      <c r="L70" s="12">
        <f t="shared" si="11"/>
        <v>68</v>
      </c>
      <c r="M70" s="20" t="str">
        <f t="array" ref="M70">INDEX($C$3:$C$400,SMALL(IF($L$2=$E$3:$E$400,ROW($E$3:$E$400)-ROW($E$3)+1),ROW(68:68))) &amp; " " &amp; INDEX($D$3:$D$400,SMALL(IF($L$2=$E$3:$E$400,ROW($E$3:$E$400)-ROW($E$3)+1),ROW(68:68)))</f>
        <v>Brian Hill ATL</v>
      </c>
      <c r="N70" s="20">
        <f>'Default Rankings Import 2020'!$R$6*('Default Rankings'!O70)^2+'Default Rankings Import 2020'!$S$6*'Default Rankings'!O70+'Default Rankings Import 2020'!$T$6</f>
        <v>40.771616389905489</v>
      </c>
      <c r="O70" s="49">
        <f t="array" ref="O70">INDEX($B$3:$B$400,SMALL(IF($L$2=$E$3:$E$400,ROW($E$3:$E$400)-ROW($E$3)+1),ROW(68:68)))</f>
        <v>205</v>
      </c>
      <c r="Q70" s="12">
        <f t="shared" si="12"/>
        <v>68</v>
      </c>
      <c r="R70" s="20" t="str">
        <f t="array" ref="R70">INDEX($C$3:$C$400,SMALL(IF($Q$2=$E$3:$E$400,ROW($E$3:$E$400)-ROW($E$3)+1),ROW(68:68))) &amp; " " &amp; INDEX($D$3:$D$400,SMALL(IF($Q$2=$E$3:$E$400,ROW($E$3:$E$400)-ROW($E$3)+1),ROW(68:68)))</f>
        <v>Denzel Mims NYJ</v>
      </c>
      <c r="S70" s="20">
        <f>'Default Rankings Import 2020'!$R$7*('Default Rankings'!T70)^2+'Default Rankings Import 2020'!$S$7*'Default Rankings'!T70+'Default Rankings Import 2020'!$T$7</f>
        <v>29.755018136531938</v>
      </c>
      <c r="T70" s="21">
        <f t="array" ref="T70">INDEX($B$3:$B$400,SMALL(IF($Q$2=$E$3:$E$400,ROW($E$3:$E$400)-ROW($E$3)+1),ROW(68:68)))</f>
        <v>154</v>
      </c>
    </row>
    <row r="71" spans="2:20" x14ac:dyDescent="0.35">
      <c r="B71" s="12">
        <f t="shared" si="10"/>
        <v>69</v>
      </c>
      <c r="C71" s="20" t="str">
        <f>'Default Rankings Import 2020'!D70</f>
        <v>Darren Waller</v>
      </c>
      <c r="D71" s="20" t="str">
        <f>'Default Rankings Import 2020'!E70</f>
        <v>LV</v>
      </c>
      <c r="E71" s="21" t="str">
        <f>IF(LEFT('Default Rankings Import 2020'!F70,1)="D",LEFT('Default Rankings Import 2020'!F70,3),IF(LEFT('Default Rankings Import 2020'!F70,1)="K",LEFT('Default Rankings Import 2020'!F70,1),LEFT('Default Rankings Import 2020'!F70,2)))</f>
        <v>TE</v>
      </c>
      <c r="L71" s="12">
        <f t="shared" si="11"/>
        <v>69</v>
      </c>
      <c r="M71" s="20" t="str">
        <f t="array" ref="M71">INDEX($C$3:$C$400,SMALL(IF($L$2=$E$3:$E$400,ROW($E$3:$E$400)-ROW($E$3)+1),ROW(69:69))) &amp; " " &amp; INDEX($D$3:$D$400,SMALL(IF($L$2=$E$3:$E$400,ROW($E$3:$E$400)-ROW($E$3)+1),ROW(69:69)))</f>
        <v>LeSean McCoy TB</v>
      </c>
      <c r="N71" s="20">
        <f>'Default Rankings Import 2020'!$R$6*('Default Rankings'!O71)^2+'Default Rankings Import 2020'!$S$6*'Default Rankings'!O71+'Default Rankings Import 2020'!$T$6</f>
        <v>40.824042873812992</v>
      </c>
      <c r="O71" s="49">
        <f t="array" ref="O71">INDEX($B$3:$B$400,SMALL(IF($L$2=$E$3:$E$400,ROW($E$3:$E$400)-ROW($E$3)+1),ROW(69:69)))</f>
        <v>206</v>
      </c>
      <c r="Q71" s="12">
        <f t="shared" si="12"/>
        <v>69</v>
      </c>
      <c r="R71" s="20" t="str">
        <f t="array" ref="R71">INDEX($C$3:$C$400,SMALL(IF($Q$2=$E$3:$E$400,ROW($E$3:$E$400)-ROW($E$3)+1),ROW(69:69))) &amp; " " &amp; INDEX($D$3:$D$400,SMALL(IF($Q$2=$E$3:$E$400,ROW($E$3:$E$400)-ROW($E$3)+1),ROW(69:69)))</f>
        <v>Tee Higgins CIN</v>
      </c>
      <c r="S71" s="20">
        <f>'Default Rankings Import 2020'!$R$7*('Default Rankings'!T71)^2+'Default Rankings Import 2020'!$S$7*'Default Rankings'!T71+'Default Rankings Import 2020'!$T$7</f>
        <v>29.851983807511075</v>
      </c>
      <c r="T71" s="21">
        <f t="array" ref="T71">INDEX($B$3:$B$400,SMALL(IF($Q$2=$E$3:$E$400,ROW($E$3:$E$400)-ROW($E$3)+1),ROW(69:69)))</f>
        <v>155</v>
      </c>
    </row>
    <row r="72" spans="2:20" x14ac:dyDescent="0.35">
      <c r="B72" s="12">
        <f t="shared" si="10"/>
        <v>70</v>
      </c>
      <c r="C72" s="20" t="str">
        <f>'Default Rankings Import 2020'!D71</f>
        <v>Mark Ingram II</v>
      </c>
      <c r="D72" s="20" t="str">
        <f>'Default Rankings Import 2020'!E71</f>
        <v>BAL</v>
      </c>
      <c r="E72" s="21" t="str">
        <f>IF(LEFT('Default Rankings Import 2020'!F71,1)="D",LEFT('Default Rankings Import 2020'!F71,3),IF(LEFT('Default Rankings Import 2020'!F71,1)="K",LEFT('Default Rankings Import 2020'!F71,1),LEFT('Default Rankings Import 2020'!F71,2)))</f>
        <v>RB</v>
      </c>
      <c r="L72" s="12">
        <f t="shared" si="11"/>
        <v>70</v>
      </c>
      <c r="M72" s="20" t="str">
        <f t="array" ref="M72">INDEX($C$3:$C$400,SMALL(IF($L$2=$E$3:$E$400,ROW($E$3:$E$400)-ROW($E$3)+1),ROW(70:70))) &amp; " " &amp; INDEX($D$3:$D$400,SMALL(IF($L$2=$E$3:$E$400,ROW($E$3:$E$400)-ROW($E$3)+1),ROW(70:70)))</f>
        <v>Giovani Bernard CIN</v>
      </c>
      <c r="N72" s="20">
        <f>'Default Rankings Import 2020'!$R$6*('Default Rankings'!O72)^2+'Default Rankings Import 2020'!$S$6*'Default Rankings'!O72+'Default Rankings Import 2020'!$T$6</f>
        <v>40.875048765191423</v>
      </c>
      <c r="O72" s="49">
        <f t="array" ref="O72">INDEX($B$3:$B$400,SMALL(IF($L$2=$E$3:$E$400,ROW($E$3:$E$400)-ROW($E$3)+1),ROW(70:70)))</f>
        <v>207</v>
      </c>
      <c r="Q72" s="12">
        <f t="shared" si="12"/>
        <v>70</v>
      </c>
      <c r="R72" s="20" t="str">
        <f t="array" ref="R72">INDEX($C$3:$C$400,SMALL(IF($Q$2=$E$3:$E$400,ROW($E$3:$E$400)-ROW($E$3)+1),ROW(70:70))) &amp; " " &amp; INDEX($D$3:$D$400,SMALL(IF($Q$2=$E$3:$E$400,ROW($E$3:$E$400)-ROW($E$3)+1),ROW(70:70)))</f>
        <v>Steven Sims Jr. WAS</v>
      </c>
      <c r="S72" s="20">
        <f>'Default Rankings Import 2020'!$R$7*('Default Rankings'!T72)^2+'Default Rankings Import 2020'!$S$7*'Default Rankings'!T72+'Default Rankings Import 2020'!$T$7</f>
        <v>32.658833801018126</v>
      </c>
      <c r="T72" s="21">
        <f t="array" ref="T72">INDEX($B$3:$B$400,SMALL(IF($Q$2=$E$3:$E$400,ROW($E$3:$E$400)-ROW($E$3)+1),ROW(70:70)))</f>
        <v>194</v>
      </c>
    </row>
    <row r="73" spans="2:20" x14ac:dyDescent="0.35">
      <c r="B73" s="12">
        <f t="shared" si="10"/>
        <v>71</v>
      </c>
      <c r="C73" s="20" t="str">
        <f>'Default Rankings Import 2020'!D72</f>
        <v>Kerryon Johnson</v>
      </c>
      <c r="D73" s="20" t="str">
        <f>'Default Rankings Import 2020'!E72</f>
        <v>DET</v>
      </c>
      <c r="E73" s="21" t="str">
        <f>IF(LEFT('Default Rankings Import 2020'!F72,1)="D",LEFT('Default Rankings Import 2020'!F72,3),IF(LEFT('Default Rankings Import 2020'!F72,1)="K",LEFT('Default Rankings Import 2020'!F72,1),LEFT('Default Rankings Import 2020'!F72,2)))</f>
        <v>RB</v>
      </c>
      <c r="L73" s="12">
        <f t="shared" si="11"/>
        <v>71</v>
      </c>
      <c r="M73" s="20" t="str">
        <f t="array" ref="M73">INDEX($C$3:$C$400,SMALL(IF($L$2=$E$3:$E$400,ROW($E$3:$E$400)-ROW($E$3)+1),ROW(71:71))) &amp; " " &amp; INDEX($D$3:$D$400,SMALL(IF($L$2=$E$3:$E$400,ROW($E$3:$E$400)-ROW($E$3)+1),ROW(71:71)))</f>
        <v>Gus Edwards BAL</v>
      </c>
      <c r="N73" s="20">
        <f>'Default Rankings Import 2020'!$R$6*('Default Rankings'!O73)^2+'Default Rankings Import 2020'!$S$6*'Default Rankings'!O73+'Default Rankings Import 2020'!$T$6</f>
        <v>40.924634064040795</v>
      </c>
      <c r="O73" s="49">
        <f t="array" ref="O73">INDEX($B$3:$B$400,SMALL(IF($L$2=$E$3:$E$400,ROW($E$3:$E$400)-ROW($E$3)+1),ROW(71:71)))</f>
        <v>208</v>
      </c>
      <c r="Q73" s="12">
        <f t="shared" si="12"/>
        <v>71</v>
      </c>
      <c r="R73" s="20" t="str">
        <f t="array" ref="R73">INDEX($C$3:$C$400,SMALL(IF($Q$2=$E$3:$E$400,ROW($E$3:$E$400)-ROW($E$3)+1),ROW(71:71))) &amp; " " &amp; INDEX($D$3:$D$400,SMALL(IF($Q$2=$E$3:$E$400,ROW($E$3:$E$400)-ROW($E$3)+1),ROW(71:71)))</f>
        <v>Chase Claypool PIT</v>
      </c>
      <c r="S73" s="20">
        <f>'Default Rankings Import 2020'!$R$7*('Default Rankings'!T73)^2+'Default Rankings Import 2020'!$S$7*'Default Rankings'!T73+'Default Rankings Import 2020'!$T$7</f>
        <v>32.705809155347048</v>
      </c>
      <c r="T73" s="21">
        <f t="array" ref="T73">INDEX($B$3:$B$400,SMALL(IF($Q$2=$E$3:$E$400,ROW($E$3:$E$400)-ROW($E$3)+1),ROW(71:71)))</f>
        <v>195</v>
      </c>
    </row>
    <row r="74" spans="2:20" x14ac:dyDescent="0.35">
      <c r="B74" s="12">
        <f t="shared" si="10"/>
        <v>72</v>
      </c>
      <c r="C74" s="20" t="str">
        <f>'Default Rankings Import 2020'!D73</f>
        <v>Ronald Jones II</v>
      </c>
      <c r="D74" s="20" t="str">
        <f>'Default Rankings Import 2020'!E73</f>
        <v>TB</v>
      </c>
      <c r="E74" s="21" t="str">
        <f>IF(LEFT('Default Rankings Import 2020'!F73,1)="D",LEFT('Default Rankings Import 2020'!F73,3),IF(LEFT('Default Rankings Import 2020'!F73,1)="K",LEFT('Default Rankings Import 2020'!F73,1),LEFT('Default Rankings Import 2020'!F73,2)))</f>
        <v>RB</v>
      </c>
      <c r="L74" s="12">
        <f t="shared" si="11"/>
        <v>72</v>
      </c>
      <c r="M74" s="20" t="str">
        <f t="array" ref="M74">INDEX($C$3:$C$400,SMALL(IF($L$2=$E$3:$E$400,ROW($E$3:$E$400)-ROW($E$3)+1),ROW(72:72))) &amp; " " &amp; INDEX($D$3:$D$400,SMALL(IF($L$2=$E$3:$E$400,ROW($E$3:$E$400)-ROW($E$3)+1),ROW(72:72)))</f>
        <v>Anthony McFarland Jr. PIT</v>
      </c>
      <c r="N74" s="20">
        <f>'Default Rankings Import 2020'!$R$6*('Default Rankings'!O74)^2+'Default Rankings Import 2020'!$S$6*'Default Rankings'!O74+'Default Rankings Import 2020'!$T$6</f>
        <v>40.972798770361095</v>
      </c>
      <c r="O74" s="49">
        <f t="array" ref="O74">INDEX($B$3:$B$400,SMALL(IF($L$2=$E$3:$E$400,ROW($E$3:$E$400)-ROW($E$3)+1),ROW(72:72)))</f>
        <v>209</v>
      </c>
      <c r="Q74" s="12">
        <f t="shared" si="12"/>
        <v>72</v>
      </c>
      <c r="R74" s="20" t="str">
        <f t="array" ref="R74">INDEX($C$3:$C$400,SMALL(IF($Q$2=$E$3:$E$400,ROW($E$3:$E$400)-ROW($E$3)+1),ROW(72:72))) &amp; " " &amp; INDEX($D$3:$D$400,SMALL(IF($Q$2=$E$3:$E$400,ROW($E$3:$E$400)-ROW($E$3)+1),ROW(72:72)))</f>
        <v>Van Jefferson LAR</v>
      </c>
      <c r="S74" s="20">
        <f>'Default Rankings Import 2020'!$R$7*('Default Rankings'!T74)^2+'Default Rankings Import 2020'!$S$7*'Default Rankings'!T74+'Default Rankings Import 2020'!$T$7</f>
        <v>32.751534751759714</v>
      </c>
      <c r="T74" s="21">
        <f t="array" ref="T74">INDEX($B$3:$B$400,SMALL(IF($Q$2=$E$3:$E$400,ROW($E$3:$E$400)-ROW($E$3)+1),ROW(72:72)))</f>
        <v>196</v>
      </c>
    </row>
    <row r="75" spans="2:20" x14ac:dyDescent="0.35">
      <c r="B75" s="12">
        <f t="shared" si="10"/>
        <v>73</v>
      </c>
      <c r="C75" s="20" t="str">
        <f>'Default Rankings Import 2020'!D74</f>
        <v>Deshaun Watson</v>
      </c>
      <c r="D75" s="20" t="str">
        <f>'Default Rankings Import 2020'!E74</f>
        <v>HOU</v>
      </c>
      <c r="E75" s="21" t="str">
        <f>IF(LEFT('Default Rankings Import 2020'!F74,1)="D",LEFT('Default Rankings Import 2020'!F74,3),IF(LEFT('Default Rankings Import 2020'!F74,1)="K",LEFT('Default Rankings Import 2020'!F74,1),LEFT('Default Rankings Import 2020'!F74,2)))</f>
        <v>QB</v>
      </c>
      <c r="L75" s="12">
        <f t="shared" si="11"/>
        <v>73</v>
      </c>
      <c r="M75" s="20" t="str">
        <f t="array" ref="M75">INDEX($C$3:$C$400,SMALL(IF($L$2=$E$3:$E$400,ROW($E$3:$E$400)-ROW($E$3)+1),ROW(73:73))) &amp; " " &amp; INDEX($D$3:$D$400,SMALL(IF($L$2=$E$3:$E$400,ROW($E$3:$E$400)-ROW($E$3)+1),ROW(73:73)))</f>
        <v>Rex Burkhead NE</v>
      </c>
      <c r="N75" s="20">
        <f>'Default Rankings Import 2020'!$R$6*('Default Rankings'!O75)^2+'Default Rankings Import 2020'!$S$6*'Default Rankings'!O75+'Default Rankings Import 2020'!$T$6</f>
        <v>41.019542884152337</v>
      </c>
      <c r="O75" s="49">
        <f t="array" ref="O75">INDEX($B$3:$B$400,SMALL(IF($L$2=$E$3:$E$400,ROW($E$3:$E$400)-ROW($E$3)+1),ROW(73:73)))</f>
        <v>210</v>
      </c>
      <c r="Q75" s="12">
        <f t="shared" si="12"/>
        <v>73</v>
      </c>
      <c r="R75" s="20" t="str">
        <f t="array" ref="R75">INDEX($C$3:$C$400,SMALL(IF($Q$2=$E$3:$E$400,ROW($E$3:$E$400)-ROW($E$3)+1),ROW(73:73))) &amp; " " &amp; INDEX($D$3:$D$400,SMALL(IF($Q$2=$E$3:$E$400,ROW($E$3:$E$400)-ROW($E$3)+1),ROW(73:73)))</f>
        <v>Laviska Shenault Jr. JAC</v>
      </c>
      <c r="S75" s="20">
        <f>'Default Rankings Import 2020'!$R$7*('Default Rankings'!T75)^2+'Default Rankings Import 2020'!$S$7*'Default Rankings'!T75+'Default Rankings Import 2020'!$T$7</f>
        <v>32.796010590256124</v>
      </c>
      <c r="T75" s="21">
        <f t="array" ref="T75">INDEX($B$3:$B$400,SMALL(IF($Q$2=$E$3:$E$400,ROW($E$3:$E$400)-ROW($E$3)+1),ROW(73:73)))</f>
        <v>197</v>
      </c>
    </row>
    <row r="76" spans="2:20" x14ac:dyDescent="0.35">
      <c r="B76" s="12">
        <f t="shared" si="10"/>
        <v>74</v>
      </c>
      <c r="C76" s="20" t="str">
        <f>'Default Rankings Import 2020'!D75</f>
        <v>Kyler Murray</v>
      </c>
      <c r="D76" s="20" t="str">
        <f>'Default Rankings Import 2020'!E75</f>
        <v>ARI</v>
      </c>
      <c r="E76" s="21" t="str">
        <f>IF(LEFT('Default Rankings Import 2020'!F75,1)="D",LEFT('Default Rankings Import 2020'!F75,3),IF(LEFT('Default Rankings Import 2020'!F75,1)="K",LEFT('Default Rankings Import 2020'!F75,1),LEFT('Default Rankings Import 2020'!F75,2)))</f>
        <v>QB</v>
      </c>
      <c r="L76" s="12">
        <f t="shared" si="11"/>
        <v>74</v>
      </c>
      <c r="M76" s="20" t="str">
        <f t="array" ref="M76">INDEX($C$3:$C$400,SMALL(IF($L$2=$E$3:$E$400,ROW($E$3:$E$400)-ROW($E$3)+1),ROW(74:74))) &amp; " " &amp; INDEX($D$3:$D$400,SMALL(IF($L$2=$E$3:$E$400,ROW($E$3:$E$400)-ROW($E$3)+1),ROW(74:74)))</f>
        <v>Ke'Shawn Vaughn TB</v>
      </c>
      <c r="N76" s="20">
        <f>'Default Rankings Import 2020'!$R$6*('Default Rankings'!O76)^2+'Default Rankings Import 2020'!$S$6*'Default Rankings'!O76+'Default Rankings Import 2020'!$T$6</f>
        <v>41.736261865024019</v>
      </c>
      <c r="O76" s="49">
        <f t="array" ref="O76">INDEX($B$3:$B$400,SMALL(IF($L$2=$E$3:$E$400,ROW($E$3:$E$400)-ROW($E$3)+1),ROW(74:74)))</f>
        <v>236</v>
      </c>
      <c r="Q76" s="12">
        <f t="shared" si="12"/>
        <v>74</v>
      </c>
      <c r="R76" s="20" t="str">
        <f t="array" ref="R76">INDEX($C$3:$C$400,SMALL(IF($Q$2=$E$3:$E$400,ROW($E$3:$E$400)-ROW($E$3)+1),ROW(74:74))) &amp; " " &amp; INDEX($D$3:$D$400,SMALL(IF($Q$2=$E$3:$E$400,ROW($E$3:$E$400)-ROW($E$3)+1),ROW(74:74)))</f>
        <v>James Washington PIT</v>
      </c>
      <c r="S76" s="20">
        <f>'Default Rankings Import 2020'!$R$7*('Default Rankings'!T76)^2+'Default Rankings Import 2020'!$S$7*'Default Rankings'!T76+'Default Rankings Import 2020'!$T$7</f>
        <v>32.839236670836279</v>
      </c>
      <c r="T76" s="21">
        <f t="array" ref="T76">INDEX($B$3:$B$400,SMALL(IF($Q$2=$E$3:$E$400,ROW($E$3:$E$400)-ROW($E$3)+1),ROW(74:74)))</f>
        <v>198</v>
      </c>
    </row>
    <row r="77" spans="2:20" ht="15" thickBot="1" x14ac:dyDescent="0.4">
      <c r="B77" s="12">
        <f t="shared" si="10"/>
        <v>75</v>
      </c>
      <c r="C77" s="20" t="str">
        <f>'Default Rankings Import 2020'!D76</f>
        <v>Dak Prescott</v>
      </c>
      <c r="D77" s="20" t="str">
        <f>'Default Rankings Import 2020'!E76</f>
        <v>DAL</v>
      </c>
      <c r="E77" s="21" t="str">
        <f>IF(LEFT('Default Rankings Import 2020'!F76,1)="D",LEFT('Default Rankings Import 2020'!F76,3),IF(LEFT('Default Rankings Import 2020'!F76,1)="K",LEFT('Default Rankings Import 2020'!F76,1),LEFT('Default Rankings Import 2020'!F76,2)))</f>
        <v>QB</v>
      </c>
      <c r="L77" s="13">
        <f t="shared" si="11"/>
        <v>75</v>
      </c>
      <c r="M77" s="20" t="str">
        <f t="array" ref="M77">INDEX($C$3:$C$400,SMALL(IF($L$2=$E$3:$E$400,ROW($E$3:$E$400)-ROW($E$3)+1),ROW(75:75))) &amp; " " &amp; INDEX($D$3:$D$400,SMALL(IF($L$2=$E$3:$E$400,ROW($E$3:$E$400)-ROW($E$3)+1),ROW(75:75)))</f>
        <v>La'Mical Perine NYJ</v>
      </c>
      <c r="N77" s="20">
        <f>'Default Rankings Import 2020'!$R$6*('Default Rankings'!O77)^2+'Default Rankings Import 2020'!$S$6*'Default Rankings'!O77+'Default Rankings Import 2020'!$T$6</f>
        <v>41.744649980530603</v>
      </c>
      <c r="O77" s="49">
        <f t="array" ref="O77">INDEX($B$3:$B$400,SMALL(IF($L$2=$E$3:$E$400,ROW($E$3:$E$400)-ROW($E$3)+1),ROW(75:75)))</f>
        <v>237</v>
      </c>
      <c r="Q77" s="13">
        <f t="shared" si="12"/>
        <v>75</v>
      </c>
      <c r="R77" s="20" t="str">
        <f t="array" ref="R77">INDEX($C$3:$C$400,SMALL(IF($Q$2=$E$3:$E$400,ROW($E$3:$E$400)-ROW($E$3)+1),ROW(75:75))) &amp; " " &amp; INDEX($D$3:$D$400,SMALL(IF($Q$2=$E$3:$E$400,ROW($E$3:$E$400)-ROW($E$3)+1),ROW(75:75)))</f>
        <v>Bryan Edwards LV</v>
      </c>
      <c r="S77" s="20">
        <f>'Default Rankings Import 2020'!$R$7*('Default Rankings'!T77)^2+'Default Rankings Import 2020'!$S$7*'Default Rankings'!T77+'Default Rankings Import 2020'!$T$7</f>
        <v>33.360886883508066</v>
      </c>
      <c r="T77" s="21">
        <f t="array" ref="T77">INDEX($B$3:$B$400,SMALL(IF($Q$2=$E$3:$E$400,ROW($E$3:$E$400)-ROW($E$3)+1),ROW(75:75)))</f>
        <v>214</v>
      </c>
    </row>
    <row r="78" spans="2:20" x14ac:dyDescent="0.35">
      <c r="B78" s="12">
        <f t="shared" si="10"/>
        <v>76</v>
      </c>
      <c r="C78" s="20" t="str">
        <f>'Default Rankings Import 2020'!D77</f>
        <v>Russell Wilson</v>
      </c>
      <c r="D78" s="20" t="str">
        <f>'Default Rankings Import 2020'!E77</f>
        <v>SEA</v>
      </c>
      <c r="E78" s="21" t="str">
        <f>IF(LEFT('Default Rankings Import 2020'!F77,1)="D",LEFT('Default Rankings Import 2020'!F77,3),IF(LEFT('Default Rankings Import 2020'!F77,1)="K",LEFT('Default Rankings Import 2020'!F77,1),LEFT('Default Rankings Import 2020'!F77,2)))</f>
        <v>QB</v>
      </c>
    </row>
    <row r="79" spans="2:20" x14ac:dyDescent="0.35">
      <c r="B79" s="12">
        <f t="shared" si="10"/>
        <v>77</v>
      </c>
      <c r="C79" s="20" t="str">
        <f>'Default Rankings Import 2020'!D78</f>
        <v>Marvin Jones Jr.</v>
      </c>
      <c r="D79" s="20" t="str">
        <f>'Default Rankings Import 2020'!E78</f>
        <v>DET</v>
      </c>
      <c r="E79" s="21" t="str">
        <f>IF(LEFT('Default Rankings Import 2020'!F78,1)="D",LEFT('Default Rankings Import 2020'!F78,3),IF(LEFT('Default Rankings Import 2020'!F78,1)="K",LEFT('Default Rankings Import 2020'!F78,1),LEFT('Default Rankings Import 2020'!F78,2)))</f>
        <v>WR</v>
      </c>
    </row>
    <row r="80" spans="2:20" x14ac:dyDescent="0.35">
      <c r="B80" s="12">
        <f t="shared" si="10"/>
        <v>78</v>
      </c>
      <c r="C80" s="20" t="str">
        <f>'Default Rankings Import 2020'!D79</f>
        <v>Julian Edelman</v>
      </c>
      <c r="D80" s="20" t="str">
        <f>'Default Rankings Import 2020'!E79</f>
        <v>NE</v>
      </c>
      <c r="E80" s="21" t="str">
        <f>IF(LEFT('Default Rankings Import 2020'!F79,1)="D",LEFT('Default Rankings Import 2020'!F79,3),IF(LEFT('Default Rankings Import 2020'!F79,1)="K",LEFT('Default Rankings Import 2020'!F79,1),LEFT('Default Rankings Import 2020'!F79,2)))</f>
        <v>WR</v>
      </c>
    </row>
    <row r="81" spans="2:5" x14ac:dyDescent="0.35">
      <c r="B81" s="12">
        <f t="shared" si="10"/>
        <v>79</v>
      </c>
      <c r="C81" s="20" t="str">
        <f>'Default Rankings Import 2020'!D80</f>
        <v>Sterling Shepard</v>
      </c>
      <c r="D81" s="20" t="str">
        <f>'Default Rankings Import 2020'!E80</f>
        <v>NYG</v>
      </c>
      <c r="E81" s="21" t="str">
        <f>IF(LEFT('Default Rankings Import 2020'!F80,1)="D",LEFT('Default Rankings Import 2020'!F80,3),IF(LEFT('Default Rankings Import 2020'!F80,1)="K",LEFT('Default Rankings Import 2020'!F80,1),LEFT('Default Rankings Import 2020'!F80,2)))</f>
        <v>WR</v>
      </c>
    </row>
    <row r="82" spans="2:5" x14ac:dyDescent="0.35">
      <c r="B82" s="12">
        <f t="shared" si="10"/>
        <v>80</v>
      </c>
      <c r="C82" s="20" t="str">
        <f>'Default Rankings Import 2020'!D81</f>
        <v>Brandin Cooks</v>
      </c>
      <c r="D82" s="20" t="str">
        <f>'Default Rankings Import 2020'!E81</f>
        <v>HOU</v>
      </c>
      <c r="E82" s="21" t="str">
        <f>IF(LEFT('Default Rankings Import 2020'!F81,1)="D",LEFT('Default Rankings Import 2020'!F81,3),IF(LEFT('Default Rankings Import 2020'!F81,1)="K",LEFT('Default Rankings Import 2020'!F81,1),LEFT('Default Rankings Import 2020'!F81,2)))</f>
        <v>WR</v>
      </c>
    </row>
    <row r="83" spans="2:5" x14ac:dyDescent="0.35">
      <c r="B83" s="12">
        <f t="shared" si="10"/>
        <v>81</v>
      </c>
      <c r="C83" s="20" t="str">
        <f>'Default Rankings Import 2020'!D82</f>
        <v>Diontae Johnson</v>
      </c>
      <c r="D83" s="20" t="str">
        <f>'Default Rankings Import 2020'!E82</f>
        <v>PIT</v>
      </c>
      <c r="E83" s="21" t="str">
        <f>IF(LEFT('Default Rankings Import 2020'!F82,1)="D",LEFT('Default Rankings Import 2020'!F82,3),IF(LEFT('Default Rankings Import 2020'!F82,1)="K",LEFT('Default Rankings Import 2020'!F82,1),LEFT('Default Rankings Import 2020'!F82,2)))</f>
        <v>WR</v>
      </c>
    </row>
    <row r="84" spans="2:5" x14ac:dyDescent="0.35">
      <c r="B84" s="12">
        <f t="shared" si="10"/>
        <v>82</v>
      </c>
      <c r="C84" s="20" t="str">
        <f>'Default Rankings Import 2020'!D83</f>
        <v>Evan Engram</v>
      </c>
      <c r="D84" s="20" t="str">
        <f>'Default Rankings Import 2020'!E83</f>
        <v>NYG</v>
      </c>
      <c r="E84" s="21" t="str">
        <f>IF(LEFT('Default Rankings Import 2020'!F83,1)="D",LEFT('Default Rankings Import 2020'!F83,3),IF(LEFT('Default Rankings Import 2020'!F83,1)="K",LEFT('Default Rankings Import 2020'!F83,1),LEFT('Default Rankings Import 2020'!F83,2)))</f>
        <v>TE</v>
      </c>
    </row>
    <row r="85" spans="2:5" x14ac:dyDescent="0.35">
      <c r="B85" s="12">
        <f t="shared" si="10"/>
        <v>83</v>
      </c>
      <c r="C85" s="20" t="str">
        <f>'Default Rankings Import 2020'!D84</f>
        <v>Tyler Higbee</v>
      </c>
      <c r="D85" s="20" t="str">
        <f>'Default Rankings Import 2020'!E84</f>
        <v>LAR</v>
      </c>
      <c r="E85" s="21" t="str">
        <f>IF(LEFT('Default Rankings Import 2020'!F84,1)="D",LEFT('Default Rankings Import 2020'!F84,3),IF(LEFT('Default Rankings Import 2020'!F84,1)="K",LEFT('Default Rankings Import 2020'!F84,1),LEFT('Default Rankings Import 2020'!F84,2)))</f>
        <v>TE</v>
      </c>
    </row>
    <row r="86" spans="2:5" x14ac:dyDescent="0.35">
      <c r="B86" s="12">
        <f t="shared" si="10"/>
        <v>84</v>
      </c>
      <c r="C86" s="20" t="str">
        <f>'Default Rankings Import 2020'!D85</f>
        <v>Christian Kirk</v>
      </c>
      <c r="D86" s="20" t="str">
        <f>'Default Rankings Import 2020'!E85</f>
        <v>ARI</v>
      </c>
      <c r="E86" s="21" t="str">
        <f>IF(LEFT('Default Rankings Import 2020'!F85,1)="D",LEFT('Default Rankings Import 2020'!F85,3),IF(LEFT('Default Rankings Import 2020'!F85,1)="K",LEFT('Default Rankings Import 2020'!F85,1),LEFT('Default Rankings Import 2020'!F85,2)))</f>
        <v>WR</v>
      </c>
    </row>
    <row r="87" spans="2:5" x14ac:dyDescent="0.35">
      <c r="B87" s="12">
        <f t="shared" si="10"/>
        <v>85</v>
      </c>
      <c r="C87" s="20" t="str">
        <f>'Default Rankings Import 2020'!D86</f>
        <v>Leonard Fournette</v>
      </c>
      <c r="D87" s="20" t="str">
        <f>'Default Rankings Import 2020'!E86</f>
        <v>JAC</v>
      </c>
      <c r="E87" s="21" t="str">
        <f>IF(LEFT('Default Rankings Import 2020'!F86,1)="D",LEFT('Default Rankings Import 2020'!F86,3),IF(LEFT('Default Rankings Import 2020'!F86,1)="K",LEFT('Default Rankings Import 2020'!F86,1),LEFT('Default Rankings Import 2020'!F86,2)))</f>
        <v>RB</v>
      </c>
    </row>
    <row r="88" spans="2:5" x14ac:dyDescent="0.35">
      <c r="B88" s="12">
        <f t="shared" si="10"/>
        <v>86</v>
      </c>
      <c r="C88" s="20" t="str">
        <f>'Default Rankings Import 2020'!D87</f>
        <v>Phillip Lindsay</v>
      </c>
      <c r="D88" s="20" t="str">
        <f>'Default Rankings Import 2020'!E87</f>
        <v>DEN</v>
      </c>
      <c r="E88" s="21" t="str">
        <f>IF(LEFT('Default Rankings Import 2020'!F87,1)="D",LEFT('Default Rankings Import 2020'!F87,3),IF(LEFT('Default Rankings Import 2020'!F87,1)="K",LEFT('Default Rankings Import 2020'!F87,1),LEFT('Default Rankings Import 2020'!F87,2)))</f>
        <v>RB</v>
      </c>
    </row>
    <row r="89" spans="2:5" x14ac:dyDescent="0.35">
      <c r="B89" s="12">
        <f t="shared" si="10"/>
        <v>87</v>
      </c>
      <c r="C89" s="20" t="str">
        <f>'Default Rankings Import 2020'!D88</f>
        <v>Jordan Howard</v>
      </c>
      <c r="D89" s="20" t="str">
        <f>'Default Rankings Import 2020'!E88</f>
        <v>MIA</v>
      </c>
      <c r="E89" s="21" t="str">
        <f>IF(LEFT('Default Rankings Import 2020'!F88,1)="D",LEFT('Default Rankings Import 2020'!F88,3),IF(LEFT('Default Rankings Import 2020'!F88,1)="K",LEFT('Default Rankings Import 2020'!F88,1),LEFT('Default Rankings Import 2020'!F88,2)))</f>
        <v>RB</v>
      </c>
    </row>
    <row r="90" spans="2:5" x14ac:dyDescent="0.35">
      <c r="B90" s="12">
        <f t="shared" si="10"/>
        <v>88</v>
      </c>
      <c r="C90" s="20" t="str">
        <f>'Default Rankings Import 2020'!D89</f>
        <v>J.K. Dobbins</v>
      </c>
      <c r="D90" s="20" t="str">
        <f>'Default Rankings Import 2020'!E89</f>
        <v>BAL</v>
      </c>
      <c r="E90" s="21" t="str">
        <f>IF(LEFT('Default Rankings Import 2020'!F89,1)="D",LEFT('Default Rankings Import 2020'!F89,3),IF(LEFT('Default Rankings Import 2020'!F89,1)="K",LEFT('Default Rankings Import 2020'!F89,1),LEFT('Default Rankings Import 2020'!F89,2)))</f>
        <v>RB</v>
      </c>
    </row>
    <row r="91" spans="2:5" x14ac:dyDescent="0.35">
      <c r="B91" s="12">
        <f t="shared" si="10"/>
        <v>89</v>
      </c>
      <c r="C91" s="20" t="str">
        <f>'Default Rankings Import 2020'!D90</f>
        <v>Zack Moss</v>
      </c>
      <c r="D91" s="20" t="str">
        <f>'Default Rankings Import 2020'!E90</f>
        <v>BUF</v>
      </c>
      <c r="E91" s="21" t="str">
        <f>IF(LEFT('Default Rankings Import 2020'!F90,1)="D",LEFT('Default Rankings Import 2020'!F90,3),IF(LEFT('Default Rankings Import 2020'!F90,1)="K",LEFT('Default Rankings Import 2020'!F90,1),LEFT('Default Rankings Import 2020'!F90,2)))</f>
        <v>RB</v>
      </c>
    </row>
    <row r="92" spans="2:5" x14ac:dyDescent="0.35">
      <c r="B92" s="12">
        <f t="shared" si="10"/>
        <v>90</v>
      </c>
      <c r="C92" s="20" t="str">
        <f>'Default Rankings Import 2020'!D91</f>
        <v>Tarik Cohen</v>
      </c>
      <c r="D92" s="20" t="str">
        <f>'Default Rankings Import 2020'!E91</f>
        <v>CHI</v>
      </c>
      <c r="E92" s="21" t="str">
        <f>IF(LEFT('Default Rankings Import 2020'!F91,1)="D",LEFT('Default Rankings Import 2020'!F91,3),IF(LEFT('Default Rankings Import 2020'!F91,1)="K",LEFT('Default Rankings Import 2020'!F91,1),LEFT('Default Rankings Import 2020'!F91,2)))</f>
        <v>RB</v>
      </c>
    </row>
    <row r="93" spans="2:5" x14ac:dyDescent="0.35">
      <c r="B93" s="12">
        <f t="shared" si="10"/>
        <v>91</v>
      </c>
      <c r="C93" s="20" t="str">
        <f>'Default Rankings Import 2020'!D92</f>
        <v>Matt Breida</v>
      </c>
      <c r="D93" s="20" t="str">
        <f>'Default Rankings Import 2020'!E92</f>
        <v>MIA</v>
      </c>
      <c r="E93" s="21" t="str">
        <f>IF(LEFT('Default Rankings Import 2020'!F92,1)="D",LEFT('Default Rankings Import 2020'!F92,3),IF(LEFT('Default Rankings Import 2020'!F92,1)="K",LEFT('Default Rankings Import 2020'!F92,1),LEFT('Default Rankings Import 2020'!F92,2)))</f>
        <v>RB</v>
      </c>
    </row>
    <row r="94" spans="2:5" x14ac:dyDescent="0.35">
      <c r="B94" s="12">
        <f t="shared" si="10"/>
        <v>92</v>
      </c>
      <c r="C94" s="20" t="str">
        <f>'Default Rankings Import 2020'!D93</f>
        <v>Tevin Coleman</v>
      </c>
      <c r="D94" s="20" t="str">
        <f>'Default Rankings Import 2020'!E93</f>
        <v>SF</v>
      </c>
      <c r="E94" s="21" t="str">
        <f>IF(LEFT('Default Rankings Import 2020'!F93,1)="D",LEFT('Default Rankings Import 2020'!F93,3),IF(LEFT('Default Rankings Import 2020'!F93,1)="K",LEFT('Default Rankings Import 2020'!F93,1),LEFT('Default Rankings Import 2020'!F93,2)))</f>
        <v>RB</v>
      </c>
    </row>
    <row r="95" spans="2:5" x14ac:dyDescent="0.35">
      <c r="B95" s="12">
        <f t="shared" si="10"/>
        <v>93</v>
      </c>
      <c r="C95" s="20" t="str">
        <f>'Default Rankings Import 2020'!D94</f>
        <v>James White</v>
      </c>
      <c r="D95" s="20" t="str">
        <f>'Default Rankings Import 2020'!E94</f>
        <v>NE</v>
      </c>
      <c r="E95" s="21" t="str">
        <f>IF(LEFT('Default Rankings Import 2020'!F94,1)="D",LEFT('Default Rankings Import 2020'!F94,3),IF(LEFT('Default Rankings Import 2020'!F94,1)="K",LEFT('Default Rankings Import 2020'!F94,1),LEFT('Default Rankings Import 2020'!F94,2)))</f>
        <v>RB</v>
      </c>
    </row>
    <row r="96" spans="2:5" x14ac:dyDescent="0.35">
      <c r="B96" s="12">
        <f t="shared" si="10"/>
        <v>94</v>
      </c>
      <c r="C96" s="20" t="str">
        <f>'Default Rankings Import 2020'!D95</f>
        <v>Preston Williams</v>
      </c>
      <c r="D96" s="20" t="str">
        <f>'Default Rankings Import 2020'!E95</f>
        <v>MIA</v>
      </c>
      <c r="E96" s="21" t="str">
        <f>IF(LEFT('Default Rankings Import 2020'!F95,1)="D",LEFT('Default Rankings Import 2020'!F95,3),IF(LEFT('Default Rankings Import 2020'!F95,1)="K",LEFT('Default Rankings Import 2020'!F95,1),LEFT('Default Rankings Import 2020'!F95,2)))</f>
        <v>WR</v>
      </c>
    </row>
    <row r="97" spans="2:5" x14ac:dyDescent="0.35">
      <c r="B97" s="12">
        <f t="shared" si="10"/>
        <v>95</v>
      </c>
      <c r="C97" s="20" t="str">
        <f>'Default Rankings Import 2020'!D96</f>
        <v>Jamison Crowder</v>
      </c>
      <c r="D97" s="20" t="str">
        <f>'Default Rankings Import 2020'!E96</f>
        <v>NYJ</v>
      </c>
      <c r="E97" s="21" t="str">
        <f>IF(LEFT('Default Rankings Import 2020'!F96,1)="D",LEFT('Default Rankings Import 2020'!F96,3),IF(LEFT('Default Rankings Import 2020'!F96,1)="K",LEFT('Default Rankings Import 2020'!F96,1),LEFT('Default Rankings Import 2020'!F96,2)))</f>
        <v>WR</v>
      </c>
    </row>
    <row r="98" spans="2:5" x14ac:dyDescent="0.35">
      <c r="B98" s="12">
        <f t="shared" si="10"/>
        <v>96</v>
      </c>
      <c r="C98" s="20" t="str">
        <f>'Default Rankings Import 2020'!D97</f>
        <v>Darius Slayton</v>
      </c>
      <c r="D98" s="20" t="str">
        <f>'Default Rankings Import 2020'!E97</f>
        <v>NYG</v>
      </c>
      <c r="E98" s="21" t="str">
        <f>IF(LEFT('Default Rankings Import 2020'!F97,1)="D",LEFT('Default Rankings Import 2020'!F97,3),IF(LEFT('Default Rankings Import 2020'!F97,1)="K",LEFT('Default Rankings Import 2020'!F97,1),LEFT('Default Rankings Import 2020'!F97,2)))</f>
        <v>WR</v>
      </c>
    </row>
    <row r="99" spans="2:5" x14ac:dyDescent="0.35">
      <c r="B99" s="12">
        <f t="shared" si="10"/>
        <v>97</v>
      </c>
      <c r="C99" s="20" t="str">
        <f>'Default Rankings Import 2020'!D98</f>
        <v>Golden Tate</v>
      </c>
      <c r="D99" s="20" t="str">
        <f>'Default Rankings Import 2020'!E98</f>
        <v>NYG</v>
      </c>
      <c r="E99" s="21" t="str">
        <f>IF(LEFT('Default Rankings Import 2020'!F98,1)="D",LEFT('Default Rankings Import 2020'!F98,3),IF(LEFT('Default Rankings Import 2020'!F98,1)="K",LEFT('Default Rankings Import 2020'!F98,1),LEFT('Default Rankings Import 2020'!F98,2)))</f>
        <v>WR</v>
      </c>
    </row>
    <row r="100" spans="2:5" x14ac:dyDescent="0.35">
      <c r="B100" s="12">
        <f t="shared" si="10"/>
        <v>98</v>
      </c>
      <c r="C100" s="20" t="str">
        <f>'Default Rankings Import 2020'!D99</f>
        <v>Robby Anderson</v>
      </c>
      <c r="D100" s="20" t="str">
        <f>'Default Rankings Import 2020'!E99</f>
        <v>CAR</v>
      </c>
      <c r="E100" s="21" t="str">
        <f>IF(LEFT('Default Rankings Import 2020'!F99,1)="D",LEFT('Default Rankings Import 2020'!F99,3),IF(LEFT('Default Rankings Import 2020'!F99,1)="K",LEFT('Default Rankings Import 2020'!F99,1),LEFT('Default Rankings Import 2020'!F99,2)))</f>
        <v>WR</v>
      </c>
    </row>
    <row r="101" spans="2:5" x14ac:dyDescent="0.35">
      <c r="B101" s="12">
        <f t="shared" si="10"/>
        <v>99</v>
      </c>
      <c r="C101" s="20" t="str">
        <f>'Default Rankings Import 2020'!D100</f>
        <v>John Brown</v>
      </c>
      <c r="D101" s="20" t="str">
        <f>'Default Rankings Import 2020'!E100</f>
        <v>BUF</v>
      </c>
      <c r="E101" s="21" t="str">
        <f>IF(LEFT('Default Rankings Import 2020'!F100,1)="D",LEFT('Default Rankings Import 2020'!F100,3),IF(LEFT('Default Rankings Import 2020'!F100,1)="K",LEFT('Default Rankings Import 2020'!F100,1),LEFT('Default Rankings Import 2020'!F100,2)))</f>
        <v>WR</v>
      </c>
    </row>
    <row r="102" spans="2:5" x14ac:dyDescent="0.35">
      <c r="B102" s="12">
        <f t="shared" si="10"/>
        <v>100</v>
      </c>
      <c r="C102" s="20" t="str">
        <f>'Default Rankings Import 2020'!D101</f>
        <v>Emmanuel Sanders</v>
      </c>
      <c r="D102" s="20" t="str">
        <f>'Default Rankings Import 2020'!E101</f>
        <v>NO</v>
      </c>
      <c r="E102" s="21" t="str">
        <f>IF(LEFT('Default Rankings Import 2020'!F101,1)="D",LEFT('Default Rankings Import 2020'!F101,3),IF(LEFT('Default Rankings Import 2020'!F101,1)="K",LEFT('Default Rankings Import 2020'!F101,1),LEFT('Default Rankings Import 2020'!F101,2)))</f>
        <v>WR</v>
      </c>
    </row>
    <row r="103" spans="2:5" x14ac:dyDescent="0.35">
      <c r="B103" s="12">
        <f t="shared" si="10"/>
        <v>101</v>
      </c>
      <c r="C103" s="20" t="str">
        <f>'Default Rankings Import 2020'!D102</f>
        <v>Henry Ruggs III</v>
      </c>
      <c r="D103" s="20" t="str">
        <f>'Default Rankings Import 2020'!E102</f>
        <v>LV</v>
      </c>
      <c r="E103" s="21" t="str">
        <f>IF(LEFT('Default Rankings Import 2020'!F102,1)="D",LEFT('Default Rankings Import 2020'!F102,3),IF(LEFT('Default Rankings Import 2020'!F102,1)="K",LEFT('Default Rankings Import 2020'!F102,1),LEFT('Default Rankings Import 2020'!F102,2)))</f>
        <v>WR</v>
      </c>
    </row>
    <row r="104" spans="2:5" x14ac:dyDescent="0.35">
      <c r="B104" s="12">
        <f t="shared" si="10"/>
        <v>102</v>
      </c>
      <c r="C104" s="20" t="str">
        <f>'Default Rankings Import 2020'!D103</f>
        <v>DeSean Jackson</v>
      </c>
      <c r="D104" s="20" t="str">
        <f>'Default Rankings Import 2020'!E103</f>
        <v>PHI</v>
      </c>
      <c r="E104" s="21" t="str">
        <f>IF(LEFT('Default Rankings Import 2020'!F103,1)="D",LEFT('Default Rankings Import 2020'!F103,3),IF(LEFT('Default Rankings Import 2020'!F103,1)="K",LEFT('Default Rankings Import 2020'!F103,1),LEFT('Default Rankings Import 2020'!F103,2)))</f>
        <v>WR</v>
      </c>
    </row>
    <row r="105" spans="2:5" x14ac:dyDescent="0.35">
      <c r="B105" s="12">
        <f t="shared" si="10"/>
        <v>103</v>
      </c>
      <c r="C105" s="20" t="str">
        <f>'Default Rankings Import 2020'!D104</f>
        <v>Alexander Mattison</v>
      </c>
      <c r="D105" s="20" t="str">
        <f>'Default Rankings Import 2020'!E104</f>
        <v>MIN</v>
      </c>
      <c r="E105" s="21" t="str">
        <f>IF(LEFT('Default Rankings Import 2020'!F104,1)="D",LEFT('Default Rankings Import 2020'!F104,3),IF(LEFT('Default Rankings Import 2020'!F104,1)="K",LEFT('Default Rankings Import 2020'!F104,1),LEFT('Default Rankings Import 2020'!F104,2)))</f>
        <v>RB</v>
      </c>
    </row>
    <row r="106" spans="2:5" x14ac:dyDescent="0.35">
      <c r="B106" s="12">
        <f t="shared" si="10"/>
        <v>104</v>
      </c>
      <c r="C106" s="20" t="str">
        <f>'Default Rankings Import 2020'!D105</f>
        <v>Darrell Henderson Jr.</v>
      </c>
      <c r="D106" s="20" t="str">
        <f>'Default Rankings Import 2020'!E105</f>
        <v>LAR</v>
      </c>
      <c r="E106" s="21" t="str">
        <f>IF(LEFT('Default Rankings Import 2020'!F105,1)="D",LEFT('Default Rankings Import 2020'!F105,3),IF(LEFT('Default Rankings Import 2020'!F105,1)="K",LEFT('Default Rankings Import 2020'!F105,1),LEFT('Default Rankings Import 2020'!F105,2)))</f>
        <v>RB</v>
      </c>
    </row>
    <row r="107" spans="2:5" x14ac:dyDescent="0.35">
      <c r="B107" s="12">
        <f t="shared" si="10"/>
        <v>105</v>
      </c>
      <c r="C107" s="20" t="str">
        <f>'Default Rankings Import 2020'!D106</f>
        <v>Latavius Murray</v>
      </c>
      <c r="D107" s="20" t="str">
        <f>'Default Rankings Import 2020'!E106</f>
        <v>NO</v>
      </c>
      <c r="E107" s="21" t="str">
        <f>IF(LEFT('Default Rankings Import 2020'!F106,1)="D",LEFT('Default Rankings Import 2020'!F106,3),IF(LEFT('Default Rankings Import 2020'!F106,1)="K",LEFT('Default Rankings Import 2020'!F106,1),LEFT('Default Rankings Import 2020'!F106,2)))</f>
        <v>RB</v>
      </c>
    </row>
    <row r="108" spans="2:5" x14ac:dyDescent="0.35">
      <c r="B108" s="12">
        <f t="shared" si="10"/>
        <v>106</v>
      </c>
      <c r="C108" s="20" t="str">
        <f>'Default Rankings Import 2020'!D107</f>
        <v>Breshad Perriman</v>
      </c>
      <c r="D108" s="20" t="str">
        <f>'Default Rankings Import 2020'!E107</f>
        <v>NYJ</v>
      </c>
      <c r="E108" s="21" t="str">
        <f>IF(LEFT('Default Rankings Import 2020'!F107,1)="D",LEFT('Default Rankings Import 2020'!F107,3),IF(LEFT('Default Rankings Import 2020'!F107,1)="K",LEFT('Default Rankings Import 2020'!F107,1),LEFT('Default Rankings Import 2020'!F107,2)))</f>
        <v>WR</v>
      </c>
    </row>
    <row r="109" spans="2:5" x14ac:dyDescent="0.35">
      <c r="B109" s="12">
        <f t="shared" si="10"/>
        <v>107</v>
      </c>
      <c r="C109" s="20" t="str">
        <f>'Default Rankings Import 2020'!D108</f>
        <v>Jerry Jeudy</v>
      </c>
      <c r="D109" s="20" t="str">
        <f>'Default Rankings Import 2020'!E108</f>
        <v>DEN</v>
      </c>
      <c r="E109" s="21" t="str">
        <f>IF(LEFT('Default Rankings Import 2020'!F108,1)="D",LEFT('Default Rankings Import 2020'!F108,3),IF(LEFT('Default Rankings Import 2020'!F108,1)="K",LEFT('Default Rankings Import 2020'!F108,1),LEFT('Default Rankings Import 2020'!F108,2)))</f>
        <v>WR</v>
      </c>
    </row>
    <row r="110" spans="2:5" x14ac:dyDescent="0.35">
      <c r="B110" s="12">
        <f t="shared" si="10"/>
        <v>108</v>
      </c>
      <c r="C110" s="20" t="str">
        <f>'Default Rankings Import 2020'!D109</f>
        <v>Mike Williams</v>
      </c>
      <c r="D110" s="20" t="str">
        <f>'Default Rankings Import 2020'!E109</f>
        <v>LAC</v>
      </c>
      <c r="E110" s="21" t="str">
        <f>IF(LEFT('Default Rankings Import 2020'!F109,1)="D",LEFT('Default Rankings Import 2020'!F109,3),IF(LEFT('Default Rankings Import 2020'!F109,1)="K",LEFT('Default Rankings Import 2020'!F109,1),LEFT('Default Rankings Import 2020'!F109,2)))</f>
        <v>WR</v>
      </c>
    </row>
    <row r="111" spans="2:5" x14ac:dyDescent="0.35">
      <c r="B111" s="12">
        <f t="shared" si="10"/>
        <v>109</v>
      </c>
      <c r="C111" s="20" t="str">
        <f>'Default Rankings Import 2020'!D110</f>
        <v>CeeDee Lamb</v>
      </c>
      <c r="D111" s="20" t="str">
        <f>'Default Rankings Import 2020'!E110</f>
        <v>DAL</v>
      </c>
      <c r="E111" s="21" t="str">
        <f>IF(LEFT('Default Rankings Import 2020'!F110,1)="D",LEFT('Default Rankings Import 2020'!F110,3),IF(LEFT('Default Rankings Import 2020'!F110,1)="K",LEFT('Default Rankings Import 2020'!F110,1),LEFT('Default Rankings Import 2020'!F110,2)))</f>
        <v>WR</v>
      </c>
    </row>
    <row r="112" spans="2:5" x14ac:dyDescent="0.35">
      <c r="B112" s="12">
        <f t="shared" si="10"/>
        <v>110</v>
      </c>
      <c r="C112" s="20" t="str">
        <f>'Default Rankings Import 2020'!D111</f>
        <v>Hunter Henry</v>
      </c>
      <c r="D112" s="20" t="str">
        <f>'Default Rankings Import 2020'!E111</f>
        <v>LAC</v>
      </c>
      <c r="E112" s="21" t="str">
        <f>IF(LEFT('Default Rankings Import 2020'!F111,1)="D",LEFT('Default Rankings Import 2020'!F111,3),IF(LEFT('Default Rankings Import 2020'!F111,1)="K",LEFT('Default Rankings Import 2020'!F111,1),LEFT('Default Rankings Import 2020'!F111,2)))</f>
        <v>TE</v>
      </c>
    </row>
    <row r="113" spans="2:5" x14ac:dyDescent="0.35">
      <c r="B113" s="12">
        <f t="shared" si="10"/>
        <v>111</v>
      </c>
      <c r="C113" s="20" t="str">
        <f>'Default Rankings Import 2020'!D112</f>
        <v>Jared Cook</v>
      </c>
      <c r="D113" s="20" t="str">
        <f>'Default Rankings Import 2020'!E112</f>
        <v>NO</v>
      </c>
      <c r="E113" s="21" t="str">
        <f>IF(LEFT('Default Rankings Import 2020'!F112,1)="D",LEFT('Default Rankings Import 2020'!F112,3),IF(LEFT('Default Rankings Import 2020'!F112,1)="K",LEFT('Default Rankings Import 2020'!F112,1),LEFT('Default Rankings Import 2020'!F112,2)))</f>
        <v>TE</v>
      </c>
    </row>
    <row r="114" spans="2:5" x14ac:dyDescent="0.35">
      <c r="B114" s="12">
        <f t="shared" si="10"/>
        <v>112</v>
      </c>
      <c r="C114" s="20" t="str">
        <f>'Default Rankings Import 2020'!D113</f>
        <v>Rob Gronkowski</v>
      </c>
      <c r="D114" s="20" t="str">
        <f>'Default Rankings Import 2020'!E113</f>
        <v>TB</v>
      </c>
      <c r="E114" s="21" t="str">
        <f>IF(LEFT('Default Rankings Import 2020'!F113,1)="D",LEFT('Default Rankings Import 2020'!F113,3),IF(LEFT('Default Rankings Import 2020'!F113,1)="K",LEFT('Default Rankings Import 2020'!F113,1),LEFT('Default Rankings Import 2020'!F113,2)))</f>
        <v>TE</v>
      </c>
    </row>
    <row r="115" spans="2:5" x14ac:dyDescent="0.35">
      <c r="B115" s="12">
        <f t="shared" si="10"/>
        <v>113</v>
      </c>
      <c r="C115" s="20" t="str">
        <f>'Default Rankings Import 2020'!D114</f>
        <v>Noah Fant</v>
      </c>
      <c r="D115" s="20" t="str">
        <f>'Default Rankings Import 2020'!E114</f>
        <v>DEN</v>
      </c>
      <c r="E115" s="21" t="str">
        <f>IF(LEFT('Default Rankings Import 2020'!F114,1)="D",LEFT('Default Rankings Import 2020'!F114,3),IF(LEFT('Default Rankings Import 2020'!F114,1)="K",LEFT('Default Rankings Import 2020'!F114,1),LEFT('Default Rankings Import 2020'!F114,2)))</f>
        <v>TE</v>
      </c>
    </row>
    <row r="116" spans="2:5" x14ac:dyDescent="0.35">
      <c r="B116" s="12">
        <f t="shared" si="10"/>
        <v>114</v>
      </c>
      <c r="C116" s="20" t="str">
        <f>'Default Rankings Import 2020'!D115</f>
        <v>Hayden Hurst</v>
      </c>
      <c r="D116" s="20" t="str">
        <f>'Default Rankings Import 2020'!E115</f>
        <v>ATL</v>
      </c>
      <c r="E116" s="21" t="str">
        <f>IF(LEFT('Default Rankings Import 2020'!F115,1)="D",LEFT('Default Rankings Import 2020'!F115,3),IF(LEFT('Default Rankings Import 2020'!F115,1)="K",LEFT('Default Rankings Import 2020'!F115,1),LEFT('Default Rankings Import 2020'!F115,2)))</f>
        <v>TE</v>
      </c>
    </row>
    <row r="117" spans="2:5" x14ac:dyDescent="0.35">
      <c r="B117" s="12">
        <f t="shared" si="10"/>
        <v>115</v>
      </c>
      <c r="C117" s="20" t="str">
        <f>'Default Rankings Import 2020'!D116</f>
        <v>T.J. Hockenson</v>
      </c>
      <c r="D117" s="20" t="str">
        <f>'Default Rankings Import 2020'!E116</f>
        <v>DET</v>
      </c>
      <c r="E117" s="21" t="str">
        <f>IF(LEFT('Default Rankings Import 2020'!F116,1)="D",LEFT('Default Rankings Import 2020'!F116,3),IF(LEFT('Default Rankings Import 2020'!F116,1)="K",LEFT('Default Rankings Import 2020'!F116,1),LEFT('Default Rankings Import 2020'!F116,2)))</f>
        <v>TE</v>
      </c>
    </row>
    <row r="118" spans="2:5" x14ac:dyDescent="0.35">
      <c r="B118" s="12">
        <f t="shared" si="10"/>
        <v>116</v>
      </c>
      <c r="C118" s="20" t="str">
        <f>'Default Rankings Import 2020'!D117</f>
        <v>Matt Ryan</v>
      </c>
      <c r="D118" s="20" t="str">
        <f>'Default Rankings Import 2020'!E117</f>
        <v>ATL</v>
      </c>
      <c r="E118" s="21" t="str">
        <f>IF(LEFT('Default Rankings Import 2020'!F117,1)="D",LEFT('Default Rankings Import 2020'!F117,3),IF(LEFT('Default Rankings Import 2020'!F117,1)="K",LEFT('Default Rankings Import 2020'!F117,1),LEFT('Default Rankings Import 2020'!F117,2)))</f>
        <v>QB</v>
      </c>
    </row>
    <row r="119" spans="2:5" x14ac:dyDescent="0.35">
      <c r="B119" s="12">
        <f t="shared" si="10"/>
        <v>117</v>
      </c>
      <c r="C119" s="20" t="str">
        <f>'Default Rankings Import 2020'!D118</f>
        <v>Tom Brady</v>
      </c>
      <c r="D119" s="20" t="str">
        <f>'Default Rankings Import 2020'!E118</f>
        <v>TB</v>
      </c>
      <c r="E119" s="21" t="str">
        <f>IF(LEFT('Default Rankings Import 2020'!F118,1)="D",LEFT('Default Rankings Import 2020'!F118,3),IF(LEFT('Default Rankings Import 2020'!F118,1)="K",LEFT('Default Rankings Import 2020'!F118,1),LEFT('Default Rankings Import 2020'!F118,2)))</f>
        <v>QB</v>
      </c>
    </row>
    <row r="120" spans="2:5" x14ac:dyDescent="0.35">
      <c r="B120" s="12">
        <f t="shared" si="10"/>
        <v>118</v>
      </c>
      <c r="C120" s="20" t="str">
        <f>'Default Rankings Import 2020'!D119</f>
        <v>Carson Wentz</v>
      </c>
      <c r="D120" s="20" t="str">
        <f>'Default Rankings Import 2020'!E119</f>
        <v>PHI</v>
      </c>
      <c r="E120" s="21" t="str">
        <f>IF(LEFT('Default Rankings Import 2020'!F119,1)="D",LEFT('Default Rankings Import 2020'!F119,3),IF(LEFT('Default Rankings Import 2020'!F119,1)="K",LEFT('Default Rankings Import 2020'!F119,1),LEFT('Default Rankings Import 2020'!F119,2)))</f>
        <v>QB</v>
      </c>
    </row>
    <row r="121" spans="2:5" x14ac:dyDescent="0.35">
      <c r="B121" s="12">
        <f t="shared" si="10"/>
        <v>119</v>
      </c>
      <c r="C121" s="20" t="str">
        <f>'Default Rankings Import 2020'!D120</f>
        <v>Josh Allen</v>
      </c>
      <c r="D121" s="20" t="str">
        <f>'Default Rankings Import 2020'!E120</f>
        <v>BUF</v>
      </c>
      <c r="E121" s="21" t="str">
        <f>IF(LEFT('Default Rankings Import 2020'!F120,1)="D",LEFT('Default Rankings Import 2020'!F120,3),IF(LEFT('Default Rankings Import 2020'!F120,1)="K",LEFT('Default Rankings Import 2020'!F120,1),LEFT('Default Rankings Import 2020'!F120,2)))</f>
        <v>QB</v>
      </c>
    </row>
    <row r="122" spans="2:5" x14ac:dyDescent="0.35">
      <c r="B122" s="12">
        <f t="shared" si="10"/>
        <v>120</v>
      </c>
      <c r="C122" s="20" t="str">
        <f>'Default Rankings Import 2020'!D121</f>
        <v>Drew Brees</v>
      </c>
      <c r="D122" s="20" t="str">
        <f>'Default Rankings Import 2020'!E121</f>
        <v>NO</v>
      </c>
      <c r="E122" s="21" t="str">
        <f>IF(LEFT('Default Rankings Import 2020'!F121,1)="D",LEFT('Default Rankings Import 2020'!F121,3),IF(LEFT('Default Rankings Import 2020'!F121,1)="K",LEFT('Default Rankings Import 2020'!F121,1),LEFT('Default Rankings Import 2020'!F121,2)))</f>
        <v>QB</v>
      </c>
    </row>
    <row r="123" spans="2:5" x14ac:dyDescent="0.35">
      <c r="B123" s="12">
        <f t="shared" si="10"/>
        <v>121</v>
      </c>
      <c r="C123" s="20" t="str">
        <f>'Default Rankings Import 2020'!D122</f>
        <v>Matthew Stafford</v>
      </c>
      <c r="D123" s="20" t="str">
        <f>'Default Rankings Import 2020'!E122</f>
        <v>DET</v>
      </c>
      <c r="E123" s="21" t="str">
        <f>IF(LEFT('Default Rankings Import 2020'!F122,1)="D",LEFT('Default Rankings Import 2020'!F122,3),IF(LEFT('Default Rankings Import 2020'!F122,1)="K",LEFT('Default Rankings Import 2020'!F122,1),LEFT('Default Rankings Import 2020'!F122,2)))</f>
        <v>QB</v>
      </c>
    </row>
    <row r="124" spans="2:5" x14ac:dyDescent="0.35">
      <c r="B124" s="12">
        <f t="shared" si="10"/>
        <v>122</v>
      </c>
      <c r="C124" s="20" t="str">
        <f>'Default Rankings Import 2020'!D123</f>
        <v>Aaron Rodgers</v>
      </c>
      <c r="D124" s="20" t="str">
        <f>'Default Rankings Import 2020'!E123</f>
        <v>GB</v>
      </c>
      <c r="E124" s="21" t="str">
        <f>IF(LEFT('Default Rankings Import 2020'!F123,1)="D",LEFT('Default Rankings Import 2020'!F123,3),IF(LEFT('Default Rankings Import 2020'!F123,1)="K",LEFT('Default Rankings Import 2020'!F123,1),LEFT('Default Rankings Import 2020'!F123,2)))</f>
        <v>QB</v>
      </c>
    </row>
    <row r="125" spans="2:5" x14ac:dyDescent="0.35">
      <c r="B125" s="12">
        <f t="shared" si="10"/>
        <v>123</v>
      </c>
      <c r="C125" s="20" t="str">
        <f>'Default Rankings Import 2020'!D124</f>
        <v>Mecole Hardman</v>
      </c>
      <c r="D125" s="20" t="str">
        <f>'Default Rankings Import 2020'!E124</f>
        <v>KC</v>
      </c>
      <c r="E125" s="21" t="str">
        <f>IF(LEFT('Default Rankings Import 2020'!F124,1)="D",LEFT('Default Rankings Import 2020'!F124,3),IF(LEFT('Default Rankings Import 2020'!F124,1)="K",LEFT('Default Rankings Import 2020'!F124,1),LEFT('Default Rankings Import 2020'!F124,2)))</f>
        <v>WR</v>
      </c>
    </row>
    <row r="126" spans="2:5" x14ac:dyDescent="0.35">
      <c r="B126" s="12">
        <f t="shared" si="10"/>
        <v>124</v>
      </c>
      <c r="C126" s="20" t="str">
        <f>'Default Rankings Import 2020'!D125</f>
        <v>N'Keal Harry</v>
      </c>
      <c r="D126" s="20" t="str">
        <f>'Default Rankings Import 2020'!E125</f>
        <v>NE</v>
      </c>
      <c r="E126" s="21" t="str">
        <f>IF(LEFT('Default Rankings Import 2020'!F125,1)="D",LEFT('Default Rankings Import 2020'!F125,3),IF(LEFT('Default Rankings Import 2020'!F125,1)="K",LEFT('Default Rankings Import 2020'!F125,1),LEFT('Default Rankings Import 2020'!F125,2)))</f>
        <v>WR</v>
      </c>
    </row>
    <row r="127" spans="2:5" x14ac:dyDescent="0.35">
      <c r="B127" s="12">
        <f t="shared" si="10"/>
        <v>125</v>
      </c>
      <c r="C127" s="20" t="str">
        <f>'Default Rankings Import 2020'!D126</f>
        <v>Curtis Samuel</v>
      </c>
      <c r="D127" s="20" t="str">
        <f>'Default Rankings Import 2020'!E126</f>
        <v>CAR</v>
      </c>
      <c r="E127" s="21" t="str">
        <f>IF(LEFT('Default Rankings Import 2020'!F126,1)="D",LEFT('Default Rankings Import 2020'!F126,3),IF(LEFT('Default Rankings Import 2020'!F126,1)="K",LEFT('Default Rankings Import 2020'!F126,1),LEFT('Default Rankings Import 2020'!F126,2)))</f>
        <v>WR</v>
      </c>
    </row>
    <row r="128" spans="2:5" x14ac:dyDescent="0.35">
      <c r="B128" s="12">
        <f t="shared" si="10"/>
        <v>126</v>
      </c>
      <c r="C128" s="20" t="str">
        <f>'Default Rankings Import 2020'!D127</f>
        <v>Parris Campbell</v>
      </c>
      <c r="D128" s="20" t="str">
        <f>'Default Rankings Import 2020'!E127</f>
        <v>IND</v>
      </c>
      <c r="E128" s="21" t="str">
        <f>IF(LEFT('Default Rankings Import 2020'!F127,1)="D",LEFT('Default Rankings Import 2020'!F127,3),IF(LEFT('Default Rankings Import 2020'!F127,1)="K",LEFT('Default Rankings Import 2020'!F127,1),LEFT('Default Rankings Import 2020'!F127,2)))</f>
        <v>WR</v>
      </c>
    </row>
    <row r="129" spans="2:5" x14ac:dyDescent="0.35">
      <c r="B129" s="12">
        <f t="shared" si="10"/>
        <v>127</v>
      </c>
      <c r="C129" s="20" t="str">
        <f>'Default Rankings Import 2020'!D128</f>
        <v>Anthony Miller</v>
      </c>
      <c r="D129" s="20" t="str">
        <f>'Default Rankings Import 2020'!E128</f>
        <v>CHI</v>
      </c>
      <c r="E129" s="21" t="str">
        <f>IF(LEFT('Default Rankings Import 2020'!F128,1)="D",LEFT('Default Rankings Import 2020'!F128,3),IF(LEFT('Default Rankings Import 2020'!F128,1)="K",LEFT('Default Rankings Import 2020'!F128,1),LEFT('Default Rankings Import 2020'!F128,2)))</f>
        <v>WR</v>
      </c>
    </row>
    <row r="130" spans="2:5" x14ac:dyDescent="0.35">
      <c r="B130" s="12">
        <f t="shared" si="10"/>
        <v>128</v>
      </c>
      <c r="C130" s="20" t="str">
        <f>'Default Rankings Import 2020'!D129</f>
        <v>Duke Johnson</v>
      </c>
      <c r="D130" s="20" t="str">
        <f>'Default Rankings Import 2020'!E129</f>
        <v>HOU</v>
      </c>
      <c r="E130" s="21" t="str">
        <f>IF(LEFT('Default Rankings Import 2020'!F129,1)="D",LEFT('Default Rankings Import 2020'!F129,3),IF(LEFT('Default Rankings Import 2020'!F129,1)="K",LEFT('Default Rankings Import 2020'!F129,1),LEFT('Default Rankings Import 2020'!F129,2)))</f>
        <v>RB</v>
      </c>
    </row>
    <row r="131" spans="2:5" x14ac:dyDescent="0.35">
      <c r="B131" s="12">
        <f t="shared" si="10"/>
        <v>129</v>
      </c>
      <c r="C131" s="20" t="str">
        <f>'Default Rankings Import 2020'!D130</f>
        <v>Marlon Mack</v>
      </c>
      <c r="D131" s="20" t="str">
        <f>'Default Rankings Import 2020'!E130</f>
        <v>IND</v>
      </c>
      <c r="E131" s="21" t="str">
        <f>IF(LEFT('Default Rankings Import 2020'!F130,1)="D",LEFT('Default Rankings Import 2020'!F130,3),IF(LEFT('Default Rankings Import 2020'!F130,1)="K",LEFT('Default Rankings Import 2020'!F130,1),LEFT('Default Rankings Import 2020'!F130,2)))</f>
        <v>RB</v>
      </c>
    </row>
    <row r="132" spans="2:5" x14ac:dyDescent="0.35">
      <c r="B132" s="12">
        <f t="shared" si="10"/>
        <v>130</v>
      </c>
      <c r="C132" s="20" t="str">
        <f>'Default Rankings Import 2020'!D131</f>
        <v>Chase Edmonds</v>
      </c>
      <c r="D132" s="20" t="str">
        <f>'Default Rankings Import 2020'!E131</f>
        <v>ARI</v>
      </c>
      <c r="E132" s="21" t="str">
        <f>IF(LEFT('Default Rankings Import 2020'!F131,1)="D",LEFT('Default Rankings Import 2020'!F131,3),IF(LEFT('Default Rankings Import 2020'!F131,1)="K",LEFT('Default Rankings Import 2020'!F131,1),LEFT('Default Rankings Import 2020'!F131,2)))</f>
        <v>RB</v>
      </c>
    </row>
    <row r="133" spans="2:5" x14ac:dyDescent="0.35">
      <c r="B133" s="12">
        <f t="shared" ref="B133:B196" si="13">B132+1</f>
        <v>131</v>
      </c>
      <c r="C133" s="20" t="str">
        <f>'Default Rankings Import 2020'!D132</f>
        <v>Sony Michel</v>
      </c>
      <c r="D133" s="20" t="str">
        <f>'Default Rankings Import 2020'!E132</f>
        <v>NE</v>
      </c>
      <c r="E133" s="21" t="str">
        <f>IF(LEFT('Default Rankings Import 2020'!F132,1)="D",LEFT('Default Rankings Import 2020'!F132,3),IF(LEFT('Default Rankings Import 2020'!F132,1)="K",LEFT('Default Rankings Import 2020'!F132,1),LEFT('Default Rankings Import 2020'!F132,2)))</f>
        <v>RB</v>
      </c>
    </row>
    <row r="134" spans="2:5" x14ac:dyDescent="0.35">
      <c r="B134" s="12">
        <f t="shared" si="13"/>
        <v>132</v>
      </c>
      <c r="C134" s="20" t="str">
        <f>'Default Rankings Import 2020'!D133</f>
        <v>Tony Pollard</v>
      </c>
      <c r="D134" s="20" t="str">
        <f>'Default Rankings Import 2020'!E133</f>
        <v>DAL</v>
      </c>
      <c r="E134" s="21" t="str">
        <f>IF(LEFT('Default Rankings Import 2020'!F133,1)="D",LEFT('Default Rankings Import 2020'!F133,3),IF(LEFT('Default Rankings Import 2020'!F133,1)="K",LEFT('Default Rankings Import 2020'!F133,1),LEFT('Default Rankings Import 2020'!F133,2)))</f>
        <v>RB</v>
      </c>
    </row>
    <row r="135" spans="2:5" x14ac:dyDescent="0.35">
      <c r="B135" s="12">
        <f t="shared" si="13"/>
        <v>133</v>
      </c>
      <c r="C135" s="20" t="str">
        <f>'Default Rankings Import 2020'!D134</f>
        <v>Damien Harris</v>
      </c>
      <c r="D135" s="20" t="str">
        <f>'Default Rankings Import 2020'!E134</f>
        <v>NE</v>
      </c>
      <c r="E135" s="21" t="str">
        <f>IF(LEFT('Default Rankings Import 2020'!F134,1)="D",LEFT('Default Rankings Import 2020'!F134,3),IF(LEFT('Default Rankings Import 2020'!F134,1)="K",LEFT('Default Rankings Import 2020'!F134,1),LEFT('Default Rankings Import 2020'!F134,2)))</f>
        <v>RB</v>
      </c>
    </row>
    <row r="136" spans="2:5" x14ac:dyDescent="0.35">
      <c r="B136" s="12">
        <f t="shared" si="13"/>
        <v>134</v>
      </c>
      <c r="C136" s="20" t="str">
        <f>'Default Rankings Import 2020'!D135</f>
        <v>Mike Gesicki</v>
      </c>
      <c r="D136" s="20" t="str">
        <f>'Default Rankings Import 2020'!E135</f>
        <v>MIA</v>
      </c>
      <c r="E136" s="21" t="str">
        <f>IF(LEFT('Default Rankings Import 2020'!F135,1)="D",LEFT('Default Rankings Import 2020'!F135,3),IF(LEFT('Default Rankings Import 2020'!F135,1)="K",LEFT('Default Rankings Import 2020'!F135,1),LEFT('Default Rankings Import 2020'!F135,2)))</f>
        <v>TE</v>
      </c>
    </row>
    <row r="137" spans="2:5" x14ac:dyDescent="0.35">
      <c r="B137" s="12">
        <f t="shared" si="13"/>
        <v>135</v>
      </c>
      <c r="C137" s="20" t="str">
        <f>'Default Rankings Import 2020'!D136</f>
        <v>Chris Herndon</v>
      </c>
      <c r="D137" s="20" t="str">
        <f>'Default Rankings Import 2020'!E136</f>
        <v>NYJ</v>
      </c>
      <c r="E137" s="21" t="str">
        <f>IF(LEFT('Default Rankings Import 2020'!F136,1)="D",LEFT('Default Rankings Import 2020'!F136,3),IF(LEFT('Default Rankings Import 2020'!F136,1)="K",LEFT('Default Rankings Import 2020'!F136,1),LEFT('Default Rankings Import 2020'!F136,2)))</f>
        <v>TE</v>
      </c>
    </row>
    <row r="138" spans="2:5" x14ac:dyDescent="0.35">
      <c r="B138" s="12">
        <f t="shared" si="13"/>
        <v>136</v>
      </c>
      <c r="C138" s="20" t="str">
        <f>'Default Rankings Import 2020'!D137</f>
        <v>Austin Hooper</v>
      </c>
      <c r="D138" s="20" t="str">
        <f>'Default Rankings Import 2020'!E137</f>
        <v>CLE</v>
      </c>
      <c r="E138" s="21" t="str">
        <f>IF(LEFT('Default Rankings Import 2020'!F137,1)="D",LEFT('Default Rankings Import 2020'!F137,3),IF(LEFT('Default Rankings Import 2020'!F137,1)="K",LEFT('Default Rankings Import 2020'!F137,1),LEFT('Default Rankings Import 2020'!F137,2)))</f>
        <v>TE</v>
      </c>
    </row>
    <row r="139" spans="2:5" x14ac:dyDescent="0.35">
      <c r="B139" s="12">
        <f t="shared" si="13"/>
        <v>137</v>
      </c>
      <c r="C139" s="20" t="str">
        <f>'Default Rankings Import 2020'!D138</f>
        <v>Daniel Jones</v>
      </c>
      <c r="D139" s="20" t="str">
        <f>'Default Rankings Import 2020'!E138</f>
        <v>NYG</v>
      </c>
      <c r="E139" s="21" t="str">
        <f>IF(LEFT('Default Rankings Import 2020'!F138,1)="D",LEFT('Default Rankings Import 2020'!F138,3),IF(LEFT('Default Rankings Import 2020'!F138,1)="K",LEFT('Default Rankings Import 2020'!F138,1),LEFT('Default Rankings Import 2020'!F138,2)))</f>
        <v>QB</v>
      </c>
    </row>
    <row r="140" spans="2:5" x14ac:dyDescent="0.35">
      <c r="B140" s="12">
        <f t="shared" si="13"/>
        <v>138</v>
      </c>
      <c r="C140" s="20" t="str">
        <f>'Default Rankings Import 2020'!D139</f>
        <v>Cam Newton</v>
      </c>
      <c r="D140" s="20" t="str">
        <f>'Default Rankings Import 2020'!E139</f>
        <v>NE</v>
      </c>
      <c r="E140" s="21" t="str">
        <f>IF(LEFT('Default Rankings Import 2020'!F139,1)="D",LEFT('Default Rankings Import 2020'!F139,3),IF(LEFT('Default Rankings Import 2020'!F139,1)="K",LEFT('Default Rankings Import 2020'!F139,1),LEFT('Default Rankings Import 2020'!F139,2)))</f>
        <v>QB</v>
      </c>
    </row>
    <row r="141" spans="2:5" x14ac:dyDescent="0.35">
      <c r="B141" s="12">
        <f t="shared" si="13"/>
        <v>139</v>
      </c>
      <c r="C141" s="20" t="str">
        <f>'Default Rankings Import 2020'!D140</f>
        <v>Justin Jackson</v>
      </c>
      <c r="D141" s="20" t="str">
        <f>'Default Rankings Import 2020'!E140</f>
        <v>LAC</v>
      </c>
      <c r="E141" s="21" t="str">
        <f>IF(LEFT('Default Rankings Import 2020'!F140,1)="D",LEFT('Default Rankings Import 2020'!F140,3),IF(LEFT('Default Rankings Import 2020'!F140,1)="K",LEFT('Default Rankings Import 2020'!F140,1),LEFT('Default Rankings Import 2020'!F140,2)))</f>
        <v>RB</v>
      </c>
    </row>
    <row r="142" spans="2:5" x14ac:dyDescent="0.35">
      <c r="B142" s="12">
        <f t="shared" si="13"/>
        <v>140</v>
      </c>
      <c r="C142" s="20" t="str">
        <f>'Default Rankings Import 2020'!D141</f>
        <v>Chris Thompson</v>
      </c>
      <c r="D142" s="20" t="str">
        <f>'Default Rankings Import 2020'!E141</f>
        <v>JAC</v>
      </c>
      <c r="E142" s="21" t="str">
        <f>IF(LEFT('Default Rankings Import 2020'!F141,1)="D",LEFT('Default Rankings Import 2020'!F141,3),IF(LEFT('Default Rankings Import 2020'!F141,1)="K",LEFT('Default Rankings Import 2020'!F141,1),LEFT('Default Rankings Import 2020'!F141,2)))</f>
        <v>RB</v>
      </c>
    </row>
    <row r="143" spans="2:5" x14ac:dyDescent="0.35">
      <c r="B143" s="12">
        <f t="shared" si="13"/>
        <v>141</v>
      </c>
      <c r="C143" s="20" t="str">
        <f>'Default Rankings Import 2020'!D142</f>
        <v>Adrian Peterson</v>
      </c>
      <c r="D143" s="20" t="str">
        <f>'Default Rankings Import 2020'!E142</f>
        <v>WAS</v>
      </c>
      <c r="E143" s="21" t="str">
        <f>IF(LEFT('Default Rankings Import 2020'!F142,1)="D",LEFT('Default Rankings Import 2020'!F142,3),IF(LEFT('Default Rankings Import 2020'!F142,1)="K",LEFT('Default Rankings Import 2020'!F142,1),LEFT('Default Rankings Import 2020'!F142,2)))</f>
        <v>RB</v>
      </c>
    </row>
    <row r="144" spans="2:5" x14ac:dyDescent="0.35">
      <c r="B144" s="12">
        <f t="shared" si="13"/>
        <v>142</v>
      </c>
      <c r="C144" s="20" t="str">
        <f>'Default Rankings Import 2020'!D143</f>
        <v>Devine Ozigbo</v>
      </c>
      <c r="D144" s="20" t="str">
        <f>'Default Rankings Import 2020'!E143</f>
        <v>JAC</v>
      </c>
      <c r="E144" s="21" t="str">
        <f>IF(LEFT('Default Rankings Import 2020'!F143,1)="D",LEFT('Default Rankings Import 2020'!F143,3),IF(LEFT('Default Rankings Import 2020'!F143,1)="K",LEFT('Default Rankings Import 2020'!F143,1),LEFT('Default Rankings Import 2020'!F143,2)))</f>
        <v>RB</v>
      </c>
    </row>
    <row r="145" spans="2:5" x14ac:dyDescent="0.35">
      <c r="B145" s="12">
        <f t="shared" si="13"/>
        <v>143</v>
      </c>
      <c r="C145" s="20" t="str">
        <f>'Default Rankings Import 2020'!D144</f>
        <v>Boston Scott</v>
      </c>
      <c r="D145" s="20" t="str">
        <f>'Default Rankings Import 2020'!E144</f>
        <v>PHI</v>
      </c>
      <c r="E145" s="21" t="str">
        <f>IF(LEFT('Default Rankings Import 2020'!F144,1)="D",LEFT('Default Rankings Import 2020'!F144,3),IF(LEFT('Default Rankings Import 2020'!F144,1)="K",LEFT('Default Rankings Import 2020'!F144,1),LEFT('Default Rankings Import 2020'!F144,2)))</f>
        <v>RB</v>
      </c>
    </row>
    <row r="146" spans="2:5" x14ac:dyDescent="0.35">
      <c r="B146" s="12">
        <f t="shared" si="13"/>
        <v>144</v>
      </c>
      <c r="C146" s="20" t="str">
        <f>'Default Rankings Import 2020'!D145</f>
        <v>Nyheim Hines</v>
      </c>
      <c r="D146" s="20" t="str">
        <f>'Default Rankings Import 2020'!E145</f>
        <v>IND</v>
      </c>
      <c r="E146" s="21" t="str">
        <f>IF(LEFT('Default Rankings Import 2020'!F145,1)="D",LEFT('Default Rankings Import 2020'!F145,3),IF(LEFT('Default Rankings Import 2020'!F145,1)="K",LEFT('Default Rankings Import 2020'!F145,1),LEFT('Default Rankings Import 2020'!F145,2)))</f>
        <v>RB</v>
      </c>
    </row>
    <row r="147" spans="2:5" x14ac:dyDescent="0.35">
      <c r="B147" s="12">
        <f t="shared" si="13"/>
        <v>145</v>
      </c>
      <c r="C147" s="20" t="str">
        <f>'Default Rankings Import 2020'!D146</f>
        <v>Justin Jefferson</v>
      </c>
      <c r="D147" s="20" t="str">
        <f>'Default Rankings Import 2020'!E146</f>
        <v>MIN</v>
      </c>
      <c r="E147" s="21" t="str">
        <f>IF(LEFT('Default Rankings Import 2020'!F146,1)="D",LEFT('Default Rankings Import 2020'!F146,3),IF(LEFT('Default Rankings Import 2020'!F146,1)="K",LEFT('Default Rankings Import 2020'!F146,1),LEFT('Default Rankings Import 2020'!F146,2)))</f>
        <v>WR</v>
      </c>
    </row>
    <row r="148" spans="2:5" x14ac:dyDescent="0.35">
      <c r="B148" s="12">
        <f t="shared" si="13"/>
        <v>146</v>
      </c>
      <c r="C148" s="20" t="str">
        <f>'Default Rankings Import 2020'!D147</f>
        <v>Brandon Aiyuk</v>
      </c>
      <c r="D148" s="20" t="str">
        <f>'Default Rankings Import 2020'!E147</f>
        <v>SF</v>
      </c>
      <c r="E148" s="21" t="str">
        <f>IF(LEFT('Default Rankings Import 2020'!F147,1)="D",LEFT('Default Rankings Import 2020'!F147,3),IF(LEFT('Default Rankings Import 2020'!F147,1)="K",LEFT('Default Rankings Import 2020'!F147,1),LEFT('Default Rankings Import 2020'!F147,2)))</f>
        <v>WR</v>
      </c>
    </row>
    <row r="149" spans="2:5" x14ac:dyDescent="0.35">
      <c r="B149" s="12">
        <f t="shared" si="13"/>
        <v>147</v>
      </c>
      <c r="C149" s="20" t="str">
        <f>'Default Rankings Import 2020'!D148</f>
        <v>Sammy Watkins</v>
      </c>
      <c r="D149" s="20" t="str">
        <f>'Default Rankings Import 2020'!E148</f>
        <v>KC</v>
      </c>
      <c r="E149" s="21" t="str">
        <f>IF(LEFT('Default Rankings Import 2020'!F148,1)="D",LEFT('Default Rankings Import 2020'!F148,3),IF(LEFT('Default Rankings Import 2020'!F148,1)="K",LEFT('Default Rankings Import 2020'!F148,1),LEFT('Default Rankings Import 2020'!F148,2)))</f>
        <v>WR</v>
      </c>
    </row>
    <row r="150" spans="2:5" x14ac:dyDescent="0.35">
      <c r="B150" s="12">
        <f t="shared" si="13"/>
        <v>148</v>
      </c>
      <c r="C150" s="20" t="str">
        <f>'Default Rankings Import 2020'!D149</f>
        <v>Randall Cobb</v>
      </c>
      <c r="D150" s="20" t="str">
        <f>'Default Rankings Import 2020'!E149</f>
        <v>HOU</v>
      </c>
      <c r="E150" s="21" t="str">
        <f>IF(LEFT('Default Rankings Import 2020'!F149,1)="D",LEFT('Default Rankings Import 2020'!F149,3),IF(LEFT('Default Rankings Import 2020'!F149,1)="K",LEFT('Default Rankings Import 2020'!F149,1),LEFT('Default Rankings Import 2020'!F149,2)))</f>
        <v>WR</v>
      </c>
    </row>
    <row r="151" spans="2:5" x14ac:dyDescent="0.35">
      <c r="B151" s="12">
        <f t="shared" si="13"/>
        <v>149</v>
      </c>
      <c r="C151" s="20" t="str">
        <f>'Default Rankings Import 2020'!D150</f>
        <v>Alshon Jeffery</v>
      </c>
      <c r="D151" s="20" t="str">
        <f>'Default Rankings Import 2020'!E150</f>
        <v>PHI</v>
      </c>
      <c r="E151" s="21" t="str">
        <f>IF(LEFT('Default Rankings Import 2020'!F150,1)="D",LEFT('Default Rankings Import 2020'!F150,3),IF(LEFT('Default Rankings Import 2020'!F150,1)="K",LEFT('Default Rankings Import 2020'!F150,1),LEFT('Default Rankings Import 2020'!F150,2)))</f>
        <v>WR</v>
      </c>
    </row>
    <row r="152" spans="2:5" x14ac:dyDescent="0.35">
      <c r="B152" s="12">
        <f t="shared" si="13"/>
        <v>150</v>
      </c>
      <c r="C152" s="20" t="str">
        <f>'Default Rankings Import 2020'!D151</f>
        <v>Jalen Reagor</v>
      </c>
      <c r="D152" s="20" t="str">
        <f>'Default Rankings Import 2020'!E151</f>
        <v>PHI</v>
      </c>
      <c r="E152" s="21" t="str">
        <f>IF(LEFT('Default Rankings Import 2020'!F151,1)="D",LEFT('Default Rankings Import 2020'!F151,3),IF(LEFT('Default Rankings Import 2020'!F151,1)="K",LEFT('Default Rankings Import 2020'!F151,1),LEFT('Default Rankings Import 2020'!F151,2)))</f>
        <v>WR</v>
      </c>
    </row>
    <row r="153" spans="2:5" x14ac:dyDescent="0.35">
      <c r="B153" s="12">
        <f t="shared" si="13"/>
        <v>151</v>
      </c>
      <c r="C153" s="20" t="str">
        <f>'Default Rankings Import 2020'!D152</f>
        <v>Michael Pittman Jr.</v>
      </c>
      <c r="D153" s="20" t="str">
        <f>'Default Rankings Import 2020'!E152</f>
        <v>IND</v>
      </c>
      <c r="E153" s="21" t="str">
        <f>IF(LEFT('Default Rankings Import 2020'!F152,1)="D",LEFT('Default Rankings Import 2020'!F152,3),IF(LEFT('Default Rankings Import 2020'!F152,1)="K",LEFT('Default Rankings Import 2020'!F152,1),LEFT('Default Rankings Import 2020'!F152,2)))</f>
        <v>WR</v>
      </c>
    </row>
    <row r="154" spans="2:5" x14ac:dyDescent="0.35">
      <c r="B154" s="12">
        <f t="shared" si="13"/>
        <v>152</v>
      </c>
      <c r="C154" s="20" t="str">
        <f>'Default Rankings Import 2020'!D153</f>
        <v>Larry Fitzgerald</v>
      </c>
      <c r="D154" s="20" t="str">
        <f>'Default Rankings Import 2020'!E153</f>
        <v>ARI</v>
      </c>
      <c r="E154" s="21" t="str">
        <f>IF(LEFT('Default Rankings Import 2020'!F153,1)="D",LEFT('Default Rankings Import 2020'!F153,3),IF(LEFT('Default Rankings Import 2020'!F153,1)="K",LEFT('Default Rankings Import 2020'!F153,1),LEFT('Default Rankings Import 2020'!F153,2)))</f>
        <v>WR</v>
      </c>
    </row>
    <row r="155" spans="2:5" x14ac:dyDescent="0.35">
      <c r="B155" s="12">
        <f t="shared" si="13"/>
        <v>153</v>
      </c>
      <c r="C155" s="20" t="str">
        <f>'Default Rankings Import 2020'!D154</f>
        <v>Allen Lazard</v>
      </c>
      <c r="D155" s="20" t="str">
        <f>'Default Rankings Import 2020'!E154</f>
        <v>GB</v>
      </c>
      <c r="E155" s="21" t="str">
        <f>IF(LEFT('Default Rankings Import 2020'!F154,1)="D",LEFT('Default Rankings Import 2020'!F154,3),IF(LEFT('Default Rankings Import 2020'!F154,1)="K",LEFT('Default Rankings Import 2020'!F154,1),LEFT('Default Rankings Import 2020'!F154,2)))</f>
        <v>WR</v>
      </c>
    </row>
    <row r="156" spans="2:5" x14ac:dyDescent="0.35">
      <c r="B156" s="12">
        <f t="shared" si="13"/>
        <v>154</v>
      </c>
      <c r="C156" s="20" t="str">
        <f>'Default Rankings Import 2020'!D155</f>
        <v>Denzel Mims</v>
      </c>
      <c r="D156" s="20" t="str">
        <f>'Default Rankings Import 2020'!E155</f>
        <v>NYJ</v>
      </c>
      <c r="E156" s="21" t="str">
        <f>IF(LEFT('Default Rankings Import 2020'!F155,1)="D",LEFT('Default Rankings Import 2020'!F155,3),IF(LEFT('Default Rankings Import 2020'!F155,1)="K",LEFT('Default Rankings Import 2020'!F155,1),LEFT('Default Rankings Import 2020'!F155,2)))</f>
        <v>WR</v>
      </c>
    </row>
    <row r="157" spans="2:5" x14ac:dyDescent="0.35">
      <c r="B157" s="12">
        <f t="shared" si="13"/>
        <v>155</v>
      </c>
      <c r="C157" s="20" t="str">
        <f>'Default Rankings Import 2020'!D156</f>
        <v>Tee Higgins</v>
      </c>
      <c r="D157" s="20" t="str">
        <f>'Default Rankings Import 2020'!E156</f>
        <v>CIN</v>
      </c>
      <c r="E157" s="21" t="str">
        <f>IF(LEFT('Default Rankings Import 2020'!F156,1)="D",LEFT('Default Rankings Import 2020'!F156,3),IF(LEFT('Default Rankings Import 2020'!F156,1)="K",LEFT('Default Rankings Import 2020'!F156,1),LEFT('Default Rankings Import 2020'!F156,2)))</f>
        <v>WR</v>
      </c>
    </row>
    <row r="158" spans="2:5" x14ac:dyDescent="0.35">
      <c r="B158" s="12">
        <f t="shared" si="13"/>
        <v>156</v>
      </c>
      <c r="C158" s="20" t="str">
        <f>'Default Rankings Import 2020'!D157</f>
        <v>Darrynton Evans</v>
      </c>
      <c r="D158" s="20" t="str">
        <f>'Default Rankings Import 2020'!E157</f>
        <v>TEN</v>
      </c>
      <c r="E158" s="21" t="str">
        <f>IF(LEFT('Default Rankings Import 2020'!F157,1)="D",LEFT('Default Rankings Import 2020'!F157,3),IF(LEFT('Default Rankings Import 2020'!F157,1)="K",LEFT('Default Rankings Import 2020'!F157,1),LEFT('Default Rankings Import 2020'!F157,2)))</f>
        <v>RB</v>
      </c>
    </row>
    <row r="159" spans="2:5" x14ac:dyDescent="0.35">
      <c r="B159" s="12">
        <f t="shared" si="13"/>
        <v>157</v>
      </c>
      <c r="C159" s="20" t="str">
        <f>'Default Rankings Import 2020'!D158</f>
        <v>Benny Snell Jr.</v>
      </c>
      <c r="D159" s="20" t="str">
        <f>'Default Rankings Import 2020'!E158</f>
        <v>PIT</v>
      </c>
      <c r="E159" s="21" t="str">
        <f>IF(LEFT('Default Rankings Import 2020'!F158,1)="D",LEFT('Default Rankings Import 2020'!F158,3),IF(LEFT('Default Rankings Import 2020'!F158,1)="K",LEFT('Default Rankings Import 2020'!F158,1),LEFT('Default Rankings Import 2020'!F158,2)))</f>
        <v>RB</v>
      </c>
    </row>
    <row r="160" spans="2:5" x14ac:dyDescent="0.35">
      <c r="B160" s="12">
        <f t="shared" si="13"/>
        <v>158</v>
      </c>
      <c r="C160" s="20" t="str">
        <f>'Default Rankings Import 2020'!D159</f>
        <v>Ryquell Armstead</v>
      </c>
      <c r="D160" s="20" t="str">
        <f>'Default Rankings Import 2020'!E159</f>
        <v>JAC</v>
      </c>
      <c r="E160" s="21" t="str">
        <f>IF(LEFT('Default Rankings Import 2020'!F159,1)="D",LEFT('Default Rankings Import 2020'!F159,3),IF(LEFT('Default Rankings Import 2020'!F159,1)="K",LEFT('Default Rankings Import 2020'!F159,1),LEFT('Default Rankings Import 2020'!F159,2)))</f>
        <v>RB</v>
      </c>
    </row>
    <row r="161" spans="2:5" x14ac:dyDescent="0.35">
      <c r="B161" s="12">
        <f t="shared" si="13"/>
        <v>159</v>
      </c>
      <c r="C161" s="20" t="str">
        <f>'Default Rankings Import 2020'!D160</f>
        <v>Joshua Kelley</v>
      </c>
      <c r="D161" s="20" t="str">
        <f>'Default Rankings Import 2020'!E160</f>
        <v>LAC</v>
      </c>
      <c r="E161" s="21" t="str">
        <f>IF(LEFT('Default Rankings Import 2020'!F160,1)="D",LEFT('Default Rankings Import 2020'!F160,3),IF(LEFT('Default Rankings Import 2020'!F160,1)="K",LEFT('Default Rankings Import 2020'!F160,1),LEFT('Default Rankings Import 2020'!F160,2)))</f>
        <v>RB</v>
      </c>
    </row>
    <row r="162" spans="2:5" x14ac:dyDescent="0.35">
      <c r="B162" s="12">
        <f t="shared" si="13"/>
        <v>160</v>
      </c>
      <c r="C162" s="20" t="str">
        <f>'Default Rankings Import 2020'!D161</f>
        <v>Jerick McKinnon</v>
      </c>
      <c r="D162" s="20" t="str">
        <f>'Default Rankings Import 2020'!E161</f>
        <v>SF</v>
      </c>
      <c r="E162" s="21" t="str">
        <f>IF(LEFT('Default Rankings Import 2020'!F161,1)="D",LEFT('Default Rankings Import 2020'!F161,3),IF(LEFT('Default Rankings Import 2020'!F161,1)="K",LEFT('Default Rankings Import 2020'!F161,1),LEFT('Default Rankings Import 2020'!F161,2)))</f>
        <v>RB</v>
      </c>
    </row>
    <row r="163" spans="2:5" x14ac:dyDescent="0.35">
      <c r="B163" s="12">
        <f t="shared" si="13"/>
        <v>161</v>
      </c>
      <c r="C163" s="20" t="str">
        <f>'Default Rankings Import 2020'!D162</f>
        <v>AJ Dillon</v>
      </c>
      <c r="D163" s="20" t="str">
        <f>'Default Rankings Import 2020'!E162</f>
        <v>GB</v>
      </c>
      <c r="E163" s="21" t="str">
        <f>IF(LEFT('Default Rankings Import 2020'!F162,1)="D",LEFT('Default Rankings Import 2020'!F162,3),IF(LEFT('Default Rankings Import 2020'!F162,1)="K",LEFT('Default Rankings Import 2020'!F162,1),LEFT('Default Rankings Import 2020'!F162,2)))</f>
        <v>RB</v>
      </c>
    </row>
    <row r="164" spans="2:5" x14ac:dyDescent="0.35">
      <c r="B164" s="12">
        <f t="shared" si="13"/>
        <v>162</v>
      </c>
      <c r="C164" s="20" t="str">
        <f>'Default Rankings Import 2020'!D163</f>
        <v>Jack Doyle</v>
      </c>
      <c r="D164" s="20" t="str">
        <f>'Default Rankings Import 2020'!E163</f>
        <v>IND</v>
      </c>
      <c r="E164" s="21" t="str">
        <f>IF(LEFT('Default Rankings Import 2020'!F163,1)="D",LEFT('Default Rankings Import 2020'!F163,3),IF(LEFT('Default Rankings Import 2020'!F163,1)="K",LEFT('Default Rankings Import 2020'!F163,1),LEFT('Default Rankings Import 2020'!F163,2)))</f>
        <v>TE</v>
      </c>
    </row>
    <row r="165" spans="2:5" x14ac:dyDescent="0.35">
      <c r="B165" s="12">
        <f t="shared" si="13"/>
        <v>163</v>
      </c>
      <c r="C165" s="20" t="str">
        <f>'Default Rankings Import 2020'!D164</f>
        <v>Eric Ebron</v>
      </c>
      <c r="D165" s="20" t="str">
        <f>'Default Rankings Import 2020'!E164</f>
        <v>PIT</v>
      </c>
      <c r="E165" s="21" t="str">
        <f>IF(LEFT('Default Rankings Import 2020'!F164,1)="D",LEFT('Default Rankings Import 2020'!F164,3),IF(LEFT('Default Rankings Import 2020'!F164,1)="K",LEFT('Default Rankings Import 2020'!F164,1),LEFT('Default Rankings Import 2020'!F164,2)))</f>
        <v>TE</v>
      </c>
    </row>
    <row r="166" spans="2:5" x14ac:dyDescent="0.35">
      <c r="B166" s="12">
        <f t="shared" si="13"/>
        <v>164</v>
      </c>
      <c r="C166" s="20" t="str">
        <f>'Default Rankings Import 2020'!D165</f>
        <v>Jonnu Smith</v>
      </c>
      <c r="D166" s="20" t="str">
        <f>'Default Rankings Import 2020'!E165</f>
        <v>TEN</v>
      </c>
      <c r="E166" s="21" t="str">
        <f>IF(LEFT('Default Rankings Import 2020'!F165,1)="D",LEFT('Default Rankings Import 2020'!F165,3),IF(LEFT('Default Rankings Import 2020'!F165,1)="K",LEFT('Default Rankings Import 2020'!F165,1),LEFT('Default Rankings Import 2020'!F165,2)))</f>
        <v>TE</v>
      </c>
    </row>
    <row r="167" spans="2:5" x14ac:dyDescent="0.35">
      <c r="B167" s="12">
        <f t="shared" si="13"/>
        <v>165</v>
      </c>
      <c r="C167" s="20" t="str">
        <f>'Default Rankings Import 2020'!D166</f>
        <v>Ben Roethlisberger</v>
      </c>
      <c r="D167" s="20" t="str">
        <f>'Default Rankings Import 2020'!E166</f>
        <v>PIT</v>
      </c>
      <c r="E167" s="21" t="str">
        <f>IF(LEFT('Default Rankings Import 2020'!F166,1)="D",LEFT('Default Rankings Import 2020'!F166,3),IF(LEFT('Default Rankings Import 2020'!F166,1)="K",LEFT('Default Rankings Import 2020'!F166,1),LEFT('Default Rankings Import 2020'!F166,2)))</f>
        <v>QB</v>
      </c>
    </row>
    <row r="168" spans="2:5" x14ac:dyDescent="0.35">
      <c r="B168" s="12">
        <f t="shared" si="13"/>
        <v>166</v>
      </c>
      <c r="C168" s="20" t="str">
        <f>'Default Rankings Import 2020'!D167</f>
        <v>Ryan Tannehill</v>
      </c>
      <c r="D168" s="20" t="str">
        <f>'Default Rankings Import 2020'!E167</f>
        <v>TEN</v>
      </c>
      <c r="E168" s="21" t="str">
        <f>IF(LEFT('Default Rankings Import 2020'!F167,1)="D",LEFT('Default Rankings Import 2020'!F167,3),IF(LEFT('Default Rankings Import 2020'!F167,1)="K",LEFT('Default Rankings Import 2020'!F167,1),LEFT('Default Rankings Import 2020'!F167,2)))</f>
        <v>QB</v>
      </c>
    </row>
    <row r="169" spans="2:5" x14ac:dyDescent="0.35">
      <c r="B169" s="12">
        <f t="shared" si="13"/>
        <v>167</v>
      </c>
      <c r="C169" s="20" t="str">
        <f>'Default Rankings Import 2020'!D168</f>
        <v>Jared Goff</v>
      </c>
      <c r="D169" s="20" t="str">
        <f>'Default Rankings Import 2020'!E168</f>
        <v>LAR</v>
      </c>
      <c r="E169" s="21" t="str">
        <f>IF(LEFT('Default Rankings Import 2020'!F168,1)="D",LEFT('Default Rankings Import 2020'!F168,3),IF(LEFT('Default Rankings Import 2020'!F168,1)="K",LEFT('Default Rankings Import 2020'!F168,1),LEFT('Default Rankings Import 2020'!F168,2)))</f>
        <v>QB</v>
      </c>
    </row>
    <row r="170" spans="2:5" x14ac:dyDescent="0.35">
      <c r="B170" s="12">
        <f t="shared" si="13"/>
        <v>168</v>
      </c>
      <c r="C170" s="20" t="str">
        <f>'Default Rankings Import 2020'!D169</f>
        <v>Baker Mayfield</v>
      </c>
      <c r="D170" s="20" t="str">
        <f>'Default Rankings Import 2020'!E169</f>
        <v>CLE</v>
      </c>
      <c r="E170" s="21" t="str">
        <f>IF(LEFT('Default Rankings Import 2020'!F169,1)="D",LEFT('Default Rankings Import 2020'!F169,3),IF(LEFT('Default Rankings Import 2020'!F169,1)="K",LEFT('Default Rankings Import 2020'!F169,1),LEFT('Default Rankings Import 2020'!F169,2)))</f>
        <v>QB</v>
      </c>
    </row>
    <row r="171" spans="2:5" x14ac:dyDescent="0.35">
      <c r="B171" s="12">
        <f t="shared" si="13"/>
        <v>169</v>
      </c>
      <c r="C171" s="20" t="str">
        <f>'Default Rankings Import 2020'!D170</f>
        <v>Jimmy Garoppolo</v>
      </c>
      <c r="D171" s="20" t="str">
        <f>'Default Rankings Import 2020'!E170</f>
        <v>SF</v>
      </c>
      <c r="E171" s="21" t="str">
        <f>IF(LEFT('Default Rankings Import 2020'!F170,1)="D",LEFT('Default Rankings Import 2020'!F170,3),IF(LEFT('Default Rankings Import 2020'!F170,1)="K",LEFT('Default Rankings Import 2020'!F170,1),LEFT('Default Rankings Import 2020'!F170,2)))</f>
        <v>QB</v>
      </c>
    </row>
    <row r="172" spans="2:5" x14ac:dyDescent="0.35">
      <c r="B172" s="12">
        <f t="shared" si="13"/>
        <v>170</v>
      </c>
      <c r="C172" s="20" t="str">
        <f>'Default Rankings Import 2020'!D171</f>
        <v>Steelers D/ST</v>
      </c>
      <c r="D172" s="20" t="str">
        <f>'Default Rankings Import 2020'!E171</f>
        <v/>
      </c>
      <c r="E172" s="21" t="str">
        <f>IF(LEFT('Default Rankings Import 2020'!F171,1)="D",LEFT('Default Rankings Import 2020'!F171,3),IF(LEFT('Default Rankings Import 2020'!F171,1)="K",LEFT('Default Rankings Import 2020'!F171,1),LEFT('Default Rankings Import 2020'!F171,2)))</f>
        <v>DST</v>
      </c>
    </row>
    <row r="173" spans="2:5" x14ac:dyDescent="0.35">
      <c r="B173" s="12">
        <f t="shared" si="13"/>
        <v>171</v>
      </c>
      <c r="C173" s="20" t="str">
        <f>'Default Rankings Import 2020'!D172</f>
        <v>Bills D/ST</v>
      </c>
      <c r="D173" s="20" t="str">
        <f>'Default Rankings Import 2020'!E172</f>
        <v/>
      </c>
      <c r="E173" s="21" t="str">
        <f>IF(LEFT('Default Rankings Import 2020'!F172,1)="D",LEFT('Default Rankings Import 2020'!F172,3),IF(LEFT('Default Rankings Import 2020'!F172,1)="K",LEFT('Default Rankings Import 2020'!F172,1),LEFT('Default Rankings Import 2020'!F172,2)))</f>
        <v>DST</v>
      </c>
    </row>
    <row r="174" spans="2:5" x14ac:dyDescent="0.35">
      <c r="B174" s="12">
        <f t="shared" si="13"/>
        <v>172</v>
      </c>
      <c r="C174" s="20" t="str">
        <f>'Default Rankings Import 2020'!D173</f>
        <v>49ers D/ST</v>
      </c>
      <c r="D174" s="20" t="str">
        <f>'Default Rankings Import 2020'!E173</f>
        <v/>
      </c>
      <c r="E174" s="21" t="str">
        <f>IF(LEFT('Default Rankings Import 2020'!F173,1)="D",LEFT('Default Rankings Import 2020'!F173,3),IF(LEFT('Default Rankings Import 2020'!F173,1)="K",LEFT('Default Rankings Import 2020'!F173,1),LEFT('Default Rankings Import 2020'!F173,2)))</f>
        <v>DST</v>
      </c>
    </row>
    <row r="175" spans="2:5" x14ac:dyDescent="0.35">
      <c r="B175" s="12">
        <f t="shared" si="13"/>
        <v>173</v>
      </c>
      <c r="C175" s="20" t="str">
        <f>'Default Rankings Import 2020'!D174</f>
        <v>Ravens D/ST</v>
      </c>
      <c r="D175" s="20" t="str">
        <f>'Default Rankings Import 2020'!E174</f>
        <v/>
      </c>
      <c r="E175" s="21" t="str">
        <f>IF(LEFT('Default Rankings Import 2020'!F174,1)="D",LEFT('Default Rankings Import 2020'!F174,3),IF(LEFT('Default Rankings Import 2020'!F174,1)="K",LEFT('Default Rankings Import 2020'!F174,1),LEFT('Default Rankings Import 2020'!F174,2)))</f>
        <v>DST</v>
      </c>
    </row>
    <row r="176" spans="2:5" x14ac:dyDescent="0.35">
      <c r="B176" s="12">
        <f t="shared" si="13"/>
        <v>174</v>
      </c>
      <c r="C176" s="20" t="str">
        <f>'Default Rankings Import 2020'!D175</f>
        <v>Patriots D/ST</v>
      </c>
      <c r="D176" s="20" t="str">
        <f>'Default Rankings Import 2020'!E175</f>
        <v/>
      </c>
      <c r="E176" s="21" t="str">
        <f>IF(LEFT('Default Rankings Import 2020'!F175,1)="D",LEFT('Default Rankings Import 2020'!F175,3),IF(LEFT('Default Rankings Import 2020'!F175,1)="K",LEFT('Default Rankings Import 2020'!F175,1),LEFT('Default Rankings Import 2020'!F175,2)))</f>
        <v>DST</v>
      </c>
    </row>
    <row r="177" spans="2:5" x14ac:dyDescent="0.35">
      <c r="B177" s="12">
        <f t="shared" si="13"/>
        <v>175</v>
      </c>
      <c r="C177" s="20" t="str">
        <f>'Default Rankings Import 2020'!D176</f>
        <v>Colts D/ST</v>
      </c>
      <c r="D177" s="20" t="str">
        <f>'Default Rankings Import 2020'!E176</f>
        <v/>
      </c>
      <c r="E177" s="21" t="str">
        <f>IF(LEFT('Default Rankings Import 2020'!F176,1)="D",LEFT('Default Rankings Import 2020'!F176,3),IF(LEFT('Default Rankings Import 2020'!F176,1)="K",LEFT('Default Rankings Import 2020'!F176,1),LEFT('Default Rankings Import 2020'!F176,2)))</f>
        <v>DST</v>
      </c>
    </row>
    <row r="178" spans="2:5" x14ac:dyDescent="0.35">
      <c r="B178" s="12">
        <f t="shared" si="13"/>
        <v>176</v>
      </c>
      <c r="C178" s="20" t="str">
        <f>'Default Rankings Import 2020'!D177</f>
        <v>Bears D/ST</v>
      </c>
      <c r="D178" s="20" t="str">
        <f>'Default Rankings Import 2020'!E177</f>
        <v/>
      </c>
      <c r="E178" s="21" t="str">
        <f>IF(LEFT('Default Rankings Import 2020'!F177,1)="D",LEFT('Default Rankings Import 2020'!F177,3),IF(LEFT('Default Rankings Import 2020'!F177,1)="K",LEFT('Default Rankings Import 2020'!F177,1),LEFT('Default Rankings Import 2020'!F177,2)))</f>
        <v>DST</v>
      </c>
    </row>
    <row r="179" spans="2:5" x14ac:dyDescent="0.35">
      <c r="B179" s="12">
        <f t="shared" si="13"/>
        <v>177</v>
      </c>
      <c r="C179" s="20" t="str">
        <f>'Default Rankings Import 2020'!D178</f>
        <v>Vikings D/ST</v>
      </c>
      <c r="D179" s="20" t="str">
        <f>'Default Rankings Import 2020'!E178</f>
        <v/>
      </c>
      <c r="E179" s="21" t="str">
        <f>IF(LEFT('Default Rankings Import 2020'!F178,1)="D",LEFT('Default Rankings Import 2020'!F178,3),IF(LEFT('Default Rankings Import 2020'!F178,1)="K",LEFT('Default Rankings Import 2020'!F178,1),LEFT('Default Rankings Import 2020'!F178,2)))</f>
        <v>DST</v>
      </c>
    </row>
    <row r="180" spans="2:5" x14ac:dyDescent="0.35">
      <c r="B180" s="12">
        <f t="shared" si="13"/>
        <v>178</v>
      </c>
      <c r="C180" s="20" t="str">
        <f>'Default Rankings Import 2020'!D179</f>
        <v>Broncos D/ST</v>
      </c>
      <c r="D180" s="20" t="str">
        <f>'Default Rankings Import 2020'!E179</f>
        <v/>
      </c>
      <c r="E180" s="21" t="str">
        <f>IF(LEFT('Default Rankings Import 2020'!F179,1)="D",LEFT('Default Rankings Import 2020'!F179,3),IF(LEFT('Default Rankings Import 2020'!F179,1)="K",LEFT('Default Rankings Import 2020'!F179,1),LEFT('Default Rankings Import 2020'!F179,2)))</f>
        <v>DST</v>
      </c>
    </row>
    <row r="181" spans="2:5" x14ac:dyDescent="0.35">
      <c r="B181" s="12">
        <f t="shared" si="13"/>
        <v>179</v>
      </c>
      <c r="C181" s="20" t="str">
        <f>'Default Rankings Import 2020'!D180</f>
        <v>Saints D/ST</v>
      </c>
      <c r="D181" s="20" t="str">
        <f>'Default Rankings Import 2020'!E180</f>
        <v/>
      </c>
      <c r="E181" s="21" t="str">
        <f>IF(LEFT('Default Rankings Import 2020'!F180,1)="D",LEFT('Default Rankings Import 2020'!F180,3),IF(LEFT('Default Rankings Import 2020'!F180,1)="K",LEFT('Default Rankings Import 2020'!F180,1),LEFT('Default Rankings Import 2020'!F180,2)))</f>
        <v>DST</v>
      </c>
    </row>
    <row r="182" spans="2:5" x14ac:dyDescent="0.35">
      <c r="B182" s="12">
        <f t="shared" si="13"/>
        <v>180</v>
      </c>
      <c r="C182" s="20" t="str">
        <f>'Default Rankings Import 2020'!D181</f>
        <v>Buccaneers D/ST</v>
      </c>
      <c r="D182" s="20" t="str">
        <f>'Default Rankings Import 2020'!E181</f>
        <v/>
      </c>
      <c r="E182" s="21" t="str">
        <f>IF(LEFT('Default Rankings Import 2020'!F181,1)="D",LEFT('Default Rankings Import 2020'!F181,3),IF(LEFT('Default Rankings Import 2020'!F181,1)="K",LEFT('Default Rankings Import 2020'!F181,1),LEFT('Default Rankings Import 2020'!F181,2)))</f>
        <v>DST</v>
      </c>
    </row>
    <row r="183" spans="2:5" x14ac:dyDescent="0.35">
      <c r="B183" s="12">
        <f t="shared" si="13"/>
        <v>181</v>
      </c>
      <c r="C183" s="20" t="str">
        <f>'Default Rankings Import 2020'!D182</f>
        <v>Chargers D/ST</v>
      </c>
      <c r="D183" s="20" t="str">
        <f>'Default Rankings Import 2020'!E182</f>
        <v/>
      </c>
      <c r="E183" s="21" t="str">
        <f>IF(LEFT('Default Rankings Import 2020'!F182,1)="D",LEFT('Default Rankings Import 2020'!F182,3),IF(LEFT('Default Rankings Import 2020'!F182,1)="K",LEFT('Default Rankings Import 2020'!F182,1),LEFT('Default Rankings Import 2020'!F182,2)))</f>
        <v>DST</v>
      </c>
    </row>
    <row r="184" spans="2:5" x14ac:dyDescent="0.35">
      <c r="B184" s="12">
        <f t="shared" si="13"/>
        <v>182</v>
      </c>
      <c r="C184" s="20" t="str">
        <f>'Default Rankings Import 2020'!D183</f>
        <v>Justin Tucker</v>
      </c>
      <c r="D184" s="20" t="str">
        <f>'Default Rankings Import 2020'!E183</f>
        <v>BAL</v>
      </c>
      <c r="E184" s="21" t="str">
        <f>IF(LEFT('Default Rankings Import 2020'!F183,1)="D",LEFT('Default Rankings Import 2020'!F183,3),IF(LEFT('Default Rankings Import 2020'!F183,1)="K",LEFT('Default Rankings Import 2020'!F183,1),LEFT('Default Rankings Import 2020'!F183,2)))</f>
        <v>K</v>
      </c>
    </row>
    <row r="185" spans="2:5" x14ac:dyDescent="0.35">
      <c r="B185" s="12">
        <f t="shared" si="13"/>
        <v>183</v>
      </c>
      <c r="C185" s="20" t="str">
        <f>'Default Rankings Import 2020'!D184</f>
        <v>Harrison Butker</v>
      </c>
      <c r="D185" s="20" t="str">
        <f>'Default Rankings Import 2020'!E184</f>
        <v>KC</v>
      </c>
      <c r="E185" s="21" t="str">
        <f>IF(LEFT('Default Rankings Import 2020'!F184,1)="D",LEFT('Default Rankings Import 2020'!F184,3),IF(LEFT('Default Rankings Import 2020'!F184,1)="K",LEFT('Default Rankings Import 2020'!F184,1),LEFT('Default Rankings Import 2020'!F184,2)))</f>
        <v>K</v>
      </c>
    </row>
    <row r="186" spans="2:5" x14ac:dyDescent="0.35">
      <c r="B186" s="12">
        <f t="shared" si="13"/>
        <v>184</v>
      </c>
      <c r="C186" s="20" t="str">
        <f>'Default Rankings Import 2020'!D185</f>
        <v>Wil Lutz</v>
      </c>
      <c r="D186" s="20" t="str">
        <f>'Default Rankings Import 2020'!E185</f>
        <v>NO</v>
      </c>
      <c r="E186" s="21" t="str">
        <f>IF(LEFT('Default Rankings Import 2020'!F185,1)="D",LEFT('Default Rankings Import 2020'!F185,3),IF(LEFT('Default Rankings Import 2020'!F185,1)="K",LEFT('Default Rankings Import 2020'!F185,1),LEFT('Default Rankings Import 2020'!F185,2)))</f>
        <v>K</v>
      </c>
    </row>
    <row r="187" spans="2:5" x14ac:dyDescent="0.35">
      <c r="B187" s="12">
        <f t="shared" si="13"/>
        <v>185</v>
      </c>
      <c r="C187" s="20" t="str">
        <f>'Default Rankings Import 2020'!D186</f>
        <v>Matt Prater</v>
      </c>
      <c r="D187" s="20" t="str">
        <f>'Default Rankings Import 2020'!E186</f>
        <v>DET</v>
      </c>
      <c r="E187" s="21" t="str">
        <f>IF(LEFT('Default Rankings Import 2020'!F186,1)="D",LEFT('Default Rankings Import 2020'!F186,3),IF(LEFT('Default Rankings Import 2020'!F186,1)="K",LEFT('Default Rankings Import 2020'!F186,1),LEFT('Default Rankings Import 2020'!F186,2)))</f>
        <v>K</v>
      </c>
    </row>
    <row r="188" spans="2:5" x14ac:dyDescent="0.35">
      <c r="B188" s="12">
        <f t="shared" si="13"/>
        <v>186</v>
      </c>
      <c r="C188" s="20" t="str">
        <f>'Default Rankings Import 2020'!D187</f>
        <v>Chris Boswell</v>
      </c>
      <c r="D188" s="20" t="str">
        <f>'Default Rankings Import 2020'!E187</f>
        <v>PIT</v>
      </c>
      <c r="E188" s="21" t="str">
        <f>IF(LEFT('Default Rankings Import 2020'!F187,1)="D",LEFT('Default Rankings Import 2020'!F187,3),IF(LEFT('Default Rankings Import 2020'!F187,1)="K",LEFT('Default Rankings Import 2020'!F187,1),LEFT('Default Rankings Import 2020'!F187,2)))</f>
        <v>K</v>
      </c>
    </row>
    <row r="189" spans="2:5" x14ac:dyDescent="0.35">
      <c r="B189" s="12">
        <f t="shared" si="13"/>
        <v>187</v>
      </c>
      <c r="C189" s="20" t="str">
        <f>'Default Rankings Import 2020'!D188</f>
        <v>Greg Zuerlein</v>
      </c>
      <c r="D189" s="20" t="str">
        <f>'Default Rankings Import 2020'!E188</f>
        <v>DAL</v>
      </c>
      <c r="E189" s="21" t="str">
        <f>IF(LEFT('Default Rankings Import 2020'!F188,1)="D",LEFT('Default Rankings Import 2020'!F188,3),IF(LEFT('Default Rankings Import 2020'!F188,1)="K",LEFT('Default Rankings Import 2020'!F188,1),LEFT('Default Rankings Import 2020'!F188,2)))</f>
        <v>K</v>
      </c>
    </row>
    <row r="190" spans="2:5" x14ac:dyDescent="0.35">
      <c r="B190" s="12">
        <f t="shared" si="13"/>
        <v>188</v>
      </c>
      <c r="C190" s="20" t="str">
        <f>'Default Rankings Import 2020'!D189</f>
        <v>Robbie Gould</v>
      </c>
      <c r="D190" s="20" t="str">
        <f>'Default Rankings Import 2020'!E189</f>
        <v>SF</v>
      </c>
      <c r="E190" s="21" t="str">
        <f>IF(LEFT('Default Rankings Import 2020'!F189,1)="D",LEFT('Default Rankings Import 2020'!F189,3),IF(LEFT('Default Rankings Import 2020'!F189,1)="K",LEFT('Default Rankings Import 2020'!F189,1),LEFT('Default Rankings Import 2020'!F189,2)))</f>
        <v>K</v>
      </c>
    </row>
    <row r="191" spans="2:5" x14ac:dyDescent="0.35">
      <c r="B191" s="12">
        <f t="shared" si="13"/>
        <v>189</v>
      </c>
      <c r="C191" s="20" t="str">
        <f>'Default Rankings Import 2020'!D190</f>
        <v>Zane Gonzalez</v>
      </c>
      <c r="D191" s="20" t="str">
        <f>'Default Rankings Import 2020'!E190</f>
        <v>ARI</v>
      </c>
      <c r="E191" s="21" t="str">
        <f>IF(LEFT('Default Rankings Import 2020'!F190,1)="D",LEFT('Default Rankings Import 2020'!F190,3),IF(LEFT('Default Rankings Import 2020'!F190,1)="K",LEFT('Default Rankings Import 2020'!F190,1),LEFT('Default Rankings Import 2020'!F190,2)))</f>
        <v>K</v>
      </c>
    </row>
    <row r="192" spans="2:5" x14ac:dyDescent="0.35">
      <c r="B192" s="12">
        <f t="shared" si="13"/>
        <v>190</v>
      </c>
      <c r="C192" s="20" t="str">
        <f>'Default Rankings Import 2020'!D191</f>
        <v>Jake Elliott</v>
      </c>
      <c r="D192" s="20" t="str">
        <f>'Default Rankings Import 2020'!E191</f>
        <v>PHI</v>
      </c>
      <c r="E192" s="21" t="str">
        <f>IF(LEFT('Default Rankings Import 2020'!F191,1)="D",LEFT('Default Rankings Import 2020'!F191,3),IF(LEFT('Default Rankings Import 2020'!F191,1)="K",LEFT('Default Rankings Import 2020'!F191,1),LEFT('Default Rankings Import 2020'!F191,2)))</f>
        <v>K</v>
      </c>
    </row>
    <row r="193" spans="2:5" x14ac:dyDescent="0.35">
      <c r="B193" s="12">
        <f t="shared" si="13"/>
        <v>191</v>
      </c>
      <c r="C193" s="20" t="str">
        <f>'Default Rankings Import 2020'!D192</f>
        <v>Austin Seibert</v>
      </c>
      <c r="D193" s="20" t="str">
        <f>'Default Rankings Import 2020'!E192</f>
        <v>CLE</v>
      </c>
      <c r="E193" s="21" t="str">
        <f>IF(LEFT('Default Rankings Import 2020'!F192,1)="D",LEFT('Default Rankings Import 2020'!F192,3),IF(LEFT('Default Rankings Import 2020'!F192,1)="K",LEFT('Default Rankings Import 2020'!F192,1),LEFT('Default Rankings Import 2020'!F192,2)))</f>
        <v>K</v>
      </c>
    </row>
    <row r="194" spans="2:5" x14ac:dyDescent="0.35">
      <c r="B194" s="12">
        <f t="shared" si="13"/>
        <v>192</v>
      </c>
      <c r="C194" s="20" t="str">
        <f>'Default Rankings Import 2020'!D193</f>
        <v>Ka'imi Fairbairn</v>
      </c>
      <c r="D194" s="20" t="str">
        <f>'Default Rankings Import 2020'!E193</f>
        <v>HOU</v>
      </c>
      <c r="E194" s="21" t="str">
        <f>IF(LEFT('Default Rankings Import 2020'!F193,1)="D",LEFT('Default Rankings Import 2020'!F193,3),IF(LEFT('Default Rankings Import 2020'!F193,1)="K",LEFT('Default Rankings Import 2020'!F193,1),LEFT('Default Rankings Import 2020'!F193,2)))</f>
        <v>K</v>
      </c>
    </row>
    <row r="195" spans="2:5" x14ac:dyDescent="0.35">
      <c r="B195" s="12">
        <f t="shared" si="13"/>
        <v>193</v>
      </c>
      <c r="C195" s="20" t="str">
        <f>'Default Rankings Import 2020'!D194</f>
        <v>Irv Smith Jr.</v>
      </c>
      <c r="D195" s="20" t="str">
        <f>'Default Rankings Import 2020'!E194</f>
        <v>MIN</v>
      </c>
      <c r="E195" s="21" t="str">
        <f>IF(LEFT('Default Rankings Import 2020'!F194,1)="D",LEFT('Default Rankings Import 2020'!F194,3),IF(LEFT('Default Rankings Import 2020'!F194,1)="K",LEFT('Default Rankings Import 2020'!F194,1),LEFT('Default Rankings Import 2020'!F194,2)))</f>
        <v>TE</v>
      </c>
    </row>
    <row r="196" spans="2:5" x14ac:dyDescent="0.35">
      <c r="B196" s="12">
        <f t="shared" si="13"/>
        <v>194</v>
      </c>
      <c r="C196" s="20" t="str">
        <f>'Default Rankings Import 2020'!D195</f>
        <v>Steven Sims Jr.</v>
      </c>
      <c r="D196" s="20" t="str">
        <f>'Default Rankings Import 2020'!E195</f>
        <v>WAS</v>
      </c>
      <c r="E196" s="21" t="str">
        <f>IF(LEFT('Default Rankings Import 2020'!F195,1)="D",LEFT('Default Rankings Import 2020'!F195,3),IF(LEFT('Default Rankings Import 2020'!F195,1)="K",LEFT('Default Rankings Import 2020'!F195,1),LEFT('Default Rankings Import 2020'!F195,2)))</f>
        <v>WR</v>
      </c>
    </row>
    <row r="197" spans="2:5" x14ac:dyDescent="0.35">
      <c r="B197" s="12">
        <f t="shared" ref="B197:B260" si="14">B196+1</f>
        <v>195</v>
      </c>
      <c r="C197" s="20" t="str">
        <f>'Default Rankings Import 2020'!D196</f>
        <v>Chase Claypool</v>
      </c>
      <c r="D197" s="20" t="str">
        <f>'Default Rankings Import 2020'!E196</f>
        <v>PIT</v>
      </c>
      <c r="E197" s="21" t="str">
        <f>IF(LEFT('Default Rankings Import 2020'!F196,1)="D",LEFT('Default Rankings Import 2020'!F196,3),IF(LEFT('Default Rankings Import 2020'!F196,1)="K",LEFT('Default Rankings Import 2020'!F196,1),LEFT('Default Rankings Import 2020'!F196,2)))</f>
        <v>WR</v>
      </c>
    </row>
    <row r="198" spans="2:5" x14ac:dyDescent="0.35">
      <c r="B198" s="12">
        <f t="shared" si="14"/>
        <v>196</v>
      </c>
      <c r="C198" s="20" t="str">
        <f>'Default Rankings Import 2020'!D197</f>
        <v>Van Jefferson</v>
      </c>
      <c r="D198" s="20" t="str">
        <f>'Default Rankings Import 2020'!E197</f>
        <v>LAR</v>
      </c>
      <c r="E198" s="21" t="str">
        <f>IF(LEFT('Default Rankings Import 2020'!F197,1)="D",LEFT('Default Rankings Import 2020'!F197,3),IF(LEFT('Default Rankings Import 2020'!F197,1)="K",LEFT('Default Rankings Import 2020'!F197,1),LEFT('Default Rankings Import 2020'!F197,2)))</f>
        <v>WR</v>
      </c>
    </row>
    <row r="199" spans="2:5" x14ac:dyDescent="0.35">
      <c r="B199" s="12">
        <f t="shared" si="14"/>
        <v>197</v>
      </c>
      <c r="C199" s="20" t="str">
        <f>'Default Rankings Import 2020'!D198</f>
        <v>Laviska Shenault Jr.</v>
      </c>
      <c r="D199" s="20" t="str">
        <f>'Default Rankings Import 2020'!E198</f>
        <v>JAC</v>
      </c>
      <c r="E199" s="21" t="str">
        <f>IF(LEFT('Default Rankings Import 2020'!F198,1)="D",LEFT('Default Rankings Import 2020'!F198,3),IF(LEFT('Default Rankings Import 2020'!F198,1)="K",LEFT('Default Rankings Import 2020'!F198,1),LEFT('Default Rankings Import 2020'!F198,2)))</f>
        <v>WR</v>
      </c>
    </row>
    <row r="200" spans="2:5" x14ac:dyDescent="0.35">
      <c r="B200" s="12">
        <f t="shared" si="14"/>
        <v>198</v>
      </c>
      <c r="C200" s="20" t="str">
        <f>'Default Rankings Import 2020'!D199</f>
        <v>James Washington</v>
      </c>
      <c r="D200" s="20" t="str">
        <f>'Default Rankings Import 2020'!E199</f>
        <v>PIT</v>
      </c>
      <c r="E200" s="21" t="str">
        <f>IF(LEFT('Default Rankings Import 2020'!F199,1)="D",LEFT('Default Rankings Import 2020'!F199,3),IF(LEFT('Default Rankings Import 2020'!F199,1)="K",LEFT('Default Rankings Import 2020'!F199,1),LEFT('Default Rankings Import 2020'!F199,2)))</f>
        <v>WR</v>
      </c>
    </row>
    <row r="201" spans="2:5" x14ac:dyDescent="0.35">
      <c r="B201" s="12">
        <f t="shared" si="14"/>
        <v>199</v>
      </c>
      <c r="C201" s="20" t="str">
        <f>'Default Rankings Import 2020'!D200</f>
        <v>Carlos Hyde</v>
      </c>
      <c r="D201" s="20" t="str">
        <f>'Default Rankings Import 2020'!E200</f>
        <v>SEA</v>
      </c>
      <c r="E201" s="21" t="str">
        <f>IF(LEFT('Default Rankings Import 2020'!F200,1)="D",LEFT('Default Rankings Import 2020'!F200,3),IF(LEFT('Default Rankings Import 2020'!F200,1)="K",LEFT('Default Rankings Import 2020'!F200,1),LEFT('Default Rankings Import 2020'!F200,2)))</f>
        <v>RB</v>
      </c>
    </row>
    <row r="202" spans="2:5" x14ac:dyDescent="0.35">
      <c r="B202" s="12">
        <f t="shared" si="14"/>
        <v>200</v>
      </c>
      <c r="C202" s="20" t="str">
        <f>'Default Rankings Import 2020'!D201</f>
        <v>Darrel Williams</v>
      </c>
      <c r="D202" s="20" t="str">
        <f>'Default Rankings Import 2020'!E201</f>
        <v>KC</v>
      </c>
      <c r="E202" s="21" t="str">
        <f>IF(LEFT('Default Rankings Import 2020'!F201,1)="D",LEFT('Default Rankings Import 2020'!F201,3),IF(LEFT('Default Rankings Import 2020'!F201,1)="K",LEFT('Default Rankings Import 2020'!F201,1),LEFT('Default Rankings Import 2020'!F201,2)))</f>
        <v>RB</v>
      </c>
    </row>
    <row r="203" spans="2:5" x14ac:dyDescent="0.35">
      <c r="B203" s="12">
        <f t="shared" si="14"/>
        <v>201</v>
      </c>
      <c r="C203" s="20" t="str">
        <f>'Default Rankings Import 2020'!D202</f>
        <v>Bryce Love</v>
      </c>
      <c r="D203" s="20" t="str">
        <f>'Default Rankings Import 2020'!E202</f>
        <v>WAS</v>
      </c>
      <c r="E203" s="21" t="str">
        <f>IF(LEFT('Default Rankings Import 2020'!F202,1)="D",LEFT('Default Rankings Import 2020'!F202,3),IF(LEFT('Default Rankings Import 2020'!F202,1)="K",LEFT('Default Rankings Import 2020'!F202,1),LEFT('Default Rankings Import 2020'!F202,2)))</f>
        <v>RB</v>
      </c>
    </row>
    <row r="204" spans="2:5" x14ac:dyDescent="0.35">
      <c r="B204" s="12">
        <f t="shared" si="14"/>
        <v>202</v>
      </c>
      <c r="C204" s="20" t="str">
        <f>'Default Rankings Import 2020'!D203</f>
        <v>Malcolm Brown</v>
      </c>
      <c r="D204" s="20" t="str">
        <f>'Default Rankings Import 2020'!E203</f>
        <v>LAR</v>
      </c>
      <c r="E204" s="21" t="str">
        <f>IF(LEFT('Default Rankings Import 2020'!F203,1)="D",LEFT('Default Rankings Import 2020'!F203,3),IF(LEFT('Default Rankings Import 2020'!F203,1)="K",LEFT('Default Rankings Import 2020'!F203,1),LEFT('Default Rankings Import 2020'!F203,2)))</f>
        <v>RB</v>
      </c>
    </row>
    <row r="205" spans="2:5" x14ac:dyDescent="0.35">
      <c r="B205" s="12">
        <f t="shared" si="14"/>
        <v>203</v>
      </c>
      <c r="C205" s="20" t="str">
        <f>'Default Rankings Import 2020'!D204</f>
        <v>Jamaal Williams</v>
      </c>
      <c r="D205" s="20" t="str">
        <f>'Default Rankings Import 2020'!E204</f>
        <v>GB</v>
      </c>
      <c r="E205" s="21" t="str">
        <f>IF(LEFT('Default Rankings Import 2020'!F204,1)="D",LEFT('Default Rankings Import 2020'!F204,3),IF(LEFT('Default Rankings Import 2020'!F204,1)="K",LEFT('Default Rankings Import 2020'!F204,1),LEFT('Default Rankings Import 2020'!F204,2)))</f>
        <v>RB</v>
      </c>
    </row>
    <row r="206" spans="2:5" x14ac:dyDescent="0.35">
      <c r="B206" s="12">
        <f t="shared" si="14"/>
        <v>204</v>
      </c>
      <c r="C206" s="20" t="str">
        <f>'Default Rankings Import 2020'!D205</f>
        <v>Lynn Bowden Jr.</v>
      </c>
      <c r="D206" s="20" t="str">
        <f>'Default Rankings Import 2020'!E205</f>
        <v>LV</v>
      </c>
      <c r="E206" s="21" t="str">
        <f>IF(LEFT('Default Rankings Import 2020'!F205,1)="D",LEFT('Default Rankings Import 2020'!F205,3),IF(LEFT('Default Rankings Import 2020'!F205,1)="K",LEFT('Default Rankings Import 2020'!F205,1),LEFT('Default Rankings Import 2020'!F205,2)))</f>
        <v>RB</v>
      </c>
    </row>
    <row r="207" spans="2:5" x14ac:dyDescent="0.35">
      <c r="B207" s="12">
        <f t="shared" si="14"/>
        <v>205</v>
      </c>
      <c r="C207" s="20" t="str">
        <f>'Default Rankings Import 2020'!D206</f>
        <v>Brian Hill</v>
      </c>
      <c r="D207" s="20" t="str">
        <f>'Default Rankings Import 2020'!E206</f>
        <v>ATL</v>
      </c>
      <c r="E207" s="21" t="str">
        <f>IF(LEFT('Default Rankings Import 2020'!F206,1)="D",LEFT('Default Rankings Import 2020'!F206,3),IF(LEFT('Default Rankings Import 2020'!F206,1)="K",LEFT('Default Rankings Import 2020'!F206,1),LEFT('Default Rankings Import 2020'!F206,2)))</f>
        <v>RB</v>
      </c>
    </row>
    <row r="208" spans="2:5" x14ac:dyDescent="0.35">
      <c r="B208" s="12">
        <f t="shared" si="14"/>
        <v>206</v>
      </c>
      <c r="C208" s="20" t="str">
        <f>'Default Rankings Import 2020'!D207</f>
        <v>LeSean McCoy</v>
      </c>
      <c r="D208" s="20" t="str">
        <f>'Default Rankings Import 2020'!E207</f>
        <v>TB</v>
      </c>
      <c r="E208" s="21" t="str">
        <f>IF(LEFT('Default Rankings Import 2020'!F207,1)="D",LEFT('Default Rankings Import 2020'!F207,3),IF(LEFT('Default Rankings Import 2020'!F207,1)="K",LEFT('Default Rankings Import 2020'!F207,1),LEFT('Default Rankings Import 2020'!F207,2)))</f>
        <v>RB</v>
      </c>
    </row>
    <row r="209" spans="2:5" x14ac:dyDescent="0.35">
      <c r="B209" s="12">
        <f t="shared" si="14"/>
        <v>207</v>
      </c>
      <c r="C209" s="20" t="str">
        <f>'Default Rankings Import 2020'!D208</f>
        <v>Giovani Bernard</v>
      </c>
      <c r="D209" s="20" t="str">
        <f>'Default Rankings Import 2020'!E208</f>
        <v>CIN</v>
      </c>
      <c r="E209" s="21" t="str">
        <f>IF(LEFT('Default Rankings Import 2020'!F208,1)="D",LEFT('Default Rankings Import 2020'!F208,3),IF(LEFT('Default Rankings Import 2020'!F208,1)="K",LEFT('Default Rankings Import 2020'!F208,1),LEFT('Default Rankings Import 2020'!F208,2)))</f>
        <v>RB</v>
      </c>
    </row>
    <row r="210" spans="2:5" x14ac:dyDescent="0.35">
      <c r="B210" s="12">
        <f t="shared" si="14"/>
        <v>208</v>
      </c>
      <c r="C210" s="20" t="str">
        <f>'Default Rankings Import 2020'!D209</f>
        <v>Gus Edwards</v>
      </c>
      <c r="D210" s="20" t="str">
        <f>'Default Rankings Import 2020'!E209</f>
        <v>BAL</v>
      </c>
      <c r="E210" s="21" t="str">
        <f>IF(LEFT('Default Rankings Import 2020'!F209,1)="D",LEFT('Default Rankings Import 2020'!F209,3),IF(LEFT('Default Rankings Import 2020'!F209,1)="K",LEFT('Default Rankings Import 2020'!F209,1),LEFT('Default Rankings Import 2020'!F209,2)))</f>
        <v>RB</v>
      </c>
    </row>
    <row r="211" spans="2:5" x14ac:dyDescent="0.35">
      <c r="B211" s="12">
        <f t="shared" si="14"/>
        <v>209</v>
      </c>
      <c r="C211" s="20" t="str">
        <f>'Default Rankings Import 2020'!D210</f>
        <v>Anthony McFarland Jr.</v>
      </c>
      <c r="D211" s="20" t="str">
        <f>'Default Rankings Import 2020'!E210</f>
        <v>PIT</v>
      </c>
      <c r="E211" s="21" t="str">
        <f>IF(LEFT('Default Rankings Import 2020'!F210,1)="D",LEFT('Default Rankings Import 2020'!F210,3),IF(LEFT('Default Rankings Import 2020'!F210,1)="K",LEFT('Default Rankings Import 2020'!F210,1),LEFT('Default Rankings Import 2020'!F210,2)))</f>
        <v>RB</v>
      </c>
    </row>
    <row r="212" spans="2:5" x14ac:dyDescent="0.35">
      <c r="B212" s="12">
        <f t="shared" si="14"/>
        <v>210</v>
      </c>
      <c r="C212" s="20" t="str">
        <f>'Default Rankings Import 2020'!D211</f>
        <v>Rex Burkhead</v>
      </c>
      <c r="D212" s="20" t="str">
        <f>'Default Rankings Import 2020'!E211</f>
        <v>NE</v>
      </c>
      <c r="E212" s="21" t="str">
        <f>IF(LEFT('Default Rankings Import 2020'!F211,1)="D",LEFT('Default Rankings Import 2020'!F211,3),IF(LEFT('Default Rankings Import 2020'!F211,1)="K",LEFT('Default Rankings Import 2020'!F211,1),LEFT('Default Rankings Import 2020'!F211,2)))</f>
        <v>RB</v>
      </c>
    </row>
    <row r="213" spans="2:5" x14ac:dyDescent="0.35">
      <c r="B213" s="12">
        <f t="shared" si="14"/>
        <v>211</v>
      </c>
      <c r="C213" s="20" t="str">
        <f>'Default Rankings Import 2020'!D212</f>
        <v>Dallas Goedert</v>
      </c>
      <c r="D213" s="20" t="str">
        <f>'Default Rankings Import 2020'!E212</f>
        <v>PHI</v>
      </c>
      <c r="E213" s="21" t="str">
        <f>IF(LEFT('Default Rankings Import 2020'!F212,1)="D",LEFT('Default Rankings Import 2020'!F212,3),IF(LEFT('Default Rankings Import 2020'!F212,1)="K",LEFT('Default Rankings Import 2020'!F212,1),LEFT('Default Rankings Import 2020'!F212,2)))</f>
        <v>TE</v>
      </c>
    </row>
    <row r="214" spans="2:5" x14ac:dyDescent="0.35">
      <c r="B214" s="12">
        <f t="shared" si="14"/>
        <v>212</v>
      </c>
      <c r="C214" s="20" t="str">
        <f>'Default Rankings Import 2020'!D213</f>
        <v>Blake Jarwin</v>
      </c>
      <c r="D214" s="20" t="str">
        <f>'Default Rankings Import 2020'!E213</f>
        <v>DAL</v>
      </c>
      <c r="E214" s="21" t="str">
        <f>IF(LEFT('Default Rankings Import 2020'!F213,1)="D",LEFT('Default Rankings Import 2020'!F213,3),IF(LEFT('Default Rankings Import 2020'!F213,1)="K",LEFT('Default Rankings Import 2020'!F213,1),LEFT('Default Rankings Import 2020'!F213,2)))</f>
        <v>TE</v>
      </c>
    </row>
    <row r="215" spans="2:5" x14ac:dyDescent="0.35">
      <c r="B215" s="12">
        <f t="shared" si="14"/>
        <v>213</v>
      </c>
      <c r="C215" s="20" t="str">
        <f>'Default Rankings Import 2020'!D214</f>
        <v>Kirk Cousins</v>
      </c>
      <c r="D215" s="20" t="str">
        <f>'Default Rankings Import 2020'!E214</f>
        <v>MIN</v>
      </c>
      <c r="E215" s="21" t="str">
        <f>IF(LEFT('Default Rankings Import 2020'!F214,1)="D",LEFT('Default Rankings Import 2020'!F214,3),IF(LEFT('Default Rankings Import 2020'!F214,1)="K",LEFT('Default Rankings Import 2020'!F214,1),LEFT('Default Rankings Import 2020'!F214,2)))</f>
        <v>QB</v>
      </c>
    </row>
    <row r="216" spans="2:5" x14ac:dyDescent="0.35">
      <c r="B216" s="12">
        <f t="shared" si="14"/>
        <v>214</v>
      </c>
      <c r="C216" s="20" t="str">
        <f>'Default Rankings Import 2020'!D215</f>
        <v>Bryan Edwards</v>
      </c>
      <c r="D216" s="20" t="str">
        <f>'Default Rankings Import 2020'!E215</f>
        <v>LV</v>
      </c>
      <c r="E216" s="21" t="str">
        <f>IF(LEFT('Default Rankings Import 2020'!F215,1)="D",LEFT('Default Rankings Import 2020'!F215,3),IF(LEFT('Default Rankings Import 2020'!F215,1)="K",LEFT('Default Rankings Import 2020'!F215,1),LEFT('Default Rankings Import 2020'!F215,2)))</f>
        <v>WR</v>
      </c>
    </row>
    <row r="217" spans="2:5" x14ac:dyDescent="0.35">
      <c r="B217" s="12">
        <f t="shared" si="14"/>
        <v>215</v>
      </c>
      <c r="C217" s="20" t="str">
        <f>'Default Rankings Import 2020'!D216</f>
        <v>Antonio Brown</v>
      </c>
      <c r="D217" s="20" t="str">
        <f>'Default Rankings Import 2020'!E216</f>
        <v>FA</v>
      </c>
      <c r="E217" s="21" t="str">
        <f>IF(LEFT('Default Rankings Import 2020'!F216,1)="D",LEFT('Default Rankings Import 2020'!F216,3),IF(LEFT('Default Rankings Import 2020'!F216,1)="K",LEFT('Default Rankings Import 2020'!F216,1),LEFT('Default Rankings Import 2020'!F216,2)))</f>
        <v>WR</v>
      </c>
    </row>
    <row r="218" spans="2:5" x14ac:dyDescent="0.35">
      <c r="B218" s="12">
        <f t="shared" si="14"/>
        <v>216</v>
      </c>
      <c r="C218" s="20" t="str">
        <f>'Default Rankings Import 2020'!D217</f>
        <v>Russell Gage</v>
      </c>
      <c r="D218" s="20" t="str">
        <f>'Default Rankings Import 2020'!E217</f>
        <v>ATL</v>
      </c>
      <c r="E218" s="21" t="str">
        <f>IF(LEFT('Default Rankings Import 2020'!F217,1)="D",LEFT('Default Rankings Import 2020'!F217,3),IF(LEFT('Default Rankings Import 2020'!F217,1)="K",LEFT('Default Rankings Import 2020'!F217,1),LEFT('Default Rankings Import 2020'!F217,2)))</f>
        <v>WR</v>
      </c>
    </row>
    <row r="219" spans="2:5" x14ac:dyDescent="0.35">
      <c r="B219" s="12">
        <f t="shared" si="14"/>
        <v>217</v>
      </c>
      <c r="C219" s="20" t="str">
        <f>'Default Rankings Import 2020'!D218</f>
        <v>Cole Beasley</v>
      </c>
      <c r="D219" s="20" t="str">
        <f>'Default Rankings Import 2020'!E218</f>
        <v>BUF</v>
      </c>
      <c r="E219" s="21" t="str">
        <f>IF(LEFT('Default Rankings Import 2020'!F218,1)="D",LEFT('Default Rankings Import 2020'!F218,3),IF(LEFT('Default Rankings Import 2020'!F218,1)="K",LEFT('Default Rankings Import 2020'!F218,1),LEFT('Default Rankings Import 2020'!F218,2)))</f>
        <v>WR</v>
      </c>
    </row>
    <row r="220" spans="2:5" x14ac:dyDescent="0.35">
      <c r="B220" s="12">
        <f t="shared" si="14"/>
        <v>218</v>
      </c>
      <c r="C220" s="20" t="str">
        <f>'Default Rankings Import 2020'!D219</f>
        <v>Hunter Renfrow</v>
      </c>
      <c r="D220" s="20" t="str">
        <f>'Default Rankings Import 2020'!E219</f>
        <v>LV</v>
      </c>
      <c r="E220" s="21" t="str">
        <f>IF(LEFT('Default Rankings Import 2020'!F219,1)="D",LEFT('Default Rankings Import 2020'!F219,3),IF(LEFT('Default Rankings Import 2020'!F219,1)="K",LEFT('Default Rankings Import 2020'!F219,1),LEFT('Default Rankings Import 2020'!F219,2)))</f>
        <v>WR</v>
      </c>
    </row>
    <row r="221" spans="2:5" x14ac:dyDescent="0.35">
      <c r="B221" s="12">
        <f t="shared" si="14"/>
        <v>219</v>
      </c>
      <c r="C221" s="20" t="str">
        <f>'Default Rankings Import 2020'!D220</f>
        <v>Corey Davis</v>
      </c>
      <c r="D221" s="20" t="str">
        <f>'Default Rankings Import 2020'!E220</f>
        <v>TEN</v>
      </c>
      <c r="E221" s="21" t="str">
        <f>IF(LEFT('Default Rankings Import 2020'!F220,1)="D",LEFT('Default Rankings Import 2020'!F220,3),IF(LEFT('Default Rankings Import 2020'!F220,1)="K",LEFT('Default Rankings Import 2020'!F220,1),LEFT('Default Rankings Import 2020'!F220,2)))</f>
        <v>WR</v>
      </c>
    </row>
    <row r="222" spans="2:5" x14ac:dyDescent="0.35">
      <c r="B222" s="12">
        <f t="shared" si="14"/>
        <v>220</v>
      </c>
      <c r="C222" s="20" t="str">
        <f>'Default Rankings Import 2020'!D221</f>
        <v>Gardner Minshew II</v>
      </c>
      <c r="D222" s="20" t="str">
        <f>'Default Rankings Import 2020'!E221</f>
        <v>JAC</v>
      </c>
      <c r="E222" s="21" t="str">
        <f>IF(LEFT('Default Rankings Import 2020'!F221,1)="D",LEFT('Default Rankings Import 2020'!F221,3),IF(LEFT('Default Rankings Import 2020'!F221,1)="K",LEFT('Default Rankings Import 2020'!F221,1),LEFT('Default Rankings Import 2020'!F221,2)))</f>
        <v>QB</v>
      </c>
    </row>
    <row r="223" spans="2:5" x14ac:dyDescent="0.35">
      <c r="B223" s="12">
        <f t="shared" si="14"/>
        <v>221</v>
      </c>
      <c r="C223" s="20" t="str">
        <f>'Default Rankings Import 2020'!D222</f>
        <v>Joe Burrow</v>
      </c>
      <c r="D223" s="20" t="str">
        <f>'Default Rankings Import 2020'!E222</f>
        <v>CIN</v>
      </c>
      <c r="E223" s="21" t="str">
        <f>IF(LEFT('Default Rankings Import 2020'!F222,1)="D",LEFT('Default Rankings Import 2020'!F222,3),IF(LEFT('Default Rankings Import 2020'!F222,1)="K",LEFT('Default Rankings Import 2020'!F222,1),LEFT('Default Rankings Import 2020'!F222,2)))</f>
        <v>QB</v>
      </c>
    </row>
    <row r="224" spans="2:5" x14ac:dyDescent="0.35">
      <c r="B224" s="12">
        <f t="shared" si="14"/>
        <v>222</v>
      </c>
      <c r="C224" s="20" t="str">
        <f>'Default Rankings Import 2020'!D223</f>
        <v>Cowboys D/ST</v>
      </c>
      <c r="D224" s="20" t="str">
        <f>'Default Rankings Import 2020'!E223</f>
        <v/>
      </c>
      <c r="E224" s="21" t="str">
        <f>IF(LEFT('Default Rankings Import 2020'!F223,1)="D",LEFT('Default Rankings Import 2020'!F223,3),IF(LEFT('Default Rankings Import 2020'!F223,1)="K",LEFT('Default Rankings Import 2020'!F223,1),LEFT('Default Rankings Import 2020'!F223,2)))</f>
        <v>DST</v>
      </c>
    </row>
    <row r="225" spans="2:5" x14ac:dyDescent="0.35">
      <c r="B225" s="12">
        <f t="shared" si="14"/>
        <v>223</v>
      </c>
      <c r="C225" s="20" t="str">
        <f>'Default Rankings Import 2020'!D224</f>
        <v>Seahawks D/ST</v>
      </c>
      <c r="D225" s="20" t="str">
        <f>'Default Rankings Import 2020'!E224</f>
        <v/>
      </c>
      <c r="E225" s="21" t="str">
        <f>IF(LEFT('Default Rankings Import 2020'!F224,1)="D",LEFT('Default Rankings Import 2020'!F224,3),IF(LEFT('Default Rankings Import 2020'!F224,1)="K",LEFT('Default Rankings Import 2020'!F224,1),LEFT('Default Rankings Import 2020'!F224,2)))</f>
        <v>DST</v>
      </c>
    </row>
    <row r="226" spans="2:5" x14ac:dyDescent="0.35">
      <c r="B226" s="12">
        <f t="shared" si="14"/>
        <v>224</v>
      </c>
      <c r="C226" s="20" t="str">
        <f>'Default Rankings Import 2020'!D225</f>
        <v>Brandon McManus</v>
      </c>
      <c r="D226" s="20" t="str">
        <f>'Default Rankings Import 2020'!E225</f>
        <v>DEN</v>
      </c>
      <c r="E226" s="21" t="str">
        <f>IF(LEFT('Default Rankings Import 2020'!F225,1)="D",LEFT('Default Rankings Import 2020'!F225,3),IF(LEFT('Default Rankings Import 2020'!F225,1)="K",LEFT('Default Rankings Import 2020'!F225,1),LEFT('Default Rankings Import 2020'!F225,2)))</f>
        <v>K</v>
      </c>
    </row>
    <row r="227" spans="2:5" x14ac:dyDescent="0.35">
      <c r="B227" s="12">
        <f t="shared" si="14"/>
        <v>225</v>
      </c>
      <c r="C227" s="20" t="str">
        <f>'Default Rankings Import 2020'!D226</f>
        <v>Chase McLaughlin</v>
      </c>
      <c r="D227" s="20" t="str">
        <f>'Default Rankings Import 2020'!E226</f>
        <v>IND</v>
      </c>
      <c r="E227" s="21" t="str">
        <f>IF(LEFT('Default Rankings Import 2020'!F226,1)="D",LEFT('Default Rankings Import 2020'!F226,3),IF(LEFT('Default Rankings Import 2020'!F226,1)="K",LEFT('Default Rankings Import 2020'!F226,1),LEFT('Default Rankings Import 2020'!F226,2)))</f>
        <v>K</v>
      </c>
    </row>
    <row r="228" spans="2:5" x14ac:dyDescent="0.35">
      <c r="B228" s="12">
        <f t="shared" si="14"/>
        <v>226</v>
      </c>
      <c r="C228" s="20" t="str">
        <f>'Default Rankings Import 2020'!D227</f>
        <v>Younghoe Koo</v>
      </c>
      <c r="D228" s="20" t="str">
        <f>'Default Rankings Import 2020'!E227</f>
        <v>ATL</v>
      </c>
      <c r="E228" s="21" t="str">
        <f>IF(LEFT('Default Rankings Import 2020'!F227,1)="D",LEFT('Default Rankings Import 2020'!F227,3),IF(LEFT('Default Rankings Import 2020'!F227,1)="K",LEFT('Default Rankings Import 2020'!F227,1),LEFT('Default Rankings Import 2020'!F227,2)))</f>
        <v>K</v>
      </c>
    </row>
    <row r="229" spans="2:5" x14ac:dyDescent="0.35">
      <c r="B229" s="12">
        <f t="shared" si="14"/>
        <v>227</v>
      </c>
      <c r="C229" s="20" t="str">
        <f>'Default Rankings Import 2020'!D228</f>
        <v>Danny Amendola</v>
      </c>
      <c r="D229" s="20" t="str">
        <f>'Default Rankings Import 2020'!E228</f>
        <v>DET</v>
      </c>
      <c r="E229" s="21" t="str">
        <f>IF(LEFT('Default Rankings Import 2020'!F228,1)="D",LEFT('Default Rankings Import 2020'!F228,3),IF(LEFT('Default Rankings Import 2020'!F228,1)="K",LEFT('Default Rankings Import 2020'!F228,1),LEFT('Default Rankings Import 2020'!F228,2)))</f>
        <v>WR</v>
      </c>
    </row>
    <row r="230" spans="2:5" x14ac:dyDescent="0.35">
      <c r="B230" s="12">
        <f t="shared" si="14"/>
        <v>228</v>
      </c>
      <c r="C230" s="20" t="str">
        <f>'Default Rankings Import 2020'!D229</f>
        <v>Dede Westbrook</v>
      </c>
      <c r="D230" s="20" t="str">
        <f>'Default Rankings Import 2020'!E229</f>
        <v>JAC</v>
      </c>
      <c r="E230" s="21" t="str">
        <f>IF(LEFT('Default Rankings Import 2020'!F229,1)="D",LEFT('Default Rankings Import 2020'!F229,3),IF(LEFT('Default Rankings Import 2020'!F229,1)="K",LEFT('Default Rankings Import 2020'!F229,1),LEFT('Default Rankings Import 2020'!F229,2)))</f>
        <v>WR</v>
      </c>
    </row>
    <row r="231" spans="2:5" x14ac:dyDescent="0.35">
      <c r="B231" s="12">
        <f t="shared" si="14"/>
        <v>229</v>
      </c>
      <c r="C231" s="20" t="str">
        <f>'Default Rankings Import 2020'!D230</f>
        <v>Trent Taylor</v>
      </c>
      <c r="D231" s="20" t="str">
        <f>'Default Rankings Import 2020'!E230</f>
        <v>SF</v>
      </c>
      <c r="E231" s="21" t="str">
        <f>IF(LEFT('Default Rankings Import 2020'!F230,1)="D",LEFT('Default Rankings Import 2020'!F230,3),IF(LEFT('Default Rankings Import 2020'!F230,1)="K",LEFT('Default Rankings Import 2020'!F230,1),LEFT('Default Rankings Import 2020'!F230,2)))</f>
        <v>WR</v>
      </c>
    </row>
    <row r="232" spans="2:5" x14ac:dyDescent="0.35">
      <c r="B232" s="12">
        <f t="shared" si="14"/>
        <v>230</v>
      </c>
      <c r="C232" s="20" t="str">
        <f>'Default Rankings Import 2020'!D231</f>
        <v>Devin Duvernay</v>
      </c>
      <c r="D232" s="20" t="str">
        <f>'Default Rankings Import 2020'!E231</f>
        <v>BAL</v>
      </c>
      <c r="E232" s="21" t="str">
        <f>IF(LEFT('Default Rankings Import 2020'!F231,1)="D",LEFT('Default Rankings Import 2020'!F231,3),IF(LEFT('Default Rankings Import 2020'!F231,1)="K",LEFT('Default Rankings Import 2020'!F231,1),LEFT('Default Rankings Import 2020'!F231,2)))</f>
        <v>WR</v>
      </c>
    </row>
    <row r="233" spans="2:5" x14ac:dyDescent="0.35">
      <c r="B233" s="12">
        <f t="shared" si="14"/>
        <v>231</v>
      </c>
      <c r="C233" s="20" t="str">
        <f>'Default Rankings Import 2020'!D232</f>
        <v>Jakeem Grant</v>
      </c>
      <c r="D233" s="20" t="str">
        <f>'Default Rankings Import 2020'!E232</f>
        <v>MIA</v>
      </c>
      <c r="E233" s="21" t="str">
        <f>IF(LEFT('Default Rankings Import 2020'!F232,1)="D",LEFT('Default Rankings Import 2020'!F232,3),IF(LEFT('Default Rankings Import 2020'!F232,1)="K",LEFT('Default Rankings Import 2020'!F232,1),LEFT('Default Rankings Import 2020'!F232,2)))</f>
        <v>WR</v>
      </c>
    </row>
    <row r="234" spans="2:5" x14ac:dyDescent="0.35">
      <c r="B234" s="12">
        <f t="shared" si="14"/>
        <v>232</v>
      </c>
      <c r="C234" s="20" t="str">
        <f>'Default Rankings Import 2020'!D233</f>
        <v>Marquez Valdes-Scantling</v>
      </c>
      <c r="D234" s="20" t="str">
        <f>'Default Rankings Import 2020'!E233</f>
        <v>GB</v>
      </c>
      <c r="E234" s="21" t="str">
        <f>IF(LEFT('Default Rankings Import 2020'!F233,1)="D",LEFT('Default Rankings Import 2020'!F233,3),IF(LEFT('Default Rankings Import 2020'!F233,1)="K",LEFT('Default Rankings Import 2020'!F233,1),LEFT('Default Rankings Import 2020'!F233,2)))</f>
        <v>WR</v>
      </c>
    </row>
    <row r="235" spans="2:5" x14ac:dyDescent="0.35">
      <c r="B235" s="12">
        <f t="shared" si="14"/>
        <v>233</v>
      </c>
      <c r="C235" s="20" t="str">
        <f>'Default Rankings Import 2020'!D234</f>
        <v>Damiere Byrd</v>
      </c>
      <c r="D235" s="20" t="str">
        <f>'Default Rankings Import 2020'!E234</f>
        <v>NE</v>
      </c>
      <c r="E235" s="21" t="str">
        <f>IF(LEFT('Default Rankings Import 2020'!F234,1)="D",LEFT('Default Rankings Import 2020'!F234,3),IF(LEFT('Default Rankings Import 2020'!F234,1)="K",LEFT('Default Rankings Import 2020'!F234,1),LEFT('Default Rankings Import 2020'!F234,2)))</f>
        <v>WR</v>
      </c>
    </row>
    <row r="236" spans="2:5" x14ac:dyDescent="0.35">
      <c r="B236" s="12">
        <f t="shared" si="14"/>
        <v>234</v>
      </c>
      <c r="C236" s="20" t="str">
        <f>'Default Rankings Import 2020'!D235</f>
        <v>Antonio Gandy-Golden</v>
      </c>
      <c r="D236" s="20" t="str">
        <f>'Default Rankings Import 2020'!E235</f>
        <v>WAS</v>
      </c>
      <c r="E236" s="21" t="str">
        <f>IF(LEFT('Default Rankings Import 2020'!F235,1)="D",LEFT('Default Rankings Import 2020'!F235,3),IF(LEFT('Default Rankings Import 2020'!F235,1)="K",LEFT('Default Rankings Import 2020'!F235,1),LEFT('Default Rankings Import 2020'!F235,2)))</f>
        <v>WR</v>
      </c>
    </row>
    <row r="237" spans="2:5" x14ac:dyDescent="0.35">
      <c r="B237" s="12">
        <f t="shared" si="14"/>
        <v>235</v>
      </c>
      <c r="C237" s="20" t="str">
        <f>'Default Rankings Import 2020'!D236</f>
        <v>Josh Reynolds</v>
      </c>
      <c r="D237" s="20" t="str">
        <f>'Default Rankings Import 2020'!E236</f>
        <v>LAR</v>
      </c>
      <c r="E237" s="21" t="str">
        <f>IF(LEFT('Default Rankings Import 2020'!F236,1)="D",LEFT('Default Rankings Import 2020'!F236,3),IF(LEFT('Default Rankings Import 2020'!F236,1)="K",LEFT('Default Rankings Import 2020'!F236,1),LEFT('Default Rankings Import 2020'!F236,2)))</f>
        <v>WR</v>
      </c>
    </row>
    <row r="238" spans="2:5" x14ac:dyDescent="0.35">
      <c r="B238" s="12">
        <f t="shared" si="14"/>
        <v>236</v>
      </c>
      <c r="C238" s="20" t="str">
        <f>'Default Rankings Import 2020'!D237</f>
        <v>Ke'Shawn Vaughn</v>
      </c>
      <c r="D238" s="20" t="str">
        <f>'Default Rankings Import 2020'!E237</f>
        <v>TB</v>
      </c>
      <c r="E238" s="21" t="str">
        <f>IF(LEFT('Default Rankings Import 2020'!F237,1)="D",LEFT('Default Rankings Import 2020'!F237,3),IF(LEFT('Default Rankings Import 2020'!F237,1)="K",LEFT('Default Rankings Import 2020'!F237,1),LEFT('Default Rankings Import 2020'!F237,2)))</f>
        <v>RB</v>
      </c>
    </row>
    <row r="239" spans="2:5" x14ac:dyDescent="0.35">
      <c r="B239" s="12">
        <f t="shared" si="14"/>
        <v>237</v>
      </c>
      <c r="C239" s="20" t="str">
        <f>'Default Rankings Import 2020'!D238</f>
        <v>La'Mical Perine</v>
      </c>
      <c r="D239" s="20" t="str">
        <f>'Default Rankings Import 2020'!E238</f>
        <v>NYJ</v>
      </c>
      <c r="E239" s="21" t="str">
        <f>IF(LEFT('Default Rankings Import 2020'!F238,1)="D",LEFT('Default Rankings Import 2020'!F238,3),IF(LEFT('Default Rankings Import 2020'!F238,1)="K",LEFT('Default Rankings Import 2020'!F238,1),LEFT('Default Rankings Import 2020'!F238,2)))</f>
        <v>RB</v>
      </c>
    </row>
    <row r="240" spans="2:5" x14ac:dyDescent="0.35">
      <c r="B240" s="12">
        <f t="shared" si="14"/>
        <v>238</v>
      </c>
      <c r="C240" s="20" t="str">
        <f>'Default Rankings Import 2020'!D239</f>
        <v>James Robinson</v>
      </c>
      <c r="D240" s="20" t="str">
        <f>'Default Rankings Import 2020'!E239</f>
        <v>JAC</v>
      </c>
      <c r="E240" s="21" t="str">
        <f>IF(LEFT('Default Rankings Import 2020'!F239,1)="D",LEFT('Default Rankings Import 2020'!F239,3),IF(LEFT('Default Rankings Import 2020'!F239,1)="K",LEFT('Default Rankings Import 2020'!F239,1),LEFT('Default Rankings Import 2020'!F239,2)))</f>
        <v>RB</v>
      </c>
    </row>
    <row r="241" spans="2:5" x14ac:dyDescent="0.35">
      <c r="B241" s="12">
        <f t="shared" si="14"/>
        <v>239</v>
      </c>
      <c r="C241" s="20" t="str">
        <f>'Default Rankings Import 2020'!D240</f>
        <v>Jalen Richard</v>
      </c>
      <c r="D241" s="20" t="str">
        <f>'Default Rankings Import 2020'!E240</f>
        <v>LV</v>
      </c>
      <c r="E241" s="21" t="str">
        <f>IF(LEFT('Default Rankings Import 2020'!F240,1)="D",LEFT('Default Rankings Import 2020'!F240,3),IF(LEFT('Default Rankings Import 2020'!F240,1)="K",LEFT('Default Rankings Import 2020'!F240,1),LEFT('Default Rankings Import 2020'!F240,2)))</f>
        <v>RB</v>
      </c>
    </row>
    <row r="242" spans="2:5" x14ac:dyDescent="0.35">
      <c r="B242" s="12">
        <f t="shared" si="14"/>
        <v>240</v>
      </c>
      <c r="C242" s="20" t="str">
        <f>'Default Rankings Import 2020'!D241</f>
        <v>Ito Smith</v>
      </c>
      <c r="D242" s="20" t="str">
        <f>'Default Rankings Import 2020'!E241</f>
        <v>ATL</v>
      </c>
      <c r="E242" s="21" t="str">
        <f>IF(LEFT('Default Rankings Import 2020'!F241,1)="D",LEFT('Default Rankings Import 2020'!F241,3),IF(LEFT('Default Rankings Import 2020'!F241,1)="K",LEFT('Default Rankings Import 2020'!F241,1),LEFT('Default Rankings Import 2020'!F241,2)))</f>
        <v>RB</v>
      </c>
    </row>
    <row r="243" spans="2:5" x14ac:dyDescent="0.35">
      <c r="B243" s="12">
        <f t="shared" si="14"/>
        <v>241</v>
      </c>
      <c r="C243" s="20" t="str">
        <f>'Default Rankings Import 2020'!D242</f>
        <v>Frank Gore</v>
      </c>
      <c r="D243" s="20" t="str">
        <f>'Default Rankings Import 2020'!E242</f>
        <v>NYJ</v>
      </c>
      <c r="E243" s="21" t="str">
        <f>IF(LEFT('Default Rankings Import 2020'!F242,1)="D",LEFT('Default Rankings Import 2020'!F242,3),IF(LEFT('Default Rankings Import 2020'!F242,1)="K",LEFT('Default Rankings Import 2020'!F242,1),LEFT('Default Rankings Import 2020'!F242,2)))</f>
        <v>RB</v>
      </c>
    </row>
    <row r="244" spans="2:5" x14ac:dyDescent="0.35">
      <c r="B244" s="12">
        <f t="shared" si="14"/>
        <v>242</v>
      </c>
      <c r="C244" s="20" t="str">
        <f>'Default Rankings Import 2020'!D243</f>
        <v>Mike Davis</v>
      </c>
      <c r="D244" s="20" t="str">
        <f>'Default Rankings Import 2020'!E243</f>
        <v>CAR</v>
      </c>
      <c r="E244" s="21" t="str">
        <f>IF(LEFT('Default Rankings Import 2020'!F243,1)="D",LEFT('Default Rankings Import 2020'!F243,3),IF(LEFT('Default Rankings Import 2020'!F243,1)="K",LEFT('Default Rankings Import 2020'!F243,1),LEFT('Default Rankings Import 2020'!F243,2)))</f>
        <v>RB</v>
      </c>
    </row>
    <row r="245" spans="2:5" x14ac:dyDescent="0.35">
      <c r="B245" s="12">
        <f t="shared" si="14"/>
        <v>243</v>
      </c>
      <c r="C245" s="20" t="str">
        <f>'Default Rankings Import 2020'!D244</f>
        <v>Rashaad Penny</v>
      </c>
      <c r="D245" s="20" t="str">
        <f>'Default Rankings Import 2020'!E244</f>
        <v>SEA</v>
      </c>
      <c r="E245" s="21" t="str">
        <f>IF(LEFT('Default Rankings Import 2020'!F244,1)="D",LEFT('Default Rankings Import 2020'!F244,3),IF(LEFT('Default Rankings Import 2020'!F244,1)="K",LEFT('Default Rankings Import 2020'!F244,1),LEFT('Default Rankings Import 2020'!F244,2)))</f>
        <v>RB</v>
      </c>
    </row>
    <row r="246" spans="2:5" x14ac:dyDescent="0.35">
      <c r="B246" s="12">
        <f t="shared" si="14"/>
        <v>244</v>
      </c>
      <c r="C246" s="20" t="str">
        <f>'Default Rankings Import 2020'!D245</f>
        <v>Drew Lock</v>
      </c>
      <c r="D246" s="20" t="str">
        <f>'Default Rankings Import 2020'!E245</f>
        <v>DEN</v>
      </c>
      <c r="E246" s="21" t="str">
        <f>IF(LEFT('Default Rankings Import 2020'!F245,1)="D",LEFT('Default Rankings Import 2020'!F245,3),IF(LEFT('Default Rankings Import 2020'!F245,1)="K",LEFT('Default Rankings Import 2020'!F245,1),LEFT('Default Rankings Import 2020'!F245,2)))</f>
        <v>QB</v>
      </c>
    </row>
    <row r="247" spans="2:5" x14ac:dyDescent="0.35">
      <c r="B247" s="12">
        <f t="shared" si="14"/>
        <v>245</v>
      </c>
      <c r="C247" s="20" t="str">
        <f>'Default Rankings Import 2020'!D246</f>
        <v>Derek Carr</v>
      </c>
      <c r="D247" s="20" t="str">
        <f>'Default Rankings Import 2020'!E246</f>
        <v>LV</v>
      </c>
      <c r="E247" s="21" t="str">
        <f>IF(LEFT('Default Rankings Import 2020'!F246,1)="D",LEFT('Default Rankings Import 2020'!F246,3),IF(LEFT('Default Rankings Import 2020'!F246,1)="K",LEFT('Default Rankings Import 2020'!F246,1),LEFT('Default Rankings Import 2020'!F246,2)))</f>
        <v>QB</v>
      </c>
    </row>
    <row r="248" spans="2:5" x14ac:dyDescent="0.35">
      <c r="B248" s="12">
        <f t="shared" si="14"/>
        <v>246</v>
      </c>
      <c r="C248" s="20" t="str">
        <f>'Default Rankings Import 2020'!D247</f>
        <v>Philip Rivers</v>
      </c>
      <c r="D248" s="20" t="str">
        <f>'Default Rankings Import 2020'!E247</f>
        <v>IND</v>
      </c>
      <c r="E248" s="21" t="str">
        <f>IF(LEFT('Default Rankings Import 2020'!F247,1)="D",LEFT('Default Rankings Import 2020'!F247,3),IF(LEFT('Default Rankings Import 2020'!F247,1)="K",LEFT('Default Rankings Import 2020'!F247,1),LEFT('Default Rankings Import 2020'!F247,2)))</f>
        <v>QB</v>
      </c>
    </row>
    <row r="249" spans="2:5" x14ac:dyDescent="0.35">
      <c r="B249" s="12">
        <f t="shared" si="14"/>
        <v>247</v>
      </c>
      <c r="C249" s="20" t="str">
        <f>'Default Rankings Import 2020'!D248</f>
        <v>Tyler Eifert</v>
      </c>
      <c r="D249" s="20" t="str">
        <f>'Default Rankings Import 2020'!E248</f>
        <v>JAC</v>
      </c>
      <c r="E249" s="21" t="str">
        <f>IF(LEFT('Default Rankings Import 2020'!F248,1)="D",LEFT('Default Rankings Import 2020'!F248,3),IF(LEFT('Default Rankings Import 2020'!F248,1)="K",LEFT('Default Rankings Import 2020'!F248,1),LEFT('Default Rankings Import 2020'!F248,2)))</f>
        <v>TE</v>
      </c>
    </row>
    <row r="250" spans="2:5" x14ac:dyDescent="0.35">
      <c r="B250" s="12">
        <f t="shared" si="14"/>
        <v>248</v>
      </c>
      <c r="C250" s="20" t="str">
        <f>'Default Rankings Import 2020'!D249</f>
        <v>Jimmy Graham</v>
      </c>
      <c r="D250" s="20" t="str">
        <f>'Default Rankings Import 2020'!E249</f>
        <v>CHI</v>
      </c>
      <c r="E250" s="21" t="str">
        <f>IF(LEFT('Default Rankings Import 2020'!F249,1)="D",LEFT('Default Rankings Import 2020'!F249,3),IF(LEFT('Default Rankings Import 2020'!F249,1)="K",LEFT('Default Rankings Import 2020'!F249,1),LEFT('Default Rankings Import 2020'!F249,2)))</f>
        <v>TE</v>
      </c>
    </row>
    <row r="251" spans="2:5" x14ac:dyDescent="0.35">
      <c r="B251" s="12">
        <f t="shared" si="14"/>
        <v>249</v>
      </c>
      <c r="C251" s="20" t="str">
        <f>'Default Rankings Import 2020'!D250</f>
        <v>Ian Thomas</v>
      </c>
      <c r="D251" s="20" t="str">
        <f>'Default Rankings Import 2020'!E250</f>
        <v>CAR</v>
      </c>
      <c r="E251" s="21" t="str">
        <f>IF(LEFT('Default Rankings Import 2020'!F250,1)="D",LEFT('Default Rankings Import 2020'!F250,3),IF(LEFT('Default Rankings Import 2020'!F250,1)="K",LEFT('Default Rankings Import 2020'!F250,1),LEFT('Default Rankings Import 2020'!F250,2)))</f>
        <v>TE</v>
      </c>
    </row>
    <row r="252" spans="2:5" x14ac:dyDescent="0.35">
      <c r="B252" s="12">
        <f t="shared" si="14"/>
        <v>250</v>
      </c>
      <c r="C252" s="20" t="str">
        <f>'Default Rankings Import 2020'!D251</f>
        <v>Dawson Knox</v>
      </c>
      <c r="D252" s="20" t="str">
        <f>'Default Rankings Import 2020'!E251</f>
        <v>BUF</v>
      </c>
      <c r="E252" s="21" t="str">
        <f>IF(LEFT('Default Rankings Import 2020'!F251,1)="D",LEFT('Default Rankings Import 2020'!F251,3),IF(LEFT('Default Rankings Import 2020'!F251,1)="K",LEFT('Default Rankings Import 2020'!F251,1),LEFT('Default Rankings Import 2020'!F251,2)))</f>
        <v>TE</v>
      </c>
    </row>
    <row r="253" spans="2:5" x14ac:dyDescent="0.35">
      <c r="B253" s="12">
        <f t="shared" si="14"/>
        <v>251</v>
      </c>
      <c r="C253" s="20" t="str">
        <f>'Default Rankings Import 2020'!D252</f>
        <v>Wayne Gallman</v>
      </c>
      <c r="D253" s="20" t="str">
        <f>'Default Rankings Import 2020'!E252</f>
        <v>NYG</v>
      </c>
      <c r="E253" s="21" t="str">
        <f>IF(LEFT('Default Rankings Import 2020'!F252,1)="D",LEFT('Default Rankings Import 2020'!F252,3),IF(LEFT('Default Rankings Import 2020'!F252,1)="K",LEFT('Default Rankings Import 2020'!F252,1),LEFT('Default Rankings Import 2020'!F252,2)))</f>
        <v>RB</v>
      </c>
    </row>
    <row r="254" spans="2:5" x14ac:dyDescent="0.35">
      <c r="B254" s="12">
        <f t="shared" si="14"/>
        <v>252</v>
      </c>
      <c r="C254" s="20" t="str">
        <f>'Default Rankings Import 2020'!D253</f>
        <v>Adam Humphries</v>
      </c>
      <c r="D254" s="20" t="str">
        <f>'Default Rankings Import 2020'!E253</f>
        <v>TEN</v>
      </c>
      <c r="E254" s="21" t="str">
        <f>IF(LEFT('Default Rankings Import 2020'!F253,1)="D",LEFT('Default Rankings Import 2020'!F253,3),IF(LEFT('Default Rankings Import 2020'!F253,1)="K",LEFT('Default Rankings Import 2020'!F253,1),LEFT('Default Rankings Import 2020'!F253,2)))</f>
        <v>WR</v>
      </c>
    </row>
    <row r="255" spans="2:5" x14ac:dyDescent="0.35">
      <c r="B255" s="12">
        <f t="shared" si="14"/>
        <v>253</v>
      </c>
      <c r="C255" s="20" t="str">
        <f>'Default Rankings Import 2020'!D254</f>
        <v>Chris Conley</v>
      </c>
      <c r="D255" s="20" t="str">
        <f>'Default Rankings Import 2020'!E254</f>
        <v>JAC</v>
      </c>
      <c r="E255" s="21" t="str">
        <f>IF(LEFT('Default Rankings Import 2020'!F254,1)="D",LEFT('Default Rankings Import 2020'!F254,3),IF(LEFT('Default Rankings Import 2020'!F254,1)="K",LEFT('Default Rankings Import 2020'!F254,1),LEFT('Default Rankings Import 2020'!F254,2)))</f>
        <v>WR</v>
      </c>
    </row>
    <row r="256" spans="2:5" x14ac:dyDescent="0.35">
      <c r="B256" s="12">
        <f t="shared" si="14"/>
        <v>254</v>
      </c>
      <c r="C256" s="20" t="str">
        <f>'Default Rankings Import 2020'!D255</f>
        <v>Titans D/ST</v>
      </c>
      <c r="D256" s="20" t="str">
        <f>'Default Rankings Import 2020'!E255</f>
        <v/>
      </c>
      <c r="E256" s="21" t="str">
        <f>IF(LEFT('Default Rankings Import 2020'!F255,1)="D",LEFT('Default Rankings Import 2020'!F255,3),IF(LEFT('Default Rankings Import 2020'!F255,1)="K",LEFT('Default Rankings Import 2020'!F255,1),LEFT('Default Rankings Import 2020'!F255,2)))</f>
        <v>DST</v>
      </c>
    </row>
    <row r="257" spans="2:5" x14ac:dyDescent="0.35">
      <c r="B257" s="12">
        <f t="shared" si="14"/>
        <v>255</v>
      </c>
      <c r="C257" s="20" t="str">
        <f>'Default Rankings Import 2020'!D256</f>
        <v>Rams D/ST</v>
      </c>
      <c r="D257" s="20" t="str">
        <f>'Default Rankings Import 2020'!E256</f>
        <v/>
      </c>
      <c r="E257" s="21" t="str">
        <f>IF(LEFT('Default Rankings Import 2020'!F256,1)="D",LEFT('Default Rankings Import 2020'!F256,3),IF(LEFT('Default Rankings Import 2020'!F256,1)="K",LEFT('Default Rankings Import 2020'!F256,1),LEFT('Default Rankings Import 2020'!F256,2)))</f>
        <v>DST</v>
      </c>
    </row>
    <row r="258" spans="2:5" x14ac:dyDescent="0.35">
      <c r="B258" s="12">
        <f t="shared" si="14"/>
        <v>256</v>
      </c>
      <c r="C258" s="20" t="str">
        <f>'Default Rankings Import 2020'!D257</f>
        <v>Sam Sloman</v>
      </c>
      <c r="D258" s="20" t="str">
        <f>'Default Rankings Import 2020'!E257</f>
        <v>LAR</v>
      </c>
      <c r="E258" s="21" t="str">
        <f>IF(LEFT('Default Rankings Import 2020'!F257,1)="D",LEFT('Default Rankings Import 2020'!F257,3),IF(LEFT('Default Rankings Import 2020'!F257,1)="K",LEFT('Default Rankings Import 2020'!F257,1),LEFT('Default Rankings Import 2020'!F257,2)))</f>
        <v>K</v>
      </c>
    </row>
    <row r="259" spans="2:5" x14ac:dyDescent="0.35">
      <c r="B259" s="12">
        <f t="shared" si="14"/>
        <v>257</v>
      </c>
      <c r="C259" s="20" t="str">
        <f>'Default Rankings Import 2020'!D258</f>
        <v>Dan Bailey</v>
      </c>
      <c r="D259" s="20" t="str">
        <f>'Default Rankings Import 2020'!E258</f>
        <v>MIN</v>
      </c>
      <c r="E259" s="21" t="str">
        <f>IF(LEFT('Default Rankings Import 2020'!F258,1)="D",LEFT('Default Rankings Import 2020'!F258,3),IF(LEFT('Default Rankings Import 2020'!F258,1)="K",LEFT('Default Rankings Import 2020'!F258,1),LEFT('Default Rankings Import 2020'!F258,2)))</f>
        <v>K</v>
      </c>
    </row>
    <row r="260" spans="2:5" x14ac:dyDescent="0.35">
      <c r="B260" s="12">
        <f t="shared" si="14"/>
        <v>258</v>
      </c>
      <c r="C260" s="20" t="str">
        <f>'Default Rankings Import 2020'!D259</f>
        <v>Will Dissly</v>
      </c>
      <c r="D260" s="20" t="str">
        <f>'Default Rankings Import 2020'!E259</f>
        <v>SEA</v>
      </c>
      <c r="E260" s="21" t="str">
        <f>IF(LEFT('Default Rankings Import 2020'!F259,1)="D",LEFT('Default Rankings Import 2020'!F259,3),IF(LEFT('Default Rankings Import 2020'!F259,1)="K",LEFT('Default Rankings Import 2020'!F259,1),LEFT('Default Rankings Import 2020'!F259,2)))</f>
        <v>TE</v>
      </c>
    </row>
    <row r="261" spans="2:5" x14ac:dyDescent="0.35">
      <c r="B261" s="12">
        <f t="shared" ref="B261:B324" si="15">B260+1</f>
        <v>259</v>
      </c>
      <c r="C261" s="20" t="str">
        <f>'Default Rankings Import 2020'!D260</f>
        <v>Kyle Rudolph</v>
      </c>
      <c r="D261" s="20" t="str">
        <f>'Default Rankings Import 2020'!E260</f>
        <v>MIN</v>
      </c>
      <c r="E261" s="21" t="str">
        <f>IF(LEFT('Default Rankings Import 2020'!F260,1)="D",LEFT('Default Rankings Import 2020'!F260,3),IF(LEFT('Default Rankings Import 2020'!F260,1)="K",LEFT('Default Rankings Import 2020'!F260,1),LEFT('Default Rankings Import 2020'!F260,2)))</f>
        <v>TE</v>
      </c>
    </row>
    <row r="262" spans="2:5" x14ac:dyDescent="0.35">
      <c r="B262" s="12">
        <f t="shared" si="15"/>
        <v>260</v>
      </c>
      <c r="C262" s="20" t="str">
        <f>'Default Rankings Import 2020'!D261</f>
        <v>Greg Olsen</v>
      </c>
      <c r="D262" s="20" t="str">
        <f>'Default Rankings Import 2020'!E261</f>
        <v>SEA</v>
      </c>
      <c r="E262" s="21" t="str">
        <f>IF(LEFT('Default Rankings Import 2020'!F261,1)="D",LEFT('Default Rankings Import 2020'!F261,3),IF(LEFT('Default Rankings Import 2020'!F261,1)="K",LEFT('Default Rankings Import 2020'!F261,1),LEFT('Default Rankings Import 2020'!F261,2)))</f>
        <v>TE</v>
      </c>
    </row>
    <row r="263" spans="2:5" x14ac:dyDescent="0.35">
      <c r="B263" s="12">
        <f t="shared" si="15"/>
        <v>261</v>
      </c>
      <c r="C263" s="20" t="str">
        <f>'Default Rankings Import 2020'!D262</f>
        <v>Kenny Stills</v>
      </c>
      <c r="D263" s="20" t="str">
        <f>'Default Rankings Import 2020'!E262</f>
        <v>HOU</v>
      </c>
      <c r="E263" s="21" t="str">
        <f>IF(LEFT('Default Rankings Import 2020'!F262,1)="D",LEFT('Default Rankings Import 2020'!F262,3),IF(LEFT('Default Rankings Import 2020'!F262,1)="K",LEFT('Default Rankings Import 2020'!F262,1),LEFT('Default Rankings Import 2020'!F262,2)))</f>
        <v>WR</v>
      </c>
    </row>
    <row r="264" spans="2:5" x14ac:dyDescent="0.35">
      <c r="B264" s="12">
        <f t="shared" si="15"/>
        <v>262</v>
      </c>
      <c r="C264" s="20" t="str">
        <f>'Default Rankings Import 2020'!D263</f>
        <v>John Ross III</v>
      </c>
      <c r="D264" s="20" t="str">
        <f>'Default Rankings Import 2020'!E263</f>
        <v xml:space="preserve">CIN </v>
      </c>
      <c r="E264" s="21" t="str">
        <f>IF(LEFT('Default Rankings Import 2020'!F263,1)="D",LEFT('Default Rankings Import 2020'!F263,3),IF(LEFT('Default Rankings Import 2020'!F263,1)="K",LEFT('Default Rankings Import 2020'!F263,1),LEFT('Default Rankings Import 2020'!F263,2)))</f>
        <v>WR</v>
      </c>
    </row>
    <row r="265" spans="2:5" x14ac:dyDescent="0.35">
      <c r="B265" s="12">
        <f t="shared" si="15"/>
        <v>263</v>
      </c>
      <c r="C265" s="20" t="str">
        <f>'Default Rankings Import 2020'!D264</f>
        <v>Dion Lewis</v>
      </c>
      <c r="D265" s="20" t="str">
        <f>'Default Rankings Import 2020'!E264</f>
        <v>NYG</v>
      </c>
      <c r="E265" s="21" t="str">
        <f>IF(LEFT('Default Rankings Import 2020'!F264,1)="D",LEFT('Default Rankings Import 2020'!F264,3),IF(LEFT('Default Rankings Import 2020'!F264,1)="K",LEFT('Default Rankings Import 2020'!F264,1),LEFT('Default Rankings Import 2020'!F264,2)))</f>
        <v>RB</v>
      </c>
    </row>
    <row r="266" spans="2:5" x14ac:dyDescent="0.35">
      <c r="B266" s="12">
        <f t="shared" si="15"/>
        <v>264</v>
      </c>
      <c r="C266" s="20" t="str">
        <f>'Default Rankings Import 2020'!D265</f>
        <v>J.D. McKissic</v>
      </c>
      <c r="D266" s="20" t="str">
        <f>'Default Rankings Import 2020'!E265</f>
        <v>WAS</v>
      </c>
      <c r="E266" s="21" t="str">
        <f>IF(LEFT('Default Rankings Import 2020'!F265,1)="D",LEFT('Default Rankings Import 2020'!F265,3),IF(LEFT('Default Rankings Import 2020'!F265,1)="K",LEFT('Default Rankings Import 2020'!F265,1),LEFT('Default Rankings Import 2020'!F265,2)))</f>
        <v>RB</v>
      </c>
    </row>
    <row r="267" spans="2:5" x14ac:dyDescent="0.35">
      <c r="B267" s="12">
        <f t="shared" si="15"/>
        <v>265</v>
      </c>
      <c r="C267" s="20" t="str">
        <f>'Default Rankings Import 2020'!D266</f>
        <v>Sam Darnold</v>
      </c>
      <c r="D267" s="20" t="str">
        <f>'Default Rankings Import 2020'!E266</f>
        <v>NYJ</v>
      </c>
      <c r="E267" s="21" t="str">
        <f>IF(LEFT('Default Rankings Import 2020'!F266,1)="D",LEFT('Default Rankings Import 2020'!F266,3),IF(LEFT('Default Rankings Import 2020'!F266,1)="K",LEFT('Default Rankings Import 2020'!F266,1),LEFT('Default Rankings Import 2020'!F266,2)))</f>
        <v>QB</v>
      </c>
    </row>
    <row r="268" spans="2:5" x14ac:dyDescent="0.35">
      <c r="B268" s="12">
        <f t="shared" si="15"/>
        <v>266</v>
      </c>
      <c r="C268" s="20" t="str">
        <f>'Default Rankings Import 2020'!D267</f>
        <v>Teddy Bridgewater</v>
      </c>
      <c r="D268" s="20" t="str">
        <f>'Default Rankings Import 2020'!E267</f>
        <v>CAR</v>
      </c>
      <c r="E268" s="21" t="str">
        <f>IF(LEFT('Default Rankings Import 2020'!F267,1)="D",LEFT('Default Rankings Import 2020'!F267,3),IF(LEFT('Default Rankings Import 2020'!F267,1)="K",LEFT('Default Rankings Import 2020'!F267,1),LEFT('Default Rankings Import 2020'!F267,2)))</f>
        <v>QB</v>
      </c>
    </row>
    <row r="269" spans="2:5" x14ac:dyDescent="0.35">
      <c r="B269" s="12">
        <f t="shared" si="15"/>
        <v>267</v>
      </c>
      <c r="C269" s="20" t="str">
        <f>'Default Rankings Import 2020'!D268</f>
        <v>Dwayne Haskins Jr.</v>
      </c>
      <c r="D269" s="20" t="str">
        <f>'Default Rankings Import 2020'!E268</f>
        <v>WAS</v>
      </c>
      <c r="E269" s="21" t="str">
        <f>IF(LEFT('Default Rankings Import 2020'!F268,1)="D",LEFT('Default Rankings Import 2020'!F268,3),IF(LEFT('Default Rankings Import 2020'!F268,1)="K",LEFT('Default Rankings Import 2020'!F268,1),LEFT('Default Rankings Import 2020'!F268,2)))</f>
        <v>QB</v>
      </c>
    </row>
    <row r="270" spans="2:5" x14ac:dyDescent="0.35">
      <c r="B270" s="12">
        <f t="shared" si="15"/>
        <v>268</v>
      </c>
      <c r="C270" s="20" t="str">
        <f>'Default Rankings Import 2020'!D269</f>
        <v>Tyrod Taylor</v>
      </c>
      <c r="D270" s="20" t="str">
        <f>'Default Rankings Import 2020'!E269</f>
        <v>LAC</v>
      </c>
      <c r="E270" s="21" t="str">
        <f>IF(LEFT('Default Rankings Import 2020'!F269,1)="D",LEFT('Default Rankings Import 2020'!F269,3),IF(LEFT('Default Rankings Import 2020'!F269,1)="K",LEFT('Default Rankings Import 2020'!F269,1),LEFT('Default Rankings Import 2020'!F269,2)))</f>
        <v>QB</v>
      </c>
    </row>
    <row r="271" spans="2:5" x14ac:dyDescent="0.35">
      <c r="B271" s="12">
        <f t="shared" si="15"/>
        <v>269</v>
      </c>
      <c r="C271" s="20" t="str">
        <f>'Default Rankings Import 2020'!D270</f>
        <v>Tua Tagovailoa</v>
      </c>
      <c r="D271" s="20" t="str">
        <f>'Default Rankings Import 2020'!E270</f>
        <v>MIA</v>
      </c>
      <c r="E271" s="21" t="str">
        <f>IF(LEFT('Default Rankings Import 2020'!F270,1)="D",LEFT('Default Rankings Import 2020'!F270,3),IF(LEFT('Default Rankings Import 2020'!F270,1)="K",LEFT('Default Rankings Import 2020'!F270,1),LEFT('Default Rankings Import 2020'!F270,2)))</f>
        <v>QB</v>
      </c>
    </row>
    <row r="272" spans="2:5" x14ac:dyDescent="0.35">
      <c r="B272" s="12">
        <f t="shared" si="15"/>
        <v>270</v>
      </c>
      <c r="C272" s="20" t="str">
        <f>'Default Rankings Import 2020'!D271</f>
        <v>Andy Isabella</v>
      </c>
      <c r="D272" s="20" t="str">
        <f>'Default Rankings Import 2020'!E271</f>
        <v>ARI</v>
      </c>
      <c r="E272" s="21" t="str">
        <f>IF(LEFT('Default Rankings Import 2020'!F271,1)="D",LEFT('Default Rankings Import 2020'!F271,3),IF(LEFT('Default Rankings Import 2020'!F271,1)="K",LEFT('Default Rankings Import 2020'!F271,1),LEFT('Default Rankings Import 2020'!F271,2)))</f>
        <v>WR</v>
      </c>
    </row>
    <row r="273" spans="2:5" x14ac:dyDescent="0.35">
      <c r="B273" s="12">
        <f t="shared" si="15"/>
        <v>271</v>
      </c>
      <c r="C273" s="20" t="str">
        <f>'Default Rankings Import 2020'!D272</f>
        <v>KJ Hamler</v>
      </c>
      <c r="D273" s="20" t="str">
        <f>'Default Rankings Import 2020'!E272</f>
        <v>DEN</v>
      </c>
      <c r="E273" s="21" t="str">
        <f>IF(LEFT('Default Rankings Import 2020'!F272,1)="D",LEFT('Default Rankings Import 2020'!F272,3),IF(LEFT('Default Rankings Import 2020'!F272,1)="K",LEFT('Default Rankings Import 2020'!F272,1),LEFT('Default Rankings Import 2020'!F272,2)))</f>
        <v>WR</v>
      </c>
    </row>
    <row r="274" spans="2:5" x14ac:dyDescent="0.35">
      <c r="B274" s="12">
        <f t="shared" si="15"/>
        <v>272</v>
      </c>
      <c r="C274" s="20" t="str">
        <f>'Default Rankings Import 2020'!D273</f>
        <v>Miles Boykin</v>
      </c>
      <c r="D274" s="20" t="str">
        <f>'Default Rankings Import 2020'!E273</f>
        <v>BAL</v>
      </c>
      <c r="E274" s="21" t="str">
        <f>IF(LEFT('Default Rankings Import 2020'!F273,1)="D",LEFT('Default Rankings Import 2020'!F273,3),IF(LEFT('Default Rankings Import 2020'!F273,1)="K",LEFT('Default Rankings Import 2020'!F273,1),LEFT('Default Rankings Import 2020'!F273,2)))</f>
        <v>WR</v>
      </c>
    </row>
    <row r="275" spans="2:5" x14ac:dyDescent="0.35">
      <c r="B275" s="12">
        <f t="shared" si="15"/>
        <v>273</v>
      </c>
      <c r="C275" s="20" t="str">
        <f>'Default Rankings Import 2020'!D274</f>
        <v>Jakobi Meyers</v>
      </c>
      <c r="D275" s="20" t="str">
        <f>'Default Rankings Import 2020'!E274</f>
        <v>NE</v>
      </c>
      <c r="E275" s="21" t="str">
        <f>IF(LEFT('Default Rankings Import 2020'!F274,1)="D",LEFT('Default Rankings Import 2020'!F274,3),IF(LEFT('Default Rankings Import 2020'!F274,1)="K",LEFT('Default Rankings Import 2020'!F274,1),LEFT('Default Rankings Import 2020'!F274,2)))</f>
        <v>WR</v>
      </c>
    </row>
    <row r="276" spans="2:5" x14ac:dyDescent="0.35">
      <c r="B276" s="12">
        <f t="shared" si="15"/>
        <v>274</v>
      </c>
      <c r="C276" s="20" t="str">
        <f>'Default Rankings Import 2020'!D275</f>
        <v>Peyton Barber</v>
      </c>
      <c r="D276" s="20" t="str">
        <f>'Default Rankings Import 2020'!E275</f>
        <v>WAS</v>
      </c>
      <c r="E276" s="21" t="str">
        <f>IF(LEFT('Default Rankings Import 2020'!F275,1)="D",LEFT('Default Rankings Import 2020'!F275,3),IF(LEFT('Default Rankings Import 2020'!F275,1)="K",LEFT('Default Rankings Import 2020'!F275,1),LEFT('Default Rankings Import 2020'!F275,2)))</f>
        <v>RB</v>
      </c>
    </row>
    <row r="277" spans="2:5" x14ac:dyDescent="0.35">
      <c r="B277" s="12">
        <f t="shared" si="15"/>
        <v>275</v>
      </c>
      <c r="C277" s="20" t="str">
        <f>'Default Rankings Import 2020'!D276</f>
        <v>Jaylen Samuels</v>
      </c>
      <c r="D277" s="20" t="str">
        <f>'Default Rankings Import 2020'!E276</f>
        <v>PIT</v>
      </c>
      <c r="E277" s="21" t="str">
        <f>IF(LEFT('Default Rankings Import 2020'!F276,1)="D",LEFT('Default Rankings Import 2020'!F276,3),IF(LEFT('Default Rankings Import 2020'!F276,1)="K",LEFT('Default Rankings Import 2020'!F276,1),LEFT('Default Rankings Import 2020'!F276,2)))</f>
        <v>RB</v>
      </c>
    </row>
    <row r="278" spans="2:5" x14ac:dyDescent="0.35">
      <c r="B278" s="12">
        <f t="shared" si="15"/>
        <v>276</v>
      </c>
      <c r="C278" s="20" t="str">
        <f>'Default Rankings Import 2020'!D277</f>
        <v>Devontae Booker</v>
      </c>
      <c r="D278" s="20" t="str">
        <f>'Default Rankings Import 2020'!E277</f>
        <v>LV</v>
      </c>
      <c r="E278" s="21" t="str">
        <f>IF(LEFT('Default Rankings Import 2020'!F277,1)="D",LEFT('Default Rankings Import 2020'!F277,3),IF(LEFT('Default Rankings Import 2020'!F277,1)="K",LEFT('Default Rankings Import 2020'!F277,1),LEFT('Default Rankings Import 2020'!F277,2)))</f>
        <v>RB</v>
      </c>
    </row>
    <row r="279" spans="2:5" x14ac:dyDescent="0.35">
      <c r="B279" s="12">
        <f t="shared" si="15"/>
        <v>277</v>
      </c>
      <c r="C279" s="20" t="str">
        <f>'Default Rankings Import 2020'!D278</f>
        <v>Royce Freeman</v>
      </c>
      <c r="D279" s="20" t="str">
        <f>'Default Rankings Import 2020'!E278</f>
        <v>DEN</v>
      </c>
      <c r="E279" s="21" t="str">
        <f>IF(LEFT('Default Rankings Import 2020'!F278,1)="D",LEFT('Default Rankings Import 2020'!F278,3),IF(LEFT('Default Rankings Import 2020'!F278,1)="K",LEFT('Default Rankings Import 2020'!F278,1),LEFT('Default Rankings Import 2020'!F278,2)))</f>
        <v>RB</v>
      </c>
    </row>
    <row r="280" spans="2:5" x14ac:dyDescent="0.35">
      <c r="B280" s="12">
        <f t="shared" si="15"/>
        <v>278</v>
      </c>
      <c r="C280" s="20" t="str">
        <f>'Default Rankings Import 2020'!D279</f>
        <v>Trayveon Williams</v>
      </c>
      <c r="D280" s="20" t="str">
        <f>'Default Rankings Import 2020'!E279</f>
        <v>CIN</v>
      </c>
      <c r="E280" s="21" t="str">
        <f>IF(LEFT('Default Rankings Import 2020'!F279,1)="D",LEFT('Default Rankings Import 2020'!F279,3),IF(LEFT('Default Rankings Import 2020'!F279,1)="K",LEFT('Default Rankings Import 2020'!F279,1),LEFT('Default Rankings Import 2020'!F279,2)))</f>
        <v>RB</v>
      </c>
    </row>
    <row r="281" spans="2:5" x14ac:dyDescent="0.35">
      <c r="B281" s="12">
        <f t="shared" si="15"/>
        <v>279</v>
      </c>
      <c r="C281" s="20" t="str">
        <f>'Default Rankings Import 2020'!D280</f>
        <v>Myles Gaskin</v>
      </c>
      <c r="D281" s="20" t="str">
        <f>'Default Rankings Import 2020'!E280</f>
        <v>MIA</v>
      </c>
      <c r="E281" s="21" t="str">
        <f>IF(LEFT('Default Rankings Import 2020'!F280,1)="D",LEFT('Default Rankings Import 2020'!F280,3),IF(LEFT('Default Rankings Import 2020'!F280,1)="K",LEFT('Default Rankings Import 2020'!F280,1),LEFT('Default Rankings Import 2020'!F280,2)))</f>
        <v>RB</v>
      </c>
    </row>
    <row r="282" spans="2:5" x14ac:dyDescent="0.35">
      <c r="B282" s="12">
        <f t="shared" si="15"/>
        <v>280</v>
      </c>
      <c r="C282" s="20" t="str">
        <f>'Default Rankings Import 2020'!D281</f>
        <v>DeeJay Dallas</v>
      </c>
      <c r="D282" s="20" t="str">
        <f>'Default Rankings Import 2020'!E281</f>
        <v>SEA</v>
      </c>
      <c r="E282" s="21" t="str">
        <f>IF(LEFT('Default Rankings Import 2020'!F281,1)="D",LEFT('Default Rankings Import 2020'!F281,3),IF(LEFT('Default Rankings Import 2020'!F281,1)="K",LEFT('Default Rankings Import 2020'!F281,1),LEFT('Default Rankings Import 2020'!F281,2)))</f>
        <v>RB</v>
      </c>
    </row>
    <row r="283" spans="2:5" x14ac:dyDescent="0.35">
      <c r="B283" s="12">
        <f t="shared" si="15"/>
        <v>281</v>
      </c>
      <c r="C283" s="20" t="str">
        <f>'Default Rankings Import 2020'!D282</f>
        <v>Bo Scarbrough</v>
      </c>
      <c r="D283" s="20" t="str">
        <f>'Default Rankings Import 2020'!E282</f>
        <v>DET</v>
      </c>
      <c r="E283" s="21" t="str">
        <f>IF(LEFT('Default Rankings Import 2020'!F282,1)="D",LEFT('Default Rankings Import 2020'!F282,3),IF(LEFT('Default Rankings Import 2020'!F282,1)="K",LEFT('Default Rankings Import 2020'!F282,1),LEFT('Default Rankings Import 2020'!F282,2)))</f>
        <v>RB</v>
      </c>
    </row>
    <row r="284" spans="2:5" x14ac:dyDescent="0.35">
      <c r="B284" s="12">
        <f t="shared" si="15"/>
        <v>282</v>
      </c>
      <c r="C284" s="20" t="str">
        <f>'Default Rankings Import 2020'!D283</f>
        <v>Demarcus Robinson</v>
      </c>
      <c r="D284" s="20" t="str">
        <f>'Default Rankings Import 2020'!E283</f>
        <v>KC</v>
      </c>
      <c r="E284" s="21" t="str">
        <f>IF(LEFT('Default Rankings Import 2020'!F283,1)="D",LEFT('Default Rankings Import 2020'!F283,3),IF(LEFT('Default Rankings Import 2020'!F283,1)="K",LEFT('Default Rankings Import 2020'!F283,1),LEFT('Default Rankings Import 2020'!F283,2)))</f>
        <v>WR</v>
      </c>
    </row>
    <row r="285" spans="2:5" x14ac:dyDescent="0.35">
      <c r="B285" s="12">
        <f t="shared" si="15"/>
        <v>283</v>
      </c>
      <c r="C285" s="20" t="str">
        <f>'Default Rankings Import 2020'!D284</f>
        <v>Eagles D/ST</v>
      </c>
      <c r="D285" s="20" t="str">
        <f>'Default Rankings Import 2020'!E284</f>
        <v/>
      </c>
      <c r="E285" s="21" t="str">
        <f>IF(LEFT('Default Rankings Import 2020'!F284,1)="D",LEFT('Default Rankings Import 2020'!F284,3),IF(LEFT('Default Rankings Import 2020'!F284,1)="K",LEFT('Default Rankings Import 2020'!F284,1),LEFT('Default Rankings Import 2020'!F284,2)))</f>
        <v>DST</v>
      </c>
    </row>
    <row r="286" spans="2:5" x14ac:dyDescent="0.35">
      <c r="B286" s="12">
        <f t="shared" si="15"/>
        <v>284</v>
      </c>
      <c r="C286" s="20" t="str">
        <f>'Default Rankings Import 2020'!D285</f>
        <v>Lions D/ST</v>
      </c>
      <c r="D286" s="20" t="str">
        <f>'Default Rankings Import 2020'!E285</f>
        <v/>
      </c>
      <c r="E286" s="21" t="str">
        <f>IF(LEFT('Default Rankings Import 2020'!F285,1)="D",LEFT('Default Rankings Import 2020'!F285,3),IF(LEFT('Default Rankings Import 2020'!F285,1)="K",LEFT('Default Rankings Import 2020'!F285,1),LEFT('Default Rankings Import 2020'!F285,2)))</f>
        <v>DST</v>
      </c>
    </row>
    <row r="287" spans="2:5" x14ac:dyDescent="0.35">
      <c r="B287" s="12">
        <f t="shared" si="15"/>
        <v>285</v>
      </c>
      <c r="C287" s="20" t="str">
        <f>'Default Rankings Import 2020'!D286</f>
        <v>Mason Crosby</v>
      </c>
      <c r="D287" s="20" t="str">
        <f>'Default Rankings Import 2020'!E286</f>
        <v>GB</v>
      </c>
      <c r="E287" s="21" t="str">
        <f>IF(LEFT('Default Rankings Import 2020'!F286,1)="D",LEFT('Default Rankings Import 2020'!F286,3),IF(LEFT('Default Rankings Import 2020'!F286,1)="K",LEFT('Default Rankings Import 2020'!F286,1),LEFT('Default Rankings Import 2020'!F286,2)))</f>
        <v>K</v>
      </c>
    </row>
    <row r="288" spans="2:5" x14ac:dyDescent="0.35">
      <c r="B288" s="12">
        <f t="shared" si="15"/>
        <v>286</v>
      </c>
      <c r="C288" s="20" t="str">
        <f>'Default Rankings Import 2020'!D287</f>
        <v>Jason Myers</v>
      </c>
      <c r="D288" s="20" t="str">
        <f>'Default Rankings Import 2020'!E287</f>
        <v>SEA</v>
      </c>
      <c r="E288" s="21" t="str">
        <f>IF(LEFT('Default Rankings Import 2020'!F287,1)="D",LEFT('Default Rankings Import 2020'!F287,3),IF(LEFT('Default Rankings Import 2020'!F287,1)="K",LEFT('Default Rankings Import 2020'!F287,1),LEFT('Default Rankings Import 2020'!F287,2)))</f>
        <v>K</v>
      </c>
    </row>
    <row r="289" spans="2:5" x14ac:dyDescent="0.35">
      <c r="B289" s="12">
        <f t="shared" si="15"/>
        <v>287</v>
      </c>
      <c r="C289" s="20" t="str">
        <f>'Default Rankings Import 2020'!D288</f>
        <v>Taysom Hill</v>
      </c>
      <c r="D289" s="20" t="str">
        <f>'Default Rankings Import 2020'!E288</f>
        <v>NO</v>
      </c>
      <c r="E289" s="21" t="str">
        <f>IF(LEFT('Default Rankings Import 2020'!F288,1)="D",LEFT('Default Rankings Import 2020'!F288,3),IF(LEFT('Default Rankings Import 2020'!F288,1)="K",LEFT('Default Rankings Import 2020'!F288,1),LEFT('Default Rankings Import 2020'!F288,2)))</f>
        <v>QB</v>
      </c>
    </row>
    <row r="290" spans="2:5" x14ac:dyDescent="0.35">
      <c r="B290" s="12">
        <f t="shared" si="15"/>
        <v>288</v>
      </c>
      <c r="C290" s="20" t="str">
        <f>'Default Rankings Import 2020'!D289</f>
        <v>Dan Arnold</v>
      </c>
      <c r="D290" s="20" t="str">
        <f>'Default Rankings Import 2020'!E289</f>
        <v>ARI</v>
      </c>
      <c r="E290" s="21" t="str">
        <f>IF(LEFT('Default Rankings Import 2020'!F289,1)="D",LEFT('Default Rankings Import 2020'!F289,3),IF(LEFT('Default Rankings Import 2020'!F289,1)="K",LEFT('Default Rankings Import 2020'!F289,1),LEFT('Default Rankings Import 2020'!F289,2)))</f>
        <v>TE</v>
      </c>
    </row>
    <row r="291" spans="2:5" x14ac:dyDescent="0.35">
      <c r="B291" s="12">
        <f t="shared" si="15"/>
        <v>289</v>
      </c>
      <c r="C291" s="20" t="str">
        <f>'Default Rankings Import 2020'!D290</f>
        <v>Jordan Akins</v>
      </c>
      <c r="D291" s="20" t="str">
        <f>'Default Rankings Import 2020'!E290</f>
        <v>HOU</v>
      </c>
      <c r="E291" s="21" t="str">
        <f>IF(LEFT('Default Rankings Import 2020'!F290,1)="D",LEFT('Default Rankings Import 2020'!F290,3),IF(LEFT('Default Rankings Import 2020'!F290,1)="K",LEFT('Default Rankings Import 2020'!F290,1),LEFT('Default Rankings Import 2020'!F290,2)))</f>
        <v>TE</v>
      </c>
    </row>
    <row r="292" spans="2:5" x14ac:dyDescent="0.35">
      <c r="B292" s="12">
        <f t="shared" si="15"/>
        <v>290</v>
      </c>
      <c r="C292" s="20" t="str">
        <f>'Default Rankings Import 2020'!D291</f>
        <v>Gerald Everett</v>
      </c>
      <c r="D292" s="20" t="str">
        <f>'Default Rankings Import 2020'!E291</f>
        <v>LAR</v>
      </c>
      <c r="E292" s="21" t="str">
        <f>IF(LEFT('Default Rankings Import 2020'!F291,1)="D",LEFT('Default Rankings Import 2020'!F291,3),IF(LEFT('Default Rankings Import 2020'!F291,1)="K",LEFT('Default Rankings Import 2020'!F291,1),LEFT('Default Rankings Import 2020'!F291,2)))</f>
        <v>TE</v>
      </c>
    </row>
    <row r="293" spans="2:5" x14ac:dyDescent="0.35">
      <c r="B293" s="12">
        <f t="shared" si="15"/>
        <v>291</v>
      </c>
      <c r="C293" s="20" t="str">
        <f>'Default Rankings Import 2020'!D292</f>
        <v>O.J. Howard</v>
      </c>
      <c r="D293" s="20" t="str">
        <f>'Default Rankings Import 2020'!E292</f>
        <v>TB</v>
      </c>
      <c r="E293" s="21" t="str">
        <f>IF(LEFT('Default Rankings Import 2020'!F292,1)="D",LEFT('Default Rankings Import 2020'!F292,3),IF(LEFT('Default Rankings Import 2020'!F292,1)="K",LEFT('Default Rankings Import 2020'!F292,1),LEFT('Default Rankings Import 2020'!F292,2)))</f>
        <v>TE</v>
      </c>
    </row>
    <row r="294" spans="2:5" x14ac:dyDescent="0.35">
      <c r="B294" s="12">
        <f t="shared" si="15"/>
        <v>292</v>
      </c>
      <c r="C294" s="20" t="str">
        <f>'Default Rankings Import 2020'!D293</f>
        <v>Willie Snead IV</v>
      </c>
      <c r="D294" s="20" t="str">
        <f>'Default Rankings Import 2020'!E293</f>
        <v>BAL</v>
      </c>
      <c r="E294" s="21" t="str">
        <f>IF(LEFT('Default Rankings Import 2020'!F293,1)="D",LEFT('Default Rankings Import 2020'!F293,3),IF(LEFT('Default Rankings Import 2020'!F293,1)="K",LEFT('Default Rankings Import 2020'!F293,1),LEFT('Default Rankings Import 2020'!F293,2)))</f>
        <v>WR</v>
      </c>
    </row>
    <row r="295" spans="2:5" x14ac:dyDescent="0.35">
      <c r="B295" s="12">
        <f t="shared" si="15"/>
        <v>293</v>
      </c>
      <c r="C295" s="20" t="str">
        <f>'Default Rankings Import 2020'!D294</f>
        <v>J.J. Arcega-Whiteside</v>
      </c>
      <c r="D295" s="20" t="str">
        <f>'Default Rankings Import 2020'!E294</f>
        <v>PHI</v>
      </c>
      <c r="E295" s="21" t="str">
        <f>IF(LEFT('Default Rankings Import 2020'!F294,1)="D",LEFT('Default Rankings Import 2020'!F294,3),IF(LEFT('Default Rankings Import 2020'!F294,1)="K",LEFT('Default Rankings Import 2020'!F294,1),LEFT('Default Rankings Import 2020'!F294,2)))</f>
        <v>WR</v>
      </c>
    </row>
    <row r="296" spans="2:5" x14ac:dyDescent="0.35">
      <c r="B296" s="12">
        <f t="shared" si="15"/>
        <v>294</v>
      </c>
      <c r="C296" s="20" t="str">
        <f>'Default Rankings Import 2020'!D295</f>
        <v>Mitchell Trubisky</v>
      </c>
      <c r="D296" s="20" t="str">
        <f>'Default Rankings Import 2020'!E295</f>
        <v>CHI</v>
      </c>
      <c r="E296" s="21" t="str">
        <f>IF(LEFT('Default Rankings Import 2020'!F295,1)="D",LEFT('Default Rankings Import 2020'!F295,3),IF(LEFT('Default Rankings Import 2020'!F295,1)="K",LEFT('Default Rankings Import 2020'!F295,1),LEFT('Default Rankings Import 2020'!F295,2)))</f>
        <v>QB</v>
      </c>
    </row>
    <row r="297" spans="2:5" x14ac:dyDescent="0.35">
      <c r="B297" s="12">
        <f t="shared" si="15"/>
        <v>295</v>
      </c>
      <c r="C297" s="20" t="str">
        <f>'Default Rankings Import 2020'!D296</f>
        <v>Browns D/ST</v>
      </c>
      <c r="D297" s="20" t="str">
        <f>'Default Rankings Import 2020'!E296</f>
        <v/>
      </c>
      <c r="E297" s="21" t="str">
        <f>IF(LEFT('Default Rankings Import 2020'!F296,1)="D",LEFT('Default Rankings Import 2020'!F296,3),IF(LEFT('Default Rankings Import 2020'!F296,1)="K",LEFT('Default Rankings Import 2020'!F296,1),LEFT('Default Rankings Import 2020'!F296,2)))</f>
        <v>DST</v>
      </c>
    </row>
    <row r="298" spans="2:5" x14ac:dyDescent="0.35">
      <c r="B298" s="12">
        <f t="shared" si="15"/>
        <v>296</v>
      </c>
      <c r="C298" s="20" t="str">
        <f>'Default Rankings Import 2020'!D297</f>
        <v>Chiefs D/ST</v>
      </c>
      <c r="D298" s="20" t="str">
        <f>'Default Rankings Import 2020'!E297</f>
        <v/>
      </c>
      <c r="E298" s="21" t="str">
        <f>IF(LEFT('Default Rankings Import 2020'!F297,1)="D",LEFT('Default Rankings Import 2020'!F297,3),IF(LEFT('Default Rankings Import 2020'!F297,1)="K",LEFT('Default Rankings Import 2020'!F297,1),LEFT('Default Rankings Import 2020'!F297,2)))</f>
        <v>DST</v>
      </c>
    </row>
    <row r="299" spans="2:5" x14ac:dyDescent="0.35">
      <c r="B299" s="12">
        <f t="shared" si="15"/>
        <v>297</v>
      </c>
      <c r="C299" s="20" t="str">
        <f>'Default Rankings Import 2020'!D298</f>
        <v>Ryan Fitzpatrick</v>
      </c>
      <c r="D299" s="20" t="str">
        <f>'Default Rankings Import 2020'!E298</f>
        <v>MIA</v>
      </c>
      <c r="E299" s="21" t="str">
        <f>IF(LEFT('Default Rankings Import 2020'!F298,1)="D",LEFT('Default Rankings Import 2020'!F298,3),IF(LEFT('Default Rankings Import 2020'!F298,1)="K",LEFT('Default Rankings Import 2020'!F298,1),LEFT('Default Rankings Import 2020'!F298,2)))</f>
        <v>QB</v>
      </c>
    </row>
    <row r="300" spans="2:5" x14ac:dyDescent="0.35">
      <c r="B300" s="12">
        <f t="shared" si="15"/>
        <v>298</v>
      </c>
      <c r="C300" s="20" t="str">
        <f>'Default Rankings Import 2020'!D299</f>
        <v>Justin Herbert</v>
      </c>
      <c r="D300" s="20" t="str">
        <f>'Default Rankings Import 2020'!E299</f>
        <v>LAC</v>
      </c>
      <c r="E300" s="21" t="str">
        <f>IF(LEFT('Default Rankings Import 2020'!F299,1)="D",LEFT('Default Rankings Import 2020'!F299,3),IF(LEFT('Default Rankings Import 2020'!F299,1)="K",LEFT('Default Rankings Import 2020'!F299,1),LEFT('Default Rankings Import 2020'!F299,2)))</f>
        <v>QB</v>
      </c>
    </row>
    <row r="301" spans="2:5" x14ac:dyDescent="0.35">
      <c r="B301" s="12">
        <f t="shared" si="15"/>
        <v>299</v>
      </c>
      <c r="C301" s="20" t="str">
        <f>'Default Rankings Import 2020'!D300</f>
        <v>Darwin Thompson</v>
      </c>
      <c r="D301" s="20" t="str">
        <f>'Default Rankings Import 2020'!E300</f>
        <v>KC</v>
      </c>
      <c r="E301" s="21" t="str">
        <f>IF(LEFT('Default Rankings Import 2020'!F300,1)="D",LEFT('Default Rankings Import 2020'!F300,3),IF(LEFT('Default Rankings Import 2020'!F300,1)="K",LEFT('Default Rankings Import 2020'!F300,1),LEFT('Default Rankings Import 2020'!F300,2)))</f>
        <v>RB</v>
      </c>
    </row>
    <row r="302" spans="2:5" x14ac:dyDescent="0.35">
      <c r="B302" s="12">
        <f t="shared" si="15"/>
        <v>300</v>
      </c>
      <c r="C302" s="20" t="str">
        <f>'Default Rankings Import 2020'!D301</f>
        <v>Ryan Nall</v>
      </c>
      <c r="D302" s="20" t="str">
        <f>'Default Rankings Import 2020'!E301</f>
        <v>CHI</v>
      </c>
      <c r="E302" s="21" t="str">
        <f>IF(LEFT('Default Rankings Import 2020'!F301,1)="D",LEFT('Default Rankings Import 2020'!F301,3),IF(LEFT('Default Rankings Import 2020'!F301,1)="K",LEFT('Default Rankings Import 2020'!F301,1),LEFT('Default Rankings Import 2020'!F301,2)))</f>
        <v>RB</v>
      </c>
    </row>
    <row r="303" spans="2:5" x14ac:dyDescent="0.35">
      <c r="B303" s="33">
        <f t="shared" si="15"/>
        <v>301</v>
      </c>
      <c r="C303" s="20" t="str">
        <f>'Default Rankings Import 2020'!D302</f>
        <v>Ty Montgomery</v>
      </c>
      <c r="D303" s="20" t="str">
        <f>'Default Rankings Import 2020'!E302</f>
        <v>NO</v>
      </c>
      <c r="E303" s="21" t="str">
        <f>IF(LEFT('Default Rankings Import 2020'!F302,1)="D",LEFT('Default Rankings Import 2020'!F302,3),IF(LEFT('Default Rankings Import 2020'!F302,1)="K",LEFT('Default Rankings Import 2020'!F302,1),LEFT('Default Rankings Import 2020'!F302,2)))</f>
        <v>RB</v>
      </c>
    </row>
    <row r="304" spans="2:5" x14ac:dyDescent="0.35">
      <c r="B304" s="12">
        <f t="shared" si="15"/>
        <v>302</v>
      </c>
      <c r="C304" s="20" t="str">
        <f>'Default Rankings Import 2020'!D303</f>
        <v>Mike Boone</v>
      </c>
      <c r="D304" s="20" t="str">
        <f>'Default Rankings Import 2020'!E303</f>
        <v>MIN</v>
      </c>
      <c r="E304" s="21" t="str">
        <f>IF(LEFT('Default Rankings Import 2020'!F303,1)="D",LEFT('Default Rankings Import 2020'!F303,3),IF(LEFT('Default Rankings Import 2020'!F303,1)="K",LEFT('Default Rankings Import 2020'!F303,1),LEFT('Default Rankings Import 2020'!F303,2)))</f>
        <v>RB</v>
      </c>
    </row>
    <row r="305" spans="2:5" x14ac:dyDescent="0.35">
      <c r="B305" s="12">
        <f t="shared" si="15"/>
        <v>303</v>
      </c>
      <c r="C305" s="20" t="str">
        <f>'Default Rankings Import 2020'!D304</f>
        <v>Corey Clement</v>
      </c>
      <c r="D305" s="20" t="str">
        <f>'Default Rankings Import 2020'!E304</f>
        <v>PHI</v>
      </c>
      <c r="E305" s="21" t="str">
        <f>IF(LEFT('Default Rankings Import 2020'!F304,1)="D",LEFT('Default Rankings Import 2020'!F304,3),IF(LEFT('Default Rankings Import 2020'!F304,1)="K",LEFT('Default Rankings Import 2020'!F304,1),LEFT('Default Rankings Import 2020'!F304,2)))</f>
        <v>RB</v>
      </c>
    </row>
    <row r="306" spans="2:5" x14ac:dyDescent="0.35">
      <c r="B306" s="12">
        <f t="shared" si="15"/>
        <v>304</v>
      </c>
      <c r="C306" s="20" t="str">
        <f>'Default Rankings Import 2020'!D305</f>
        <v>Eno Benjamin</v>
      </c>
      <c r="D306" s="20" t="str">
        <f>'Default Rankings Import 2020'!E305</f>
        <v>ARI</v>
      </c>
      <c r="E306" s="21" t="str">
        <f>IF(LEFT('Default Rankings Import 2020'!F305,1)="D",LEFT('Default Rankings Import 2020'!F305,3),IF(LEFT('Default Rankings Import 2020'!F305,1)="K",LEFT('Default Rankings Import 2020'!F305,1),LEFT('Default Rankings Import 2020'!F305,2)))</f>
        <v>RB</v>
      </c>
    </row>
    <row r="307" spans="2:5" x14ac:dyDescent="0.35">
      <c r="B307" s="12">
        <f t="shared" si="15"/>
        <v>305</v>
      </c>
      <c r="C307" s="20" t="str">
        <f>'Default Rankings Import 2020'!D306</f>
        <v>Jordan Wilkins</v>
      </c>
      <c r="D307" s="20" t="str">
        <f>'Default Rankings Import 2020'!E306</f>
        <v>IND</v>
      </c>
      <c r="E307" s="21" t="str">
        <f>IF(LEFT('Default Rankings Import 2020'!F306,1)="D",LEFT('Default Rankings Import 2020'!F306,3),IF(LEFT('Default Rankings Import 2020'!F306,1)="K",LEFT('Default Rankings Import 2020'!F306,1),LEFT('Default Rankings Import 2020'!F306,2)))</f>
        <v>RB</v>
      </c>
    </row>
    <row r="308" spans="2:5" x14ac:dyDescent="0.35">
      <c r="B308" s="12">
        <f t="shared" si="15"/>
        <v>306</v>
      </c>
      <c r="C308" s="20" t="str">
        <f>'Default Rankings Import 2020'!D307</f>
        <v>Nick Foles</v>
      </c>
      <c r="D308" s="20" t="str">
        <f>'Default Rankings Import 2020'!E307</f>
        <v>CHI</v>
      </c>
      <c r="E308" s="21" t="str">
        <f>IF(LEFT('Default Rankings Import 2020'!F307,1)="D",LEFT('Default Rankings Import 2020'!F307,3),IF(LEFT('Default Rankings Import 2020'!F307,1)="K",LEFT('Default Rankings Import 2020'!F307,1),LEFT('Default Rankings Import 2020'!F307,2)))</f>
        <v>QB</v>
      </c>
    </row>
    <row r="309" spans="2:5" x14ac:dyDescent="0.35">
      <c r="B309" s="12">
        <f t="shared" si="15"/>
        <v>307</v>
      </c>
      <c r="C309" s="20" t="str">
        <f>'Default Rankings Import 2020'!D308</f>
        <v>C.J. Uzomah</v>
      </c>
      <c r="D309" s="20" t="str">
        <f>'Default Rankings Import 2020'!E308</f>
        <v>CIN</v>
      </c>
      <c r="E309" s="21" t="str">
        <f>IF(LEFT('Default Rankings Import 2020'!F308,1)="D",LEFT('Default Rankings Import 2020'!F308,3),IF(LEFT('Default Rankings Import 2020'!F308,1)="K",LEFT('Default Rankings Import 2020'!F308,1),LEFT('Default Rankings Import 2020'!F308,2)))</f>
        <v>TE</v>
      </c>
    </row>
    <row r="310" spans="2:5" x14ac:dyDescent="0.35">
      <c r="B310" s="12">
        <f t="shared" si="15"/>
        <v>308</v>
      </c>
      <c r="C310" s="20" t="str">
        <f>'Default Rankings Import 2020'!D309</f>
        <v>Darren Fells</v>
      </c>
      <c r="D310" s="20" t="str">
        <f>'Default Rankings Import 2020'!E309</f>
        <v>HOU</v>
      </c>
      <c r="E310" s="21" t="str">
        <f>IF(LEFT('Default Rankings Import 2020'!F309,1)="D",LEFT('Default Rankings Import 2020'!F309,3),IF(LEFT('Default Rankings Import 2020'!F309,1)="K",LEFT('Default Rankings Import 2020'!F309,1),LEFT('Default Rankings Import 2020'!F309,2)))</f>
        <v>TE</v>
      </c>
    </row>
    <row r="311" spans="2:5" x14ac:dyDescent="0.35">
      <c r="B311" s="12">
        <f t="shared" si="15"/>
        <v>309</v>
      </c>
      <c r="C311" s="20" t="str">
        <f>'Default Rankings Import 2020'!D310</f>
        <v>Logan Thomas</v>
      </c>
      <c r="D311" s="20" t="str">
        <f>'Default Rankings Import 2020'!E310</f>
        <v>WAS</v>
      </c>
      <c r="E311" s="21" t="str">
        <f>IF(LEFT('Default Rankings Import 2020'!F310,1)="D",LEFT('Default Rankings Import 2020'!F310,3),IF(LEFT('Default Rankings Import 2020'!F310,1)="K",LEFT('Default Rankings Import 2020'!F310,1),LEFT('Default Rankings Import 2020'!F310,2)))</f>
        <v>TE</v>
      </c>
    </row>
    <row r="312" spans="2:5" x14ac:dyDescent="0.35">
      <c r="B312" s="12">
        <f t="shared" si="15"/>
        <v>310</v>
      </c>
      <c r="C312" s="20" t="str">
        <f>'Default Rankings Import 2020'!D311</f>
        <v>Jace Sternberger</v>
      </c>
      <c r="D312" s="20" t="str">
        <f>'Default Rankings Import 2020'!E311</f>
        <v>GB</v>
      </c>
      <c r="E312" s="21" t="str">
        <f>IF(LEFT('Default Rankings Import 2020'!F311,1)="D",LEFT('Default Rankings Import 2020'!F311,3),IF(LEFT('Default Rankings Import 2020'!F311,1)="K",LEFT('Default Rankings Import 2020'!F311,1),LEFT('Default Rankings Import 2020'!F311,2)))</f>
        <v>TE</v>
      </c>
    </row>
    <row r="313" spans="2:5" x14ac:dyDescent="0.35">
      <c r="B313" s="12">
        <f t="shared" si="15"/>
        <v>311</v>
      </c>
      <c r="C313" s="20" t="str">
        <f>'Default Rankings Import 2020'!D312</f>
        <v>Jalen Hurts</v>
      </c>
      <c r="D313" s="20" t="str">
        <f>'Default Rankings Import 2020'!E312</f>
        <v>PHI</v>
      </c>
      <c r="E313" s="21" t="str">
        <f>IF(LEFT('Default Rankings Import 2020'!F312,1)="D",LEFT('Default Rankings Import 2020'!F312,3),IF(LEFT('Default Rankings Import 2020'!F312,1)="K",LEFT('Default Rankings Import 2020'!F312,1),LEFT('Default Rankings Import 2020'!F312,2)))</f>
        <v>QB</v>
      </c>
    </row>
    <row r="314" spans="2:5" x14ac:dyDescent="0.35">
      <c r="B314" s="12">
        <f t="shared" si="15"/>
        <v>312</v>
      </c>
      <c r="C314" s="20" t="str">
        <f>'Default Rankings Import 2020'!D313</f>
        <v>Marcus Mariota</v>
      </c>
      <c r="D314" s="20" t="str">
        <f>'Default Rankings Import 2020'!E313</f>
        <v>LV</v>
      </c>
      <c r="E314" s="21" t="str">
        <f>IF(LEFT('Default Rankings Import 2020'!F313,1)="D",LEFT('Default Rankings Import 2020'!F313,3),IF(LEFT('Default Rankings Import 2020'!F313,1)="K",LEFT('Default Rankings Import 2020'!F313,1),LEFT('Default Rankings Import 2020'!F313,2)))</f>
        <v>QB</v>
      </c>
    </row>
    <row r="315" spans="2:5" x14ac:dyDescent="0.35">
      <c r="B315" s="12">
        <f t="shared" si="15"/>
        <v>313</v>
      </c>
      <c r="C315" s="20" t="str">
        <f>'Default Rankings Import 2020'!D314</f>
        <v>Jarrett Stidham</v>
      </c>
      <c r="D315" s="20" t="str">
        <f>'Default Rankings Import 2020'!E314</f>
        <v>NE</v>
      </c>
      <c r="E315" s="21" t="str">
        <f>IF(LEFT('Default Rankings Import 2020'!F314,1)="D",LEFT('Default Rankings Import 2020'!F314,3),IF(LEFT('Default Rankings Import 2020'!F314,1)="K",LEFT('Default Rankings Import 2020'!F314,1),LEFT('Default Rankings Import 2020'!F314,2)))</f>
        <v>QB</v>
      </c>
    </row>
    <row r="316" spans="2:5" x14ac:dyDescent="0.35">
      <c r="B316" s="12">
        <f t="shared" si="15"/>
        <v>314</v>
      </c>
      <c r="C316" s="20" t="str">
        <f>'Default Rankings Import 2020'!D315</f>
        <v>Jameis Winston</v>
      </c>
      <c r="D316" s="20" t="str">
        <f>'Default Rankings Import 2020'!E315</f>
        <v>NO</v>
      </c>
      <c r="E316" s="21" t="str">
        <f>IF(LEFT('Default Rankings Import 2020'!F315,1)="D",LEFT('Default Rankings Import 2020'!F315,3),IF(LEFT('Default Rankings Import 2020'!F315,1)="K",LEFT('Default Rankings Import 2020'!F315,1),LEFT('Default Rankings Import 2020'!F315,2)))</f>
        <v>QB</v>
      </c>
    </row>
    <row r="317" spans="2:5" x14ac:dyDescent="0.35">
      <c r="B317" s="12">
        <f t="shared" si="15"/>
        <v>315</v>
      </c>
      <c r="C317" s="20" t="str">
        <f>'Default Rankings Import 2020'!D316</f>
        <v>Case Keenum</v>
      </c>
      <c r="D317" s="20" t="str">
        <f>'Default Rankings Import 2020'!E316</f>
        <v>CLE</v>
      </c>
      <c r="E317" s="21" t="str">
        <f>IF(LEFT('Default Rankings Import 2020'!F316,1)="D",LEFT('Default Rankings Import 2020'!F316,3),IF(LEFT('Default Rankings Import 2020'!F316,1)="K",LEFT('Default Rankings Import 2020'!F316,1),LEFT('Default Rankings Import 2020'!F316,2)))</f>
        <v>QB</v>
      </c>
    </row>
    <row r="318" spans="2:5" x14ac:dyDescent="0.35">
      <c r="B318" s="12">
        <f t="shared" si="15"/>
        <v>316</v>
      </c>
      <c r="C318" s="20" t="str">
        <f>'Default Rankings Import 2020'!D317</f>
        <v>Justice Hill</v>
      </c>
      <c r="D318" s="20" t="str">
        <f>'Default Rankings Import 2020'!E317</f>
        <v>BAL</v>
      </c>
      <c r="E318" s="21" t="str">
        <f>IF(LEFT('Default Rankings Import 2020'!F317,1)="D",LEFT('Default Rankings Import 2020'!F317,3),IF(LEFT('Default Rankings Import 2020'!F317,1)="K",LEFT('Default Rankings Import 2020'!F317,1),LEFT('Default Rankings Import 2020'!F317,2)))</f>
        <v>RB</v>
      </c>
    </row>
    <row r="319" spans="2:5" x14ac:dyDescent="0.35">
      <c r="B319" s="12">
        <f t="shared" si="15"/>
        <v>317</v>
      </c>
      <c r="C319" s="20" t="str">
        <f>'Default Rankings Import 2020'!D318</f>
        <v>D'Ernest Johnson</v>
      </c>
      <c r="D319" s="20" t="str">
        <f>'Default Rankings Import 2020'!E318</f>
        <v>CLE</v>
      </c>
      <c r="E319" s="21" t="str">
        <f>IF(LEFT('Default Rankings Import 2020'!F318,1)="D",LEFT('Default Rankings Import 2020'!F318,3),IF(LEFT('Default Rankings Import 2020'!F318,1)="K",LEFT('Default Rankings Import 2020'!F318,1),LEFT('Default Rankings Import 2020'!F318,2)))</f>
        <v>RB</v>
      </c>
    </row>
    <row r="320" spans="2:5" x14ac:dyDescent="0.35">
      <c r="B320" s="12">
        <f t="shared" si="15"/>
        <v>318</v>
      </c>
      <c r="C320" s="20" t="str">
        <f>'Default Rankings Import 2020'!D319</f>
        <v>David Njoku</v>
      </c>
      <c r="D320" s="20" t="str">
        <f>'Default Rankings Import 2020'!E319</f>
        <v>CLE</v>
      </c>
      <c r="E320" s="21" t="str">
        <f>IF(LEFT('Default Rankings Import 2020'!F319,1)="D",LEFT('Default Rankings Import 2020'!F319,3),IF(LEFT('Default Rankings Import 2020'!F319,1)="K",LEFT('Default Rankings Import 2020'!F319,1),LEFT('Default Rankings Import 2020'!F319,2)))</f>
        <v>TE</v>
      </c>
    </row>
    <row r="321" spans="2:5" x14ac:dyDescent="0.35">
      <c r="B321" s="12">
        <f t="shared" si="15"/>
        <v>319</v>
      </c>
      <c r="C321" s="20" t="str">
        <f>'Default Rankings Import 2020'!D320</f>
        <v>Devin Asiasi</v>
      </c>
      <c r="D321" s="20" t="str">
        <f>'Default Rankings Import 2020'!E320</f>
        <v>NE</v>
      </c>
      <c r="E321" s="21" t="str">
        <f>IF(LEFT('Default Rankings Import 2020'!F320,1)="D",LEFT('Default Rankings Import 2020'!F320,3),IF(LEFT('Default Rankings Import 2020'!F320,1)="K",LEFT('Default Rankings Import 2020'!F320,1),LEFT('Default Rankings Import 2020'!F320,2)))</f>
        <v>TE</v>
      </c>
    </row>
    <row r="322" spans="2:5" x14ac:dyDescent="0.35">
      <c r="B322" s="12">
        <f t="shared" si="15"/>
        <v>320</v>
      </c>
      <c r="C322" s="20" t="str">
        <f>'Default Rankings Import 2020'!D321</f>
        <v>Jordan Reed</v>
      </c>
      <c r="D322" s="20" t="str">
        <f>'Default Rankings Import 2020'!E321</f>
        <v>SF</v>
      </c>
      <c r="E322" s="21" t="str">
        <f>IF(LEFT('Default Rankings Import 2020'!F321,1)="D",LEFT('Default Rankings Import 2020'!F321,3),IF(LEFT('Default Rankings Import 2020'!F321,1)="K",LEFT('Default Rankings Import 2020'!F321,1),LEFT('Default Rankings Import 2020'!F321,2)))</f>
        <v>TE</v>
      </c>
    </row>
    <row r="323" spans="2:5" x14ac:dyDescent="0.35">
      <c r="B323" s="12">
        <f t="shared" si="15"/>
        <v>321</v>
      </c>
      <c r="C323" s="20" t="str">
        <f>'Default Rankings Import 2020'!D322</f>
        <v>Nick Boyle</v>
      </c>
      <c r="D323" s="20" t="str">
        <f>'Default Rankings Import 2020'!E322</f>
        <v>BAL</v>
      </c>
      <c r="E323" s="21" t="str">
        <f>IF(LEFT('Default Rankings Import 2020'!F322,1)="D",LEFT('Default Rankings Import 2020'!F322,3),IF(LEFT('Default Rankings Import 2020'!F322,1)="K",LEFT('Default Rankings Import 2020'!F322,1),LEFT('Default Rankings Import 2020'!F322,2)))</f>
        <v>TE</v>
      </c>
    </row>
    <row r="324" spans="2:5" x14ac:dyDescent="0.35">
      <c r="B324" s="12">
        <f t="shared" si="15"/>
        <v>322</v>
      </c>
      <c r="C324" s="20" t="str">
        <f>'Default Rankings Import 2020'!D323</f>
        <v>Vance McDonald</v>
      </c>
      <c r="D324" s="20" t="str">
        <f>'Default Rankings Import 2020'!E323</f>
        <v>PIT</v>
      </c>
      <c r="E324" s="21" t="str">
        <f>IF(LEFT('Default Rankings Import 2020'!F323,1)="D",LEFT('Default Rankings Import 2020'!F323,3),IF(LEFT('Default Rankings Import 2020'!F323,1)="K",LEFT('Default Rankings Import 2020'!F323,1),LEFT('Default Rankings Import 2020'!F323,2)))</f>
        <v>TE</v>
      </c>
    </row>
    <row r="325" spans="2:5" x14ac:dyDescent="0.35">
      <c r="B325" s="12">
        <f t="shared" ref="B325:B388" si="16">B324+1</f>
        <v>323</v>
      </c>
      <c r="C325" s="20" t="str">
        <f>'Default Rankings Import 2020'!D324</f>
        <v>Cameron Brate</v>
      </c>
      <c r="D325" s="20" t="str">
        <f>'Default Rankings Import 2020'!E324</f>
        <v>TB</v>
      </c>
      <c r="E325" s="21" t="str">
        <f>IF(LEFT('Default Rankings Import 2020'!F324,1)="D",LEFT('Default Rankings Import 2020'!F324,3),IF(LEFT('Default Rankings Import 2020'!F324,1)="K",LEFT('Default Rankings Import 2020'!F324,1),LEFT('Default Rankings Import 2020'!F324,2)))</f>
        <v>TE</v>
      </c>
    </row>
    <row r="326" spans="2:5" x14ac:dyDescent="0.35">
      <c r="B326" s="12">
        <f t="shared" si="16"/>
        <v>324</v>
      </c>
      <c r="C326" s="20" t="str">
        <f>'Default Rankings Import 2020'!D325</f>
        <v>Trey Burton</v>
      </c>
      <c r="D326" s="20" t="str">
        <f>'Default Rankings Import 2020'!E325</f>
        <v>IND</v>
      </c>
      <c r="E326" s="21" t="str">
        <f>IF(LEFT('Default Rankings Import 2020'!F325,1)="D",LEFT('Default Rankings Import 2020'!F325,3),IF(LEFT('Default Rankings Import 2020'!F325,1)="K",LEFT('Default Rankings Import 2020'!F325,1),LEFT('Default Rankings Import 2020'!F325,2)))</f>
        <v>TE</v>
      </c>
    </row>
    <row r="327" spans="2:5" x14ac:dyDescent="0.35">
      <c r="B327" s="12">
        <f t="shared" si="16"/>
        <v>325</v>
      </c>
      <c r="C327" s="20" t="str">
        <f>'Default Rankings Import 2020'!D326</f>
        <v>Anthony Firkser</v>
      </c>
      <c r="D327" s="20" t="str">
        <f>'Default Rankings Import 2020'!E326</f>
        <v>TEN</v>
      </c>
      <c r="E327" s="21" t="str">
        <f>IF(LEFT('Default Rankings Import 2020'!F326,1)="D",LEFT('Default Rankings Import 2020'!F326,3),IF(LEFT('Default Rankings Import 2020'!F326,1)="K",LEFT('Default Rankings Import 2020'!F326,1),LEFT('Default Rankings Import 2020'!F326,2)))</f>
        <v>TE</v>
      </c>
    </row>
    <row r="328" spans="2:5" x14ac:dyDescent="0.35">
      <c r="B328" s="12">
        <f t="shared" si="16"/>
        <v>326</v>
      </c>
      <c r="C328" s="20" t="str">
        <f>'Default Rankings Import 2020'!D327</f>
        <v>Cole Kmet</v>
      </c>
      <c r="D328" s="20" t="str">
        <f>'Default Rankings Import 2020'!E327</f>
        <v>CHI</v>
      </c>
      <c r="E328" s="21" t="str">
        <f>IF(LEFT('Default Rankings Import 2020'!F327,1)="D",LEFT('Default Rankings Import 2020'!F327,3),IF(LEFT('Default Rankings Import 2020'!F327,1)="K",LEFT('Default Rankings Import 2020'!F327,1),LEFT('Default Rankings Import 2020'!F327,2)))</f>
        <v>TE</v>
      </c>
    </row>
    <row r="329" spans="2:5" x14ac:dyDescent="0.35">
      <c r="B329" s="12">
        <f t="shared" si="16"/>
        <v>327</v>
      </c>
      <c r="C329" s="20" t="str">
        <f>'Default Rankings Import 2020'!D328</f>
        <v>Robert Tonyan</v>
      </c>
      <c r="D329" s="20" t="str">
        <f>'Default Rankings Import 2020'!E328</f>
        <v>GB</v>
      </c>
      <c r="E329" s="21" t="str">
        <f>IF(LEFT('Default Rankings Import 2020'!F328,1)="D",LEFT('Default Rankings Import 2020'!F328,3),IF(LEFT('Default Rankings Import 2020'!F328,1)="K",LEFT('Default Rankings Import 2020'!F328,1),LEFT('Default Rankings Import 2020'!F328,2)))</f>
        <v>TE</v>
      </c>
    </row>
    <row r="330" spans="2:5" x14ac:dyDescent="0.35">
      <c r="B330" s="12">
        <f t="shared" si="16"/>
        <v>328</v>
      </c>
      <c r="C330" s="20" t="str">
        <f>'Default Rankings Import 2020'!D329</f>
        <v>Jeremy Sprinkle</v>
      </c>
      <c r="D330" s="20" t="str">
        <f>'Default Rankings Import 2020'!E329</f>
        <v>WAS</v>
      </c>
      <c r="E330" s="21" t="str">
        <f>IF(LEFT('Default Rankings Import 2020'!F329,1)="D",LEFT('Default Rankings Import 2020'!F329,3),IF(LEFT('Default Rankings Import 2020'!F329,1)="K",LEFT('Default Rankings Import 2020'!F329,1),LEFT('Default Rankings Import 2020'!F329,2)))</f>
        <v>TE</v>
      </c>
    </row>
    <row r="331" spans="2:5" x14ac:dyDescent="0.35">
      <c r="B331" s="12">
        <f t="shared" si="16"/>
        <v>329</v>
      </c>
      <c r="C331" s="20" t="str">
        <f>'Default Rankings Import 2020'!D330</f>
        <v>Andy Dalton</v>
      </c>
      <c r="D331" s="20" t="str">
        <f>'Default Rankings Import 2020'!E330</f>
        <v>DAL</v>
      </c>
      <c r="E331" s="21" t="str">
        <f>IF(LEFT('Default Rankings Import 2020'!F330,1)="D",LEFT('Default Rankings Import 2020'!F330,3),IF(LEFT('Default Rankings Import 2020'!F330,1)="K",LEFT('Default Rankings Import 2020'!F330,1),LEFT('Default Rankings Import 2020'!F330,2)))</f>
        <v>QB</v>
      </c>
    </row>
    <row r="332" spans="2:5" x14ac:dyDescent="0.35">
      <c r="B332" s="12">
        <f t="shared" si="16"/>
        <v>330</v>
      </c>
      <c r="C332" s="20" t="str">
        <f>'Default Rankings Import 2020'!D331</f>
        <v>Jacoby Brissett</v>
      </c>
      <c r="D332" s="20" t="str">
        <f>'Default Rankings Import 2020'!E331</f>
        <v>IND</v>
      </c>
      <c r="E332" s="21" t="str">
        <f>IF(LEFT('Default Rankings Import 2020'!F331,1)="D",LEFT('Default Rankings Import 2020'!F331,3),IF(LEFT('Default Rankings Import 2020'!F331,1)="K",LEFT('Default Rankings Import 2020'!F331,1),LEFT('Default Rankings Import 2020'!F331,2)))</f>
        <v>QB</v>
      </c>
    </row>
    <row r="333" spans="2:5" x14ac:dyDescent="0.35">
      <c r="B333" s="12">
        <f t="shared" si="16"/>
        <v>331</v>
      </c>
      <c r="C333" s="20" t="str">
        <f>'Default Rankings Import 2020'!D332</f>
        <v>Kyle Allen</v>
      </c>
      <c r="D333" s="20" t="str">
        <f>'Default Rankings Import 2020'!E332</f>
        <v>WAS</v>
      </c>
      <c r="E333" s="21" t="str">
        <f>IF(LEFT('Default Rankings Import 2020'!F332,1)="D",LEFT('Default Rankings Import 2020'!F332,3),IF(LEFT('Default Rankings Import 2020'!F332,1)="K",LEFT('Default Rankings Import 2020'!F332,1),LEFT('Default Rankings Import 2020'!F332,2)))</f>
        <v>QB</v>
      </c>
    </row>
    <row r="334" spans="2:5" x14ac:dyDescent="0.35">
      <c r="B334" s="12">
        <f t="shared" si="16"/>
        <v>332</v>
      </c>
      <c r="C334" s="20" t="str">
        <f>'Default Rankings Import 2020'!D333</f>
        <v>Jordan Love</v>
      </c>
      <c r="D334" s="20" t="str">
        <f>'Default Rankings Import 2020'!E333</f>
        <v>GB</v>
      </c>
      <c r="E334" s="21" t="str">
        <f>IF(LEFT('Default Rankings Import 2020'!F333,1)="D",LEFT('Default Rankings Import 2020'!F333,3),IF(LEFT('Default Rankings Import 2020'!F333,1)="K",LEFT('Default Rankings Import 2020'!F333,1),LEFT('Default Rankings Import 2020'!F333,2)))</f>
        <v>QB</v>
      </c>
    </row>
    <row r="335" spans="2:5" x14ac:dyDescent="0.35">
      <c r="B335" s="12">
        <f t="shared" si="16"/>
        <v>333</v>
      </c>
      <c r="C335" s="20" t="str">
        <f>'Default Rankings Import 2020'!D334</f>
        <v>Tyler Bass</v>
      </c>
      <c r="D335" s="20" t="str">
        <f>'Default Rankings Import 2020'!E334</f>
        <v>BUF</v>
      </c>
      <c r="E335" s="21" t="str">
        <f>IF(LEFT('Default Rankings Import 2020'!F334,1)="D",LEFT('Default Rankings Import 2020'!F334,3),IF(LEFT('Default Rankings Import 2020'!F334,1)="K",LEFT('Default Rankings Import 2020'!F334,1),LEFT('Default Rankings Import 2020'!F334,2)))</f>
        <v>K</v>
      </c>
    </row>
    <row r="336" spans="2:5" x14ac:dyDescent="0.35">
      <c r="B336" s="12">
        <f t="shared" si="16"/>
        <v>334</v>
      </c>
      <c r="C336" s="20" t="str">
        <f>'Default Rankings Import 2020'!D335</f>
        <v>Joey Slye</v>
      </c>
      <c r="D336" s="20" t="str">
        <f>'Default Rankings Import 2020'!E335</f>
        <v>CAR</v>
      </c>
      <c r="E336" s="21" t="str">
        <f>IF(LEFT('Default Rankings Import 2020'!F335,1)="D",LEFT('Default Rankings Import 2020'!F335,3),IF(LEFT('Default Rankings Import 2020'!F335,1)="K",LEFT('Default Rankings Import 2020'!F335,1),LEFT('Default Rankings Import 2020'!F335,2)))</f>
        <v>K</v>
      </c>
    </row>
    <row r="337" spans="2:5" x14ac:dyDescent="0.35">
      <c r="B337" s="12">
        <f t="shared" si="16"/>
        <v>335</v>
      </c>
      <c r="C337" s="20" t="str">
        <f>'Default Rankings Import 2020'!D336</f>
        <v>Josh Lambo</v>
      </c>
      <c r="D337" s="20" t="str">
        <f>'Default Rankings Import 2020'!E336</f>
        <v>JAC</v>
      </c>
      <c r="E337" s="21" t="str">
        <f>IF(LEFT('Default Rankings Import 2020'!F336,1)="D",LEFT('Default Rankings Import 2020'!F336,3),IF(LEFT('Default Rankings Import 2020'!F336,1)="K",LEFT('Default Rankings Import 2020'!F336,1),LEFT('Default Rankings Import 2020'!F336,2)))</f>
        <v>K</v>
      </c>
    </row>
    <row r="338" spans="2:5" x14ac:dyDescent="0.35">
      <c r="B338" s="12">
        <f t="shared" si="16"/>
        <v>336</v>
      </c>
      <c r="C338" s="20" t="str">
        <f>'Default Rankings Import 2020'!D337</f>
        <v>Michael Badgley</v>
      </c>
      <c r="D338" s="20" t="str">
        <f>'Default Rankings Import 2020'!E337</f>
        <v>LAC</v>
      </c>
      <c r="E338" s="21" t="str">
        <f>IF(LEFT('Default Rankings Import 2020'!F337,1)="D",LEFT('Default Rankings Import 2020'!F337,3),IF(LEFT('Default Rankings Import 2020'!F337,1)="K",LEFT('Default Rankings Import 2020'!F337,1),LEFT('Default Rankings Import 2020'!F337,2)))</f>
        <v>K</v>
      </c>
    </row>
    <row r="339" spans="2:5" x14ac:dyDescent="0.35">
      <c r="B339" s="12">
        <f t="shared" si="16"/>
        <v>337</v>
      </c>
      <c r="C339" s="20" t="str">
        <f>'Default Rankings Import 2020'!D338</f>
        <v>Stephen Gostkowski</v>
      </c>
      <c r="D339" s="20" t="str">
        <f>'Default Rankings Import 2020'!E338</f>
        <v>FA</v>
      </c>
      <c r="E339" s="21" t="str">
        <f>IF(LEFT('Default Rankings Import 2020'!F338,1)="D",LEFT('Default Rankings Import 2020'!F338,3),IF(LEFT('Default Rankings Import 2020'!F338,1)="K",LEFT('Default Rankings Import 2020'!F338,1),LEFT('Default Rankings Import 2020'!F338,2)))</f>
        <v>K</v>
      </c>
    </row>
    <row r="340" spans="2:5" x14ac:dyDescent="0.35">
      <c r="B340" s="12">
        <f t="shared" si="16"/>
        <v>338</v>
      </c>
      <c r="C340" s="20" t="str">
        <f>'Default Rankings Import 2020'!D339</f>
        <v>Randy Bullock</v>
      </c>
      <c r="D340" s="20" t="str">
        <f>'Default Rankings Import 2020'!E339</f>
        <v>CIN</v>
      </c>
      <c r="E340" s="21" t="str">
        <f>IF(LEFT('Default Rankings Import 2020'!F339,1)="D",LEFT('Default Rankings Import 2020'!F339,3),IF(LEFT('Default Rankings Import 2020'!F339,1)="K",LEFT('Default Rankings Import 2020'!F339,1),LEFT('Default Rankings Import 2020'!F339,2)))</f>
        <v>K</v>
      </c>
    </row>
    <row r="341" spans="2:5" x14ac:dyDescent="0.35">
      <c r="B341" s="12">
        <f t="shared" si="16"/>
        <v>339</v>
      </c>
      <c r="C341" s="20" t="str">
        <f>'Default Rankings Import 2020'!D340</f>
        <v>Justin Rohrwasser</v>
      </c>
      <c r="D341" s="20" t="str">
        <f>'Default Rankings Import 2020'!E340</f>
        <v>NE</v>
      </c>
      <c r="E341" s="21" t="str">
        <f>IF(LEFT('Default Rankings Import 2020'!F340,1)="D",LEFT('Default Rankings Import 2020'!F340,3),IF(LEFT('Default Rankings Import 2020'!F340,1)="K",LEFT('Default Rankings Import 2020'!F340,1),LEFT('Default Rankings Import 2020'!F340,2)))</f>
        <v>K</v>
      </c>
    </row>
    <row r="342" spans="2:5" x14ac:dyDescent="0.35">
      <c r="B342" s="12">
        <f t="shared" si="16"/>
        <v>340</v>
      </c>
      <c r="C342" s="20" t="str">
        <f>'Default Rankings Import 2020'!D341</f>
        <v>Daniel Carlson</v>
      </c>
      <c r="D342" s="20" t="str">
        <f>'Default Rankings Import 2020'!E341</f>
        <v>LV</v>
      </c>
      <c r="E342" s="21" t="str">
        <f>IF(LEFT('Default Rankings Import 2020'!F341,1)="D",LEFT('Default Rankings Import 2020'!F341,3),IF(LEFT('Default Rankings Import 2020'!F341,1)="K",LEFT('Default Rankings Import 2020'!F341,1),LEFT('Default Rankings Import 2020'!F341,2)))</f>
        <v>K</v>
      </c>
    </row>
    <row r="343" spans="2:5" x14ac:dyDescent="0.35">
      <c r="B343" s="12">
        <f t="shared" si="16"/>
        <v>341</v>
      </c>
      <c r="C343" s="20" t="str">
        <f>'Default Rankings Import 2020'!D342</f>
        <v>Dustin Hopkins</v>
      </c>
      <c r="D343" s="20" t="str">
        <f>'Default Rankings Import 2020'!E342</f>
        <v>WAS</v>
      </c>
      <c r="E343" s="21" t="str">
        <f>IF(LEFT('Default Rankings Import 2020'!F342,1)="D",LEFT('Default Rankings Import 2020'!F342,3),IF(LEFT('Default Rankings Import 2020'!F342,1)="K",LEFT('Default Rankings Import 2020'!F342,1),LEFT('Default Rankings Import 2020'!F342,2)))</f>
        <v>K</v>
      </c>
    </row>
    <row r="344" spans="2:5" x14ac:dyDescent="0.35">
      <c r="B344" s="12">
        <f t="shared" si="16"/>
        <v>342</v>
      </c>
      <c r="C344" s="20" t="str">
        <f>'Default Rankings Import 2020'!D343</f>
        <v>Jason Sanders</v>
      </c>
      <c r="D344" s="20" t="str">
        <f>'Default Rankings Import 2020'!E343</f>
        <v>MIA</v>
      </c>
      <c r="E344" s="21" t="str">
        <f>IF(LEFT('Default Rankings Import 2020'!F343,1)="D",LEFT('Default Rankings Import 2020'!F343,3),IF(LEFT('Default Rankings Import 2020'!F343,1)="K",LEFT('Default Rankings Import 2020'!F343,1),LEFT('Default Rankings Import 2020'!F343,2)))</f>
        <v>K</v>
      </c>
    </row>
    <row r="345" spans="2:5" x14ac:dyDescent="0.35">
      <c r="B345" s="12">
        <f t="shared" si="16"/>
        <v>343</v>
      </c>
      <c r="C345" s="20" t="str">
        <f>'Default Rankings Import 2020'!D344</f>
        <v>Eddy Pineiro</v>
      </c>
      <c r="D345" s="20" t="str">
        <f>'Default Rankings Import 2020'!E344</f>
        <v>CHI</v>
      </c>
      <c r="E345" s="21" t="str">
        <f>IF(LEFT('Default Rankings Import 2020'!F344,1)="D",LEFT('Default Rankings Import 2020'!F344,3),IF(LEFT('Default Rankings Import 2020'!F344,1)="K",LEFT('Default Rankings Import 2020'!F344,1),LEFT('Default Rankings Import 2020'!F344,2)))</f>
        <v>K</v>
      </c>
    </row>
    <row r="346" spans="2:5" x14ac:dyDescent="0.35">
      <c r="B346" s="12">
        <f t="shared" si="16"/>
        <v>344</v>
      </c>
      <c r="C346" s="20" t="str">
        <f>'Default Rankings Import 2020'!D345</f>
        <v>Texans D/ST</v>
      </c>
      <c r="D346" s="20" t="str">
        <f>'Default Rankings Import 2020'!E345</f>
        <v/>
      </c>
      <c r="E346" s="21" t="str">
        <f>IF(LEFT('Default Rankings Import 2020'!F345,1)="D",LEFT('Default Rankings Import 2020'!F345,3),IF(LEFT('Default Rankings Import 2020'!F345,1)="K",LEFT('Default Rankings Import 2020'!F345,1),LEFT('Default Rankings Import 2020'!F345,2)))</f>
        <v>DST</v>
      </c>
    </row>
    <row r="347" spans="2:5" x14ac:dyDescent="0.35">
      <c r="B347" s="12">
        <f t="shared" si="16"/>
        <v>345</v>
      </c>
      <c r="C347" s="20" t="str">
        <f>'Default Rankings Import 2020'!D346</f>
        <v>Packers D/ST</v>
      </c>
      <c r="D347" s="20" t="str">
        <f>'Default Rankings Import 2020'!E346</f>
        <v/>
      </c>
      <c r="E347" s="21" t="str">
        <f>IF(LEFT('Default Rankings Import 2020'!F346,1)="D",LEFT('Default Rankings Import 2020'!F346,3),IF(LEFT('Default Rankings Import 2020'!F346,1)="K",LEFT('Default Rankings Import 2020'!F346,1),LEFT('Default Rankings Import 2020'!F346,2)))</f>
        <v>DST</v>
      </c>
    </row>
    <row r="348" spans="2:5" x14ac:dyDescent="0.35">
      <c r="B348" s="12">
        <f t="shared" si="16"/>
        <v>346</v>
      </c>
      <c r="C348" s="20" t="str">
        <f>'Default Rankings Import 2020'!D347</f>
        <v>Jets D/ST</v>
      </c>
      <c r="D348" s="20" t="str">
        <f>'Default Rankings Import 2020'!E347</f>
        <v/>
      </c>
      <c r="E348" s="21" t="str">
        <f>IF(LEFT('Default Rankings Import 2020'!F347,1)="D",LEFT('Default Rankings Import 2020'!F347,3),IF(LEFT('Default Rankings Import 2020'!F347,1)="K",LEFT('Default Rankings Import 2020'!F347,1),LEFT('Default Rankings Import 2020'!F347,2)))</f>
        <v>DST</v>
      </c>
    </row>
    <row r="349" spans="2:5" x14ac:dyDescent="0.35">
      <c r="B349" s="12">
        <f t="shared" si="16"/>
        <v>347</v>
      </c>
      <c r="C349" s="20" t="str">
        <f>'Default Rankings Import 2020'!D348</f>
        <v>Raiders D/ST</v>
      </c>
      <c r="D349" s="20" t="str">
        <f>'Default Rankings Import 2020'!E348</f>
        <v/>
      </c>
      <c r="E349" s="21" t="str">
        <f>IF(LEFT('Default Rankings Import 2020'!F348,1)="D",LEFT('Default Rankings Import 2020'!F348,3),IF(LEFT('Default Rankings Import 2020'!F348,1)="K",LEFT('Default Rankings Import 2020'!F348,1),LEFT('Default Rankings Import 2020'!F348,2)))</f>
        <v>DST</v>
      </c>
    </row>
    <row r="350" spans="2:5" x14ac:dyDescent="0.35">
      <c r="B350" s="12">
        <f t="shared" si="16"/>
        <v>348</v>
      </c>
      <c r="C350" s="20" t="str">
        <f>'Default Rankings Import 2020'!D349</f>
        <v>Washington D/ST</v>
      </c>
      <c r="D350" s="20" t="str">
        <f>'Default Rankings Import 2020'!E349</f>
        <v/>
      </c>
      <c r="E350" s="21" t="str">
        <f>IF(LEFT('Default Rankings Import 2020'!F349,1)="D",LEFT('Default Rankings Import 2020'!F349,3),IF(LEFT('Default Rankings Import 2020'!F349,1)="K",LEFT('Default Rankings Import 2020'!F349,1),LEFT('Default Rankings Import 2020'!F349,2)))</f>
        <v>DST</v>
      </c>
    </row>
    <row r="351" spans="2:5" x14ac:dyDescent="0.35">
      <c r="B351" s="12">
        <f t="shared" si="16"/>
        <v>349</v>
      </c>
      <c r="C351" s="20" t="str">
        <f>'Default Rankings Import 2020'!D350</f>
        <v>Jaguars D/ST</v>
      </c>
      <c r="D351" s="20" t="str">
        <f>'Default Rankings Import 2020'!E350</f>
        <v/>
      </c>
      <c r="E351" s="21" t="str">
        <f>IF(LEFT('Default Rankings Import 2020'!F350,1)="D",LEFT('Default Rankings Import 2020'!F350,3),IF(LEFT('Default Rankings Import 2020'!F350,1)="K",LEFT('Default Rankings Import 2020'!F350,1),LEFT('Default Rankings Import 2020'!F350,2)))</f>
        <v>DST</v>
      </c>
    </row>
    <row r="352" spans="2:5" x14ac:dyDescent="0.35">
      <c r="B352" s="12">
        <f t="shared" si="16"/>
        <v>350</v>
      </c>
      <c r="C352" s="20" t="str">
        <f>'Default Rankings Import 2020'!D351</f>
        <v>Falcons D/ST</v>
      </c>
      <c r="D352" s="20" t="str">
        <f>'Default Rankings Import 2020'!E351</f>
        <v/>
      </c>
      <c r="E352" s="21" t="str">
        <f>IF(LEFT('Default Rankings Import 2020'!F351,1)="D",LEFT('Default Rankings Import 2020'!F351,3),IF(LEFT('Default Rankings Import 2020'!F351,1)="K",LEFT('Default Rankings Import 2020'!F351,1),LEFT('Default Rankings Import 2020'!F351,2)))</f>
        <v>DST</v>
      </c>
    </row>
    <row r="353" spans="2:5" x14ac:dyDescent="0.35">
      <c r="B353" s="12">
        <f t="shared" si="16"/>
        <v>351</v>
      </c>
      <c r="C353" s="20" t="str">
        <f>'Default Rankings Import 2020'!D352</f>
        <v>Panthers D/ST</v>
      </c>
      <c r="D353" s="20" t="str">
        <f>'Default Rankings Import 2020'!E352</f>
        <v/>
      </c>
      <c r="E353" s="21" t="str">
        <f>IF(LEFT('Default Rankings Import 2020'!F352,1)="D",LEFT('Default Rankings Import 2020'!F352,3),IF(LEFT('Default Rankings Import 2020'!F352,1)="K",LEFT('Default Rankings Import 2020'!F352,1),LEFT('Default Rankings Import 2020'!F352,2)))</f>
        <v>DST</v>
      </c>
    </row>
    <row r="354" spans="2:5" x14ac:dyDescent="0.35">
      <c r="B354" s="12">
        <f t="shared" si="16"/>
        <v>352</v>
      </c>
      <c r="C354" s="20" t="str">
        <f>'Default Rankings Import 2020'!D353</f>
        <v>Isaiah Ford</v>
      </c>
      <c r="D354" s="20" t="str">
        <f>'Default Rankings Import 2020'!E353</f>
        <v>MIA</v>
      </c>
      <c r="E354" s="21" t="str">
        <f>IF(LEFT('Default Rankings Import 2020'!F353,1)="D",LEFT('Default Rankings Import 2020'!F353,3),IF(LEFT('Default Rankings Import 2020'!F353,1)="K",LEFT('Default Rankings Import 2020'!F353,1),LEFT('Default Rankings Import 2020'!F353,2)))</f>
        <v>WR</v>
      </c>
    </row>
    <row r="355" spans="2:5" x14ac:dyDescent="0.35">
      <c r="B355" s="12">
        <f t="shared" si="16"/>
        <v>353</v>
      </c>
      <c r="C355" s="20" t="str">
        <f>'Default Rankings Import 2020'!D354</f>
        <v>Phillip Dorsett II</v>
      </c>
      <c r="D355" s="20" t="str">
        <f>'Default Rankings Import 2020'!E354</f>
        <v>SEA</v>
      </c>
      <c r="E355" s="21" t="str">
        <f>IF(LEFT('Default Rankings Import 2020'!F354,1)="D",LEFT('Default Rankings Import 2020'!F354,3),IF(LEFT('Default Rankings Import 2020'!F354,1)="K",LEFT('Default Rankings Import 2020'!F354,1),LEFT('Default Rankings Import 2020'!F354,2)))</f>
        <v>WR</v>
      </c>
    </row>
    <row r="356" spans="2:5" x14ac:dyDescent="0.35">
      <c r="B356" s="12">
        <f t="shared" si="16"/>
        <v>354</v>
      </c>
      <c r="C356" s="20" t="str">
        <f>'Default Rankings Import 2020'!D355</f>
        <v>Equanimeous St. Brown</v>
      </c>
      <c r="D356" s="20" t="str">
        <f>'Default Rankings Import 2020'!E355</f>
        <v>GB</v>
      </c>
      <c r="E356" s="21" t="str">
        <f>IF(LEFT('Default Rankings Import 2020'!F355,1)="D",LEFT('Default Rankings Import 2020'!F355,3),IF(LEFT('Default Rankings Import 2020'!F355,1)="K",LEFT('Default Rankings Import 2020'!F355,1),LEFT('Default Rankings Import 2020'!F355,2)))</f>
        <v>WR</v>
      </c>
    </row>
    <row r="357" spans="2:5" x14ac:dyDescent="0.35">
      <c r="B357" s="12">
        <f t="shared" si="16"/>
        <v>355</v>
      </c>
      <c r="C357" s="20" t="str">
        <f>'Default Rankings Import 2020'!D356</f>
        <v>Josh Gordon</v>
      </c>
      <c r="D357" s="20" t="str">
        <f>'Default Rankings Import 2020'!E356</f>
        <v>FA</v>
      </c>
      <c r="E357" s="21" t="str">
        <f>IF(LEFT('Default Rankings Import 2020'!F356,1)="D",LEFT('Default Rankings Import 2020'!F356,3),IF(LEFT('Default Rankings Import 2020'!F356,1)="K",LEFT('Default Rankings Import 2020'!F356,1),LEFT('Default Rankings Import 2020'!F356,2)))</f>
        <v>WR</v>
      </c>
    </row>
    <row r="358" spans="2:5" x14ac:dyDescent="0.35">
      <c r="B358" s="12">
        <f t="shared" si="16"/>
        <v>356</v>
      </c>
      <c r="C358" s="20" t="str">
        <f>'Default Rankings Import 2020'!D357</f>
        <v>Tre'Quan Smith</v>
      </c>
      <c r="D358" s="20" t="str">
        <f>'Default Rankings Import 2020'!E357</f>
        <v>NO</v>
      </c>
      <c r="E358" s="21" t="str">
        <f>IF(LEFT('Default Rankings Import 2020'!F357,1)="D",LEFT('Default Rankings Import 2020'!F357,3),IF(LEFT('Default Rankings Import 2020'!F357,1)="K",LEFT('Default Rankings Import 2020'!F357,1),LEFT('Default Rankings Import 2020'!F357,2)))</f>
        <v>WR</v>
      </c>
    </row>
    <row r="359" spans="2:5" x14ac:dyDescent="0.35">
      <c r="B359" s="12">
        <f t="shared" si="16"/>
        <v>357</v>
      </c>
      <c r="C359" s="20" t="str">
        <f>'Default Rankings Import 2020'!D358</f>
        <v>Nelson Agholor</v>
      </c>
      <c r="D359" s="20" t="str">
        <f>'Default Rankings Import 2020'!E358</f>
        <v>LV</v>
      </c>
      <c r="E359" s="21" t="str">
        <f>IF(LEFT('Default Rankings Import 2020'!F358,1)="D",LEFT('Default Rankings Import 2020'!F358,3),IF(LEFT('Default Rankings Import 2020'!F358,1)="K",LEFT('Default Rankings Import 2020'!F358,1),LEFT('Default Rankings Import 2020'!F358,2)))</f>
        <v>WR</v>
      </c>
    </row>
    <row r="360" spans="2:5" x14ac:dyDescent="0.35">
      <c r="B360" s="12">
        <f t="shared" si="16"/>
        <v>358</v>
      </c>
      <c r="C360" s="20" t="str">
        <f>'Default Rankings Import 2020'!D359</f>
        <v>Zach Pascal</v>
      </c>
      <c r="D360" s="20" t="str">
        <f>'Default Rankings Import 2020'!E359</f>
        <v>IND</v>
      </c>
      <c r="E360" s="21" t="str">
        <f>IF(LEFT('Default Rankings Import 2020'!F359,1)="D",LEFT('Default Rankings Import 2020'!F359,3),IF(LEFT('Default Rankings Import 2020'!F359,1)="K",LEFT('Default Rankings Import 2020'!F359,1),LEFT('Default Rankings Import 2020'!F359,2)))</f>
        <v>WR</v>
      </c>
    </row>
    <row r="361" spans="2:5" x14ac:dyDescent="0.35">
      <c r="B361" s="12">
        <f t="shared" si="16"/>
        <v>359</v>
      </c>
      <c r="C361" s="20" t="str">
        <f>'Default Rankings Import 2020'!D360</f>
        <v>Jesse James</v>
      </c>
      <c r="D361" s="20" t="str">
        <f>'Default Rankings Import 2020'!E360</f>
        <v>DET</v>
      </c>
      <c r="E361" s="21" t="str">
        <f>IF(LEFT('Default Rankings Import 2020'!F360,1)="D",LEFT('Default Rankings Import 2020'!F360,3),IF(LEFT('Default Rankings Import 2020'!F360,1)="K",LEFT('Default Rankings Import 2020'!F360,1),LEFT('Default Rankings Import 2020'!F360,2)))</f>
        <v>TE</v>
      </c>
    </row>
    <row r="362" spans="2:5" x14ac:dyDescent="0.35">
      <c r="B362" s="12">
        <f t="shared" si="16"/>
        <v>360</v>
      </c>
      <c r="C362" s="20" t="str">
        <f>'Default Rankings Import 2020'!D361</f>
        <v>Kendrick Bourne</v>
      </c>
      <c r="D362" s="20" t="str">
        <f>'Default Rankings Import 2020'!E361</f>
        <v>SF</v>
      </c>
      <c r="E362" s="21" t="str">
        <f>IF(LEFT('Default Rankings Import 2020'!F361,1)="D",LEFT('Default Rankings Import 2020'!F361,3),IF(LEFT('Default Rankings Import 2020'!F361,1)="K",LEFT('Default Rankings Import 2020'!F361,1),LEFT('Default Rankings Import 2020'!F361,2)))</f>
        <v>WR</v>
      </c>
    </row>
    <row r="363" spans="2:5" x14ac:dyDescent="0.35">
      <c r="B363" s="12">
        <f t="shared" si="16"/>
        <v>361</v>
      </c>
      <c r="C363" s="20" t="str">
        <f>'Default Rankings Import 2020'!D362</f>
        <v>Drew Sample</v>
      </c>
      <c r="D363" s="20" t="str">
        <f>'Default Rankings Import 2020'!E362</f>
        <v>CIN</v>
      </c>
      <c r="E363" s="21" t="str">
        <f>IF(LEFT('Default Rankings Import 2020'!F362,1)="D",LEFT('Default Rankings Import 2020'!F362,3),IF(LEFT('Default Rankings Import 2020'!F362,1)="K",LEFT('Default Rankings Import 2020'!F362,1),LEFT('Default Rankings Import 2020'!F362,2)))</f>
        <v>TE</v>
      </c>
    </row>
    <row r="364" spans="2:5" x14ac:dyDescent="0.35">
      <c r="B364" s="12">
        <f t="shared" si="16"/>
        <v>362</v>
      </c>
      <c r="C364" s="20" t="str">
        <f>'Default Rankings Import 2020'!D363</f>
        <v>Ryan Griffin</v>
      </c>
      <c r="D364" s="20" t="str">
        <f>'Default Rankings Import 2020'!E363</f>
        <v>NYJ</v>
      </c>
      <c r="E364" s="21" t="str">
        <f>IF(LEFT('Default Rankings Import 2020'!F363,1)="D",LEFT('Default Rankings Import 2020'!F363,3),IF(LEFT('Default Rankings Import 2020'!F363,1)="K",LEFT('Default Rankings Import 2020'!F363,1),LEFT('Default Rankings Import 2020'!F363,2)))</f>
        <v>TE</v>
      </c>
    </row>
    <row r="365" spans="2:5" x14ac:dyDescent="0.35">
      <c r="B365" s="12">
        <f t="shared" si="16"/>
        <v>363</v>
      </c>
      <c r="C365" s="20" t="str">
        <f>'Default Rankings Import 2020'!D364</f>
        <v>Josh Hill</v>
      </c>
      <c r="D365" s="20" t="str">
        <f>'Default Rankings Import 2020'!E364</f>
        <v>NO</v>
      </c>
      <c r="E365" s="21" t="str">
        <f>IF(LEFT('Default Rankings Import 2020'!F364,1)="D",LEFT('Default Rankings Import 2020'!F364,3),IF(LEFT('Default Rankings Import 2020'!F364,1)="K",LEFT('Default Rankings Import 2020'!F364,1),LEFT('Default Rankings Import 2020'!F364,2)))</f>
        <v>TE</v>
      </c>
    </row>
    <row r="366" spans="2:5" x14ac:dyDescent="0.35">
      <c r="B366" s="12">
        <f t="shared" si="16"/>
        <v>364</v>
      </c>
      <c r="C366" s="20" t="str">
        <f>'Default Rankings Import 2020'!D365</f>
        <v>DaeSean Hamilton</v>
      </c>
      <c r="D366" s="20" t="str">
        <f>'Default Rankings Import 2020'!E365</f>
        <v>DEN</v>
      </c>
      <c r="E366" s="21" t="str">
        <f>IF(LEFT('Default Rankings Import 2020'!F365,1)="D",LEFT('Default Rankings Import 2020'!F365,3),IF(LEFT('Default Rankings Import 2020'!F365,1)="K",LEFT('Default Rankings Import 2020'!F365,1),LEFT('Default Rankings Import 2020'!F365,2)))</f>
        <v>WR</v>
      </c>
    </row>
    <row r="367" spans="2:5" x14ac:dyDescent="0.35">
      <c r="B367" s="12">
        <f t="shared" si="16"/>
        <v>365</v>
      </c>
      <c r="C367" s="20" t="str">
        <f>'Default Rankings Import 2020'!D366</f>
        <v>Dalton Schultz</v>
      </c>
      <c r="D367" s="20" t="str">
        <f>'Default Rankings Import 2020'!E366</f>
        <v>DAL</v>
      </c>
      <c r="E367" s="21" t="str">
        <f>IF(LEFT('Default Rankings Import 2020'!F366,1)="D",LEFT('Default Rankings Import 2020'!F366,3),IF(LEFT('Default Rankings Import 2020'!F366,1)="K",LEFT('Default Rankings Import 2020'!F366,1),LEFT('Default Rankings Import 2020'!F366,2)))</f>
        <v>TE</v>
      </c>
    </row>
    <row r="368" spans="2:5" x14ac:dyDescent="0.35">
      <c r="B368" s="12">
        <f t="shared" si="16"/>
        <v>366</v>
      </c>
      <c r="C368" s="20" t="str">
        <f>'Default Rankings Import 2020'!D367</f>
        <v>David Moore</v>
      </c>
      <c r="D368" s="20" t="str">
        <f>'Default Rankings Import 2020'!E367</f>
        <v>SEA</v>
      </c>
      <c r="E368" s="21" t="str">
        <f>IF(LEFT('Default Rankings Import 2020'!F367,1)="D",LEFT('Default Rankings Import 2020'!F367,3),IF(LEFT('Default Rankings Import 2020'!F367,1)="K",LEFT('Default Rankings Import 2020'!F367,1),LEFT('Default Rankings Import 2020'!F367,2)))</f>
        <v>WR</v>
      </c>
    </row>
    <row r="369" spans="2:5" x14ac:dyDescent="0.35">
      <c r="B369" s="12">
        <f t="shared" si="16"/>
        <v>367</v>
      </c>
      <c r="C369" s="20" t="str">
        <f>'Default Rankings Import 2020'!D368</f>
        <v>Kyle Juszczyk</v>
      </c>
      <c r="D369" s="20" t="str">
        <f>'Default Rankings Import 2020'!E368</f>
        <v>SF</v>
      </c>
      <c r="E369" s="21" t="str">
        <f>IF(LEFT('Default Rankings Import 2020'!F368,1)="D",LEFT('Default Rankings Import 2020'!F368,3),IF(LEFT('Default Rankings Import 2020'!F368,1)="K",LEFT('Default Rankings Import 2020'!F368,1),LEFT('Default Rankings Import 2020'!F368,2)))</f>
        <v>RB</v>
      </c>
    </row>
    <row r="370" spans="2:5" x14ac:dyDescent="0.35">
      <c r="B370" s="12">
        <f t="shared" si="16"/>
        <v>368</v>
      </c>
      <c r="C370" s="20" t="str">
        <f>'Default Rankings Import 2020'!D369</f>
        <v>Mo Alie-Cox</v>
      </c>
      <c r="D370" s="20" t="str">
        <f>'Default Rankings Import 2020'!E369</f>
        <v>IND</v>
      </c>
      <c r="E370" s="21" t="str">
        <f>IF(LEFT('Default Rankings Import 2020'!F369,1)="D",LEFT('Default Rankings Import 2020'!F369,3),IF(LEFT('Default Rankings Import 2020'!F369,1)="K",LEFT('Default Rankings Import 2020'!F369,1),LEFT('Default Rankings Import 2020'!F369,2)))</f>
        <v>TE</v>
      </c>
    </row>
    <row r="371" spans="2:5" x14ac:dyDescent="0.35">
      <c r="B371" s="12">
        <f t="shared" si="16"/>
        <v>369</v>
      </c>
      <c r="C371" s="20" t="str">
        <f>'Default Rankings Import 2020'!D370</f>
        <v>Foster Moreau</v>
      </c>
      <c r="D371" s="20" t="str">
        <f>'Default Rankings Import 2020'!E370</f>
        <v>LV</v>
      </c>
      <c r="E371" s="21" t="str">
        <f>IF(LEFT('Default Rankings Import 2020'!F370,1)="D",LEFT('Default Rankings Import 2020'!F370,3),IF(LEFT('Default Rankings Import 2020'!F370,1)="K",LEFT('Default Rankings Import 2020'!F370,1),LEFT('Default Rankings Import 2020'!F370,2)))</f>
        <v>TE</v>
      </c>
    </row>
    <row r="372" spans="2:5" x14ac:dyDescent="0.35">
      <c r="B372" s="12">
        <f t="shared" si="16"/>
        <v>370</v>
      </c>
      <c r="C372" s="20" t="str">
        <f>'Default Rankings Import 2020'!D371</f>
        <v>Rashard Higgins</v>
      </c>
      <c r="D372" s="20" t="str">
        <f>'Default Rankings Import 2020'!E371</f>
        <v>CLE</v>
      </c>
      <c r="E372" s="21" t="str">
        <f>IF(LEFT('Default Rankings Import 2020'!F371,1)="D",LEFT('Default Rankings Import 2020'!F371,3),IF(LEFT('Default Rankings Import 2020'!F371,1)="K",LEFT('Default Rankings Import 2020'!F371,1),LEFT('Default Rankings Import 2020'!F371,2)))</f>
        <v>WR</v>
      </c>
    </row>
    <row r="373" spans="2:5" x14ac:dyDescent="0.35">
      <c r="B373" s="12">
        <f t="shared" si="16"/>
        <v>371</v>
      </c>
      <c r="C373" s="20" t="str">
        <f>'Default Rankings Import 2020'!D372</f>
        <v>Kaden Smith</v>
      </c>
      <c r="D373" s="20" t="str">
        <f>'Default Rankings Import 2020'!E372</f>
        <v>NYG</v>
      </c>
      <c r="E373" s="21" t="str">
        <f>IF(LEFT('Default Rankings Import 2020'!F372,1)="D",LEFT('Default Rankings Import 2020'!F372,3),IF(LEFT('Default Rankings Import 2020'!F372,1)="K",LEFT('Default Rankings Import 2020'!F372,1),LEFT('Default Rankings Import 2020'!F372,2)))</f>
        <v>TE</v>
      </c>
    </row>
    <row r="374" spans="2:5" x14ac:dyDescent="0.35">
      <c r="B374" s="12">
        <f t="shared" si="16"/>
        <v>372</v>
      </c>
      <c r="C374" s="20" t="str">
        <f>'Default Rankings Import 2020'!D373</f>
        <v>Cordarrelle Patterson</v>
      </c>
      <c r="D374" s="20" t="str">
        <f>'Default Rankings Import 2020'!E373</f>
        <v>CHI</v>
      </c>
      <c r="E374" s="21" t="str">
        <f>IF(LEFT('Default Rankings Import 2020'!F373,1)="D",LEFT('Default Rankings Import 2020'!F373,3),IF(LEFT('Default Rankings Import 2020'!F373,1)="K",LEFT('Default Rankings Import 2020'!F373,1),LEFT('Default Rankings Import 2020'!F373,2)))</f>
        <v>WR</v>
      </c>
    </row>
    <row r="375" spans="2:5" x14ac:dyDescent="0.35">
      <c r="B375" s="12">
        <f t="shared" si="16"/>
        <v>373</v>
      </c>
      <c r="C375" s="20" t="str">
        <f>'Default Rankings Import 2020'!D374</f>
        <v>Matt Gay</v>
      </c>
      <c r="D375" s="20" t="str">
        <f>'Default Rankings Import 2020'!E374</f>
        <v>TB</v>
      </c>
      <c r="E375" s="21" t="str">
        <f>IF(LEFT('Default Rankings Import 2020'!F374,1)="D",LEFT('Default Rankings Import 2020'!F374,3),IF(LEFT('Default Rankings Import 2020'!F374,1)="K",LEFT('Default Rankings Import 2020'!F374,1),LEFT('Default Rankings Import 2020'!F374,2)))</f>
        <v>K</v>
      </c>
    </row>
    <row r="376" spans="2:5" x14ac:dyDescent="0.35">
      <c r="B376" s="12">
        <f t="shared" si="16"/>
        <v>374</v>
      </c>
      <c r="C376" s="20" t="str">
        <f>'Default Rankings Import 2020'!D375</f>
        <v>Mohamed Sanu Sr.</v>
      </c>
      <c r="D376" s="20" t="str">
        <f>'Default Rankings Import 2020'!E375</f>
        <v>NE</v>
      </c>
      <c r="E376" s="21" t="str">
        <f>IF(LEFT('Default Rankings Import 2020'!F375,1)="D",LEFT('Default Rankings Import 2020'!F375,3),IF(LEFT('Default Rankings Import 2020'!F375,1)="K",LEFT('Default Rankings Import 2020'!F375,1),LEFT('Default Rankings Import 2020'!F375,2)))</f>
        <v>WR</v>
      </c>
    </row>
    <row r="377" spans="2:5" x14ac:dyDescent="0.35">
      <c r="B377" s="12">
        <f t="shared" si="16"/>
        <v>375</v>
      </c>
      <c r="C377" s="20" t="str">
        <f>'Default Rankings Import 2020'!D376</f>
        <v>Lamar Miller</v>
      </c>
      <c r="D377" s="20" t="str">
        <f>'Default Rankings Import 2020'!E376</f>
        <v>NE</v>
      </c>
      <c r="E377" s="21" t="str">
        <f>IF(LEFT('Default Rankings Import 2020'!F376,1)="D",LEFT('Default Rankings Import 2020'!F376,3),IF(LEFT('Default Rankings Import 2020'!F376,1)="K",LEFT('Default Rankings Import 2020'!F376,1),LEFT('Default Rankings Import 2020'!F376,2)))</f>
        <v>RB</v>
      </c>
    </row>
    <row r="378" spans="2:5" x14ac:dyDescent="0.35">
      <c r="B378" s="12">
        <f t="shared" si="16"/>
        <v>376</v>
      </c>
      <c r="C378" s="20" t="str">
        <f>'Default Rankings Import 2020'!D377</f>
        <v>DeAndre Washington</v>
      </c>
      <c r="D378" s="20" t="str">
        <f>'Default Rankings Import 2020'!E377</f>
        <v>KC</v>
      </c>
      <c r="E378" s="21" t="str">
        <f>IF(LEFT('Default Rankings Import 2020'!F377,1)="D",LEFT('Default Rankings Import 2020'!F377,3),IF(LEFT('Default Rankings Import 2020'!F377,1)="K",LEFT('Default Rankings Import 2020'!F377,1),LEFT('Default Rankings Import 2020'!F377,2)))</f>
        <v>RB</v>
      </c>
    </row>
    <row r="379" spans="2:5" x14ac:dyDescent="0.35">
      <c r="B379" s="12">
        <f t="shared" si="16"/>
        <v>377</v>
      </c>
      <c r="C379" s="20" t="str">
        <f>'Default Rankings Import 2020'!D378</f>
        <v>Tyrell Williams</v>
      </c>
      <c r="D379" s="20" t="str">
        <f>'Default Rankings Import 2020'!E378</f>
        <v>LV</v>
      </c>
      <c r="E379" s="21" t="str">
        <f>IF(LEFT('Default Rankings Import 2020'!F378,1)="D",LEFT('Default Rankings Import 2020'!F378,3),IF(LEFT('Default Rankings Import 2020'!F378,1)="K",LEFT('Default Rankings Import 2020'!F378,1),LEFT('Default Rankings Import 2020'!F378,2)))</f>
        <v>WR</v>
      </c>
    </row>
    <row r="380" spans="2:5" x14ac:dyDescent="0.35">
      <c r="B380" s="12">
        <f t="shared" si="16"/>
        <v>378</v>
      </c>
      <c r="C380" s="20" t="str">
        <f>'Default Rankings Import 2020'!D379</f>
        <v>Tyler Johnson</v>
      </c>
      <c r="D380" s="20" t="str">
        <f>'Default Rankings Import 2020'!E379</f>
        <v>TB</v>
      </c>
      <c r="E380" s="21" t="str">
        <f>IF(LEFT('Default Rankings Import 2020'!F379,1)="D",LEFT('Default Rankings Import 2020'!F379,3),IF(LEFT('Default Rankings Import 2020'!F379,1)="K",LEFT('Default Rankings Import 2020'!F379,1),LEFT('Default Rankings Import 2020'!F379,2)))</f>
        <v>WR</v>
      </c>
    </row>
    <row r="381" spans="2:5" x14ac:dyDescent="0.35">
      <c r="B381" s="12">
        <f t="shared" si="16"/>
        <v>379</v>
      </c>
      <c r="C381" s="20" t="str">
        <f>'Default Rankings Import 2020'!D380</f>
        <v>Trey Quinn</v>
      </c>
      <c r="D381" s="20" t="str">
        <f>'Default Rankings Import 2020'!E380</f>
        <v>WAS</v>
      </c>
      <c r="E381" s="21" t="str">
        <f>IF(LEFT('Default Rankings Import 2020'!F380,1)="D",LEFT('Default Rankings Import 2020'!F380,3),IF(LEFT('Default Rankings Import 2020'!F380,1)="K",LEFT('Default Rankings Import 2020'!F380,1),LEFT('Default Rankings Import 2020'!F380,2)))</f>
        <v>WR</v>
      </c>
    </row>
    <row r="382" spans="2:5" x14ac:dyDescent="0.35">
      <c r="B382" s="12">
        <f t="shared" si="16"/>
        <v>380</v>
      </c>
      <c r="C382" s="20" t="str">
        <f>'Default Rankings Import 2020'!D381</f>
        <v>Dare Ogunbowale</v>
      </c>
      <c r="D382" s="20" t="str">
        <f>'Default Rankings Import 2020'!E381</f>
        <v>TB</v>
      </c>
      <c r="E382" s="21" t="str">
        <f>IF(LEFT('Default Rankings Import 2020'!F381,1)="D",LEFT('Default Rankings Import 2020'!F381,3),IF(LEFT('Default Rankings Import 2020'!F381,1)="K",LEFT('Default Rankings Import 2020'!F381,1),LEFT('Default Rankings Import 2020'!F381,2)))</f>
        <v>RB</v>
      </c>
    </row>
    <row r="383" spans="2:5" x14ac:dyDescent="0.35">
      <c r="B383" s="12">
        <f t="shared" si="16"/>
        <v>381</v>
      </c>
      <c r="C383" s="20" t="str">
        <f>'Default Rankings Import 2020'!D382</f>
        <v>Reggie Bonnafon</v>
      </c>
      <c r="D383" s="20" t="str">
        <f>'Default Rankings Import 2020'!E382</f>
        <v>CAR</v>
      </c>
      <c r="E383" s="21" t="str">
        <f>IF(LEFT('Default Rankings Import 2020'!F382,1)="D",LEFT('Default Rankings Import 2020'!F382,3),IF(LEFT('Default Rankings Import 2020'!F382,1)="K",LEFT('Default Rankings Import 2020'!F382,1),LEFT('Default Rankings Import 2020'!F382,2)))</f>
        <v>RB</v>
      </c>
    </row>
    <row r="384" spans="2:5" x14ac:dyDescent="0.35">
      <c r="B384" s="12">
        <f t="shared" si="16"/>
        <v>382</v>
      </c>
      <c r="C384" s="20" t="str">
        <f>'Default Rankings Import 2020'!D383</f>
        <v>Jake Kumerow</v>
      </c>
      <c r="D384" s="20" t="str">
        <f>'Default Rankings Import 2020'!E383</f>
        <v>GB</v>
      </c>
      <c r="E384" s="21" t="str">
        <f>IF(LEFT('Default Rankings Import 2020'!F383,1)="D",LEFT('Default Rankings Import 2020'!F383,3),IF(LEFT('Default Rankings Import 2020'!F383,1)="K",LEFT('Default Rankings Import 2020'!F383,1),LEFT('Default Rankings Import 2020'!F383,2)))</f>
        <v>WR</v>
      </c>
    </row>
    <row r="385" spans="2:5" x14ac:dyDescent="0.35">
      <c r="B385" s="12">
        <f t="shared" si="16"/>
        <v>383</v>
      </c>
      <c r="C385" s="20" t="str">
        <f>'Default Rankings Import 2020'!D384</f>
        <v>Patrick Laird</v>
      </c>
      <c r="D385" s="20" t="str">
        <f>'Default Rankings Import 2020'!E384</f>
        <v>MIA</v>
      </c>
      <c r="E385" s="21" t="str">
        <f>IF(LEFT('Default Rankings Import 2020'!F384,1)="D",LEFT('Default Rankings Import 2020'!F384,3),IF(LEFT('Default Rankings Import 2020'!F384,1)="K",LEFT('Default Rankings Import 2020'!F384,1),LEFT('Default Rankings Import 2020'!F384,2)))</f>
        <v>RB</v>
      </c>
    </row>
    <row r="386" spans="2:5" x14ac:dyDescent="0.35">
      <c r="B386" s="12">
        <f t="shared" si="16"/>
        <v>384</v>
      </c>
      <c r="C386" s="20" t="str">
        <f>'Default Rankings Import 2020'!D385</f>
        <v>Kahale Warring</v>
      </c>
      <c r="D386" s="20" t="str">
        <f>'Default Rankings Import 2020'!E385</f>
        <v>HOU</v>
      </c>
      <c r="E386" s="21" t="str">
        <f>IF(LEFT('Default Rankings Import 2020'!F385,1)="D",LEFT('Default Rankings Import 2020'!F385,3),IF(LEFT('Default Rankings Import 2020'!F385,1)="K",LEFT('Default Rankings Import 2020'!F385,1),LEFT('Default Rankings Import 2020'!F385,2)))</f>
        <v>TE</v>
      </c>
    </row>
    <row r="387" spans="2:5" x14ac:dyDescent="0.35">
      <c r="B387" s="12">
        <f t="shared" si="16"/>
        <v>385</v>
      </c>
      <c r="C387" s="20" t="str">
        <f>'Default Rankings Import 2020'!D386</f>
        <v>Jason Witten</v>
      </c>
      <c r="D387" s="20" t="str">
        <f>'Default Rankings Import 2020'!E386</f>
        <v>LV</v>
      </c>
      <c r="E387" s="21" t="str">
        <f>IF(LEFT('Default Rankings Import 2020'!F386,1)="D",LEFT('Default Rankings Import 2020'!F386,3),IF(LEFT('Default Rankings Import 2020'!F386,1)="K",LEFT('Default Rankings Import 2020'!F386,1),LEFT('Default Rankings Import 2020'!F386,2)))</f>
        <v>TE</v>
      </c>
    </row>
    <row r="388" spans="2:5" x14ac:dyDescent="0.35">
      <c r="B388" s="12">
        <f t="shared" si="16"/>
        <v>386</v>
      </c>
      <c r="C388" s="20" t="str">
        <f>'Default Rankings Import 2020'!D387</f>
        <v>Greg Joseph</v>
      </c>
      <c r="D388" s="20" t="str">
        <f>'Default Rankings Import 2020'!E387</f>
        <v>TEN</v>
      </c>
      <c r="E388" s="21" t="str">
        <f>IF(LEFT('Default Rankings Import 2020'!F387,1)="D",LEFT('Default Rankings Import 2020'!F387,3),IF(LEFT('Default Rankings Import 2020'!F387,1)="K",LEFT('Default Rankings Import 2020'!F387,1),LEFT('Default Rankings Import 2020'!F387,2)))</f>
        <v>K</v>
      </c>
    </row>
    <row r="389" spans="2:5" x14ac:dyDescent="0.35">
      <c r="B389" s="12">
        <f t="shared" ref="B389:B400" si="17">B388+1</f>
        <v>387</v>
      </c>
      <c r="C389" s="20" t="str">
        <f>'Default Rankings Import 2020'!D388</f>
        <v>Stephen Hauschka</v>
      </c>
      <c r="D389" s="20" t="str">
        <f>'Default Rankings Import 2020'!E388</f>
        <v>BUF</v>
      </c>
      <c r="E389" s="21" t="str">
        <f>IF(LEFT('Default Rankings Import 2020'!F388,1)="D",LEFT('Default Rankings Import 2020'!F388,3),IF(LEFT('Default Rankings Import 2020'!F388,1)="K",LEFT('Default Rankings Import 2020'!F388,1),LEFT('Default Rankings Import 2020'!F388,2)))</f>
        <v>K</v>
      </c>
    </row>
    <row r="390" spans="2:5" x14ac:dyDescent="0.35">
      <c r="B390" s="12">
        <f t="shared" si="17"/>
        <v>388</v>
      </c>
      <c r="C390" s="20" t="str">
        <f>'Default Rankings Import 2020'!D389</f>
        <v>Hakeem Butler</v>
      </c>
      <c r="D390" s="20" t="str">
        <f>'Default Rankings Import 2020'!E389</f>
        <v>ARI</v>
      </c>
      <c r="E390" s="21" t="str">
        <f>IF(LEFT('Default Rankings Import 2020'!F389,1)="D",LEFT('Default Rankings Import 2020'!F389,3),IF(LEFT('Default Rankings Import 2020'!F389,1)="K",LEFT('Default Rankings Import 2020'!F389,1),LEFT('Default Rankings Import 2020'!F389,2)))</f>
        <v>WR</v>
      </c>
    </row>
    <row r="391" spans="2:5" x14ac:dyDescent="0.35">
      <c r="B391" s="12">
        <f t="shared" si="17"/>
        <v>389</v>
      </c>
      <c r="C391" s="20" t="str">
        <f>'Default Rankings Import 2020'!D390</f>
        <v>Kalif Raymond</v>
      </c>
      <c r="D391" s="20" t="str">
        <f>'Default Rankings Import 2020'!E390</f>
        <v>TEN</v>
      </c>
      <c r="E391" s="21" t="str">
        <f>IF(LEFT('Default Rankings Import 2020'!F390,1)="D",LEFT('Default Rankings Import 2020'!F390,3),IF(LEFT('Default Rankings Import 2020'!F390,1)="K",LEFT('Default Rankings Import 2020'!F390,1),LEFT('Default Rankings Import 2020'!F390,2)))</f>
        <v>WR</v>
      </c>
    </row>
    <row r="392" spans="2:5" x14ac:dyDescent="0.35">
      <c r="B392" s="12">
        <f t="shared" si="17"/>
        <v>390</v>
      </c>
      <c r="C392" s="20" t="str">
        <f>'Default Rankings Import 2020'!D391</f>
        <v>Devonta Freeman</v>
      </c>
      <c r="D392" s="20" t="str">
        <f>'Default Rankings Import 2020'!E391</f>
        <v>FA</v>
      </c>
      <c r="E392" s="21" t="str">
        <f>IF(LEFT('Default Rankings Import 2020'!F391,1)="D",LEFT('Default Rankings Import 2020'!F391,3),IF(LEFT('Default Rankings Import 2020'!F391,1)="K",LEFT('Default Rankings Import 2020'!F391,1),LEFT('Default Rankings Import 2020'!F391,2)))</f>
        <v>RB</v>
      </c>
    </row>
    <row r="393" spans="2:5" x14ac:dyDescent="0.35">
      <c r="B393" s="12">
        <f t="shared" si="17"/>
        <v>391</v>
      </c>
      <c r="C393" s="20" t="str">
        <f>'Default Rankings Import 2020'!D392</f>
        <v>Brett Maher</v>
      </c>
      <c r="D393" s="20" t="str">
        <f>'Default Rankings Import 2020'!E392</f>
        <v>NYJ</v>
      </c>
      <c r="E393" s="21" t="str">
        <f>IF(LEFT('Default Rankings Import 2020'!F392,1)="D",LEFT('Default Rankings Import 2020'!F392,3),IF(LEFT('Default Rankings Import 2020'!F392,1)="K",LEFT('Default Rankings Import 2020'!F392,1),LEFT('Default Rankings Import 2020'!F392,2)))</f>
        <v>K</v>
      </c>
    </row>
    <row r="394" spans="2:5" x14ac:dyDescent="0.35">
      <c r="B394" s="12">
        <f t="shared" si="17"/>
        <v>392</v>
      </c>
      <c r="C394" s="20" t="str">
        <f>'Default Rankings Import 2020'!D393</f>
        <v>Aldrick Rosas</v>
      </c>
      <c r="D394" s="20" t="str">
        <f>'Default Rankings Import 2020'!E393</f>
        <v>FA</v>
      </c>
      <c r="E394" s="21" t="str">
        <f>IF(LEFT('Default Rankings Import 2020'!F393,1)="D",LEFT('Default Rankings Import 2020'!F393,3),IF(LEFT('Default Rankings Import 2020'!F393,1)="K",LEFT('Default Rankings Import 2020'!F393,1),LEFT('Default Rankings Import 2020'!F393,2)))</f>
        <v>K</v>
      </c>
    </row>
    <row r="395" spans="2:5" x14ac:dyDescent="0.35">
      <c r="B395" s="12">
        <f t="shared" si="17"/>
        <v>393</v>
      </c>
      <c r="C395" s="20" t="str">
        <f>'Default Rankings Import 2020'!D394</f>
        <v>Auden Tate</v>
      </c>
      <c r="D395" s="20" t="str">
        <f>'Default Rankings Import 2020'!E394</f>
        <v>CIN</v>
      </c>
      <c r="E395" s="21" t="str">
        <f>IF(LEFT('Default Rankings Import 2020'!F394,1)="D",LEFT('Default Rankings Import 2020'!F394,3),IF(LEFT('Default Rankings Import 2020'!F394,1)="K",LEFT('Default Rankings Import 2020'!F394,1),LEFT('Default Rankings Import 2020'!F394,2)))</f>
        <v>WR</v>
      </c>
    </row>
    <row r="396" spans="2:5" x14ac:dyDescent="0.35">
      <c r="B396" s="12">
        <f t="shared" si="17"/>
        <v>394</v>
      </c>
      <c r="C396" s="20" t="str">
        <f>'Default Rankings Import 2020'!D395</f>
        <v>Qadree Ollison</v>
      </c>
      <c r="D396" s="20" t="str">
        <f>'Default Rankings Import 2020'!E395</f>
        <v>ATL</v>
      </c>
      <c r="E396" s="21" t="str">
        <f>IF(LEFT('Default Rankings Import 2020'!F395,1)="D",LEFT('Default Rankings Import 2020'!F395,3),IF(LEFT('Default Rankings Import 2020'!F395,1)="K",LEFT('Default Rankings Import 2020'!F395,1),LEFT('Default Rankings Import 2020'!F395,2)))</f>
        <v>RB</v>
      </c>
    </row>
    <row r="397" spans="2:5" x14ac:dyDescent="0.35">
      <c r="B397" s="12">
        <f t="shared" si="17"/>
        <v>395</v>
      </c>
      <c r="C397" s="20" t="str">
        <f>'Default Rankings Import 2020'!D396</f>
        <v>T.J. Yeldon</v>
      </c>
      <c r="D397" s="20" t="str">
        <f>'Default Rankings Import 2020'!E396</f>
        <v>BUF</v>
      </c>
      <c r="E397" s="21" t="str">
        <f>IF(LEFT('Default Rankings Import 2020'!F396,1)="D",LEFT('Default Rankings Import 2020'!F396,3),IF(LEFT('Default Rankings Import 2020'!F396,1)="K",LEFT('Default Rankings Import 2020'!F396,1),LEFT('Default Rankings Import 2020'!F396,2)))</f>
        <v>RB</v>
      </c>
    </row>
    <row r="398" spans="2:5" x14ac:dyDescent="0.35">
      <c r="B398" s="12">
        <f t="shared" si="17"/>
        <v>396</v>
      </c>
      <c r="C398" s="20" t="str">
        <f>'Default Rankings Import 2020'!D397</f>
        <v>Travis Homer</v>
      </c>
      <c r="D398" s="20" t="str">
        <f>'Default Rankings Import 2020'!E397</f>
        <v>SEA</v>
      </c>
      <c r="E398" s="21" t="str">
        <f>IF(LEFT('Default Rankings Import 2020'!F397,1)="D",LEFT('Default Rankings Import 2020'!F397,3),IF(LEFT('Default Rankings Import 2020'!F397,1)="K",LEFT('Default Rankings Import 2020'!F397,1),LEFT('Default Rankings Import 2020'!F397,2)))</f>
        <v>RB</v>
      </c>
    </row>
    <row r="399" spans="2:5" x14ac:dyDescent="0.35">
      <c r="B399" s="12">
        <f t="shared" si="17"/>
        <v>397</v>
      </c>
      <c r="C399" s="20" t="str">
        <f>'Default Rankings Import 2020'!D398</f>
        <v>Jacob Hollister</v>
      </c>
      <c r="D399" s="20" t="str">
        <f>'Default Rankings Import 2020'!E398</f>
        <v>SEA</v>
      </c>
      <c r="E399" s="21" t="str">
        <f>IF(LEFT('Default Rankings Import 2020'!F398,1)="D",LEFT('Default Rankings Import 2020'!F398,3),IF(LEFT('Default Rankings Import 2020'!F398,1)="K",LEFT('Default Rankings Import 2020'!F398,1),LEFT('Default Rankings Import 2020'!F398,2)))</f>
        <v>TE</v>
      </c>
    </row>
    <row r="400" spans="2:5" ht="15" thickBot="1" x14ac:dyDescent="0.4">
      <c r="B400" s="13">
        <f t="shared" si="17"/>
        <v>398</v>
      </c>
      <c r="C400" s="20" t="str">
        <f>'Default Rankings Import 2020'!D399</f>
        <v>Arizona (ARI)</v>
      </c>
      <c r="D400" s="20" t="str">
        <f>'Default Rankings Import 2020'!E399</f>
        <v/>
      </c>
      <c r="E400" s="21" t="str">
        <f>IF(LEFT('Default Rankings Import 2020'!F399,1)="D",LEFT('Default Rankings Import 2020'!F399,3),IF(LEFT('Default Rankings Import 2020'!F399,1)="K",LEFT('Default Rankings Import 2020'!F399,1),LEFT('Default Rankings Import 2020'!F399,2)))</f>
        <v>DST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456979-FFFA-42C6-A743-EC5D57DF394A}">
  <dimension ref="A1:AF72"/>
  <sheetViews>
    <sheetView workbookViewId="0">
      <selection activeCell="M3" sqref="M3"/>
    </sheetView>
  </sheetViews>
  <sheetFormatPr defaultRowHeight="14.5" x14ac:dyDescent="0.35"/>
  <cols>
    <col min="1" max="1" width="14.81640625" style="1" bestFit="1" customWidth="1"/>
    <col min="2" max="16384" width="8.7265625" style="1"/>
  </cols>
  <sheetData>
    <row r="1" spans="1:32" x14ac:dyDescent="0.35">
      <c r="A1" s="1" t="s">
        <v>1561</v>
      </c>
      <c r="B1" s="1" t="s">
        <v>3</v>
      </c>
      <c r="C1" s="1" t="s">
        <v>4</v>
      </c>
      <c r="D1" s="1" t="s">
        <v>5</v>
      </c>
      <c r="E1" s="1" t="s">
        <v>7</v>
      </c>
      <c r="F1" s="1" t="s">
        <v>8</v>
      </c>
      <c r="G1" s="1" t="s">
        <v>9</v>
      </c>
      <c r="J1" s="208" t="s">
        <v>1566</v>
      </c>
      <c r="K1" s="208"/>
      <c r="L1" s="208"/>
      <c r="M1" s="208"/>
      <c r="N1" s="208"/>
      <c r="O1" s="208"/>
      <c r="T1" s="1" t="s">
        <v>1563</v>
      </c>
      <c r="V1" s="208" t="s">
        <v>1567</v>
      </c>
      <c r="W1" s="208"/>
      <c r="X1" s="208"/>
      <c r="Y1" s="208"/>
    </row>
    <row r="2" spans="1:32" x14ac:dyDescent="0.35">
      <c r="A2" s="1">
        <f>('League Settings'!$I$2+1)/2</f>
        <v>4.5</v>
      </c>
      <c r="B2" s="207">
        <f>[1]QB!$AL$4*A2^5+[1]QB!$AM$4*A2^4+[1]QB!$AN$4*A2^3+[1]QB!$AO$4*A2^2+[1]QB!$AP$4*A2+[1]QB!$AQ$4</f>
        <v>318.36104580739823</v>
      </c>
      <c r="C2" s="1">
        <f>[1]RB!$AL$4*A2^5+[1]RB!$AM$4*A2^4+[1]RB!$AN$4*A2^3+[1]RB!$AO$4*A2^2+[1]RB!$AP$4*A2+[1]RB!$AQ$4</f>
        <v>329.01556859938074</v>
      </c>
      <c r="D2" s="1">
        <f>[1]WR!$AL$4*A2^5+[1]WR!$AM$4*A2^4+[1]WR!$AN$4*A2^3+[1]WR!$AO$4*A2^2+[1]WR!$AP$4*A2+[1]WR!$AQ$4</f>
        <v>303.33347936897809</v>
      </c>
      <c r="E2" s="1">
        <f>[1]TE!$AL$4*A2^5+[1]TE!$AM$4*A2^4+[1]TE!$AN$4*A2^3+[1]TE!$AO$4*A2^2+[1]TE!$AP$4*A2+[1]TE!$AQ$4</f>
        <v>218.09821242724445</v>
      </c>
      <c r="F2" s="1">
        <f>[1]DST!$R$4*A2^5+[1]DST!$S$4*A2^4+[1]DST!$T$4*A2^3+[1]DST!$U$4*A2^2+[1]DST!$V$4*A2+[1]DST!$W$4</f>
        <v>130.9981190795877</v>
      </c>
      <c r="G2" s="1">
        <f>[1]K!$AG$4*A2^5+[1]K!$AH$4*A2^4+[1]K!$AI$4*A2^3+[1]K!$AJ$4*A2^2+[1]K!$AK$4*A2+[1]K!$AL$4</f>
        <v>148.87116373470292</v>
      </c>
      <c r="J2" s="1" t="s">
        <v>3</v>
      </c>
      <c r="K2" s="1">
        <v>1</v>
      </c>
      <c r="L2" s="1">
        <v>2</v>
      </c>
      <c r="M2" s="1">
        <v>3</v>
      </c>
      <c r="N2" s="1">
        <v>4</v>
      </c>
      <c r="O2" s="1">
        <v>5</v>
      </c>
      <c r="P2" s="1">
        <v>6</v>
      </c>
      <c r="Q2" s="1">
        <v>7</v>
      </c>
      <c r="R2" s="1">
        <v>8</v>
      </c>
      <c r="S2" s="1">
        <v>9</v>
      </c>
      <c r="T2" s="1">
        <v>10</v>
      </c>
      <c r="V2" s="1" t="s">
        <v>3</v>
      </c>
      <c r="W2" s="1">
        <v>1</v>
      </c>
      <c r="X2" s="1">
        <v>2</v>
      </c>
      <c r="Y2" s="1">
        <v>3</v>
      </c>
      <c r="Z2" s="1">
        <v>4</v>
      </c>
      <c r="AA2" s="1">
        <v>5</v>
      </c>
      <c r="AB2" s="1">
        <v>6</v>
      </c>
      <c r="AC2" s="1">
        <v>7</v>
      </c>
      <c r="AD2" s="1">
        <v>8</v>
      </c>
      <c r="AE2" s="1">
        <v>9</v>
      </c>
      <c r="AF2" s="1">
        <v>10</v>
      </c>
    </row>
    <row r="3" spans="1:32" x14ac:dyDescent="0.35">
      <c r="A3" s="1">
        <f>A2+'League Settings'!$I$2</f>
        <v>12.5</v>
      </c>
      <c r="B3" s="207">
        <f>[1]QB!$AL$4*A3^5+[1]QB!$AM$4*A3^4+[1]QB!$AN$4*A3^3+[1]QB!$AO$4*A3^2+[1]QB!$AP$4*A3+[1]QB!$AQ$4</f>
        <v>278.65460673154371</v>
      </c>
      <c r="C3" s="1">
        <f>[1]RB!$AL$4*A3^5+[1]RB!$AM$4*A3^4+[1]RB!$AN$4*A3^3+[1]RB!$AO$4*A3^2+[1]RB!$AP$4*A3+[1]RB!$AQ$4</f>
        <v>241.2848905633509</v>
      </c>
      <c r="D3" s="1">
        <f>[1]WR!$AL$4*A3^5+[1]WR!$AM$4*A3^4+[1]WR!$AN$4*A3^3+[1]WR!$AO$4*A3^2+[1]WR!$AP$4*A3+[1]WR!$AQ$4</f>
        <v>254.31184131383148</v>
      </c>
      <c r="E3" s="1">
        <f>[1]TE!$AL$4*A3^5+[1]TE!$AM$4*A3^4+[1]TE!$AN$4*A3^3+[1]TE!$AO$4*A3^2+[1]TE!$AP$4*A3+[1]TE!$AQ$4</f>
        <v>149.46241825333277</v>
      </c>
      <c r="F3" s="1">
        <f>[1]DST!$R$4*A3^5+[1]DST!$S$4*A3^4+[1]DST!$T$4*A3^3+[1]DST!$U$4*A3^2+[1]DST!$V$4*A3+[1]DST!$W$4</f>
        <v>104.023582086262</v>
      </c>
      <c r="G3" s="1">
        <f>[1]K!$AG$4*A3^5+[1]K!$AH$4*A3^4+[1]K!$AI$4*A3^3+[1]K!$AJ$4*A3^2+[1]K!$AK$4*A3+[1]K!$AL$4</f>
        <v>129.42078242285282</v>
      </c>
      <c r="J3" s="1">
        <v>1</v>
      </c>
      <c r="K3" s="1" cm="1">
        <f t="array" ref="K3">IF($B$14&gt;=$J3,IF($B$14&gt;=K$2,_xlfn.NORM.DIST(INDEX($B$2:$B$11,$J3)-INDEX($B$2:$B$11,K$2),0,$B$13*SQRT(2),TRUE),1),0)</f>
        <v>0.5</v>
      </c>
      <c r="L3" s="1" cm="1">
        <f t="array" ref="L3">IF($B$14&gt;=$J3,IF($B$14&gt;=L$2,_xlfn.NORM.DIST(INDEX($B$2:$B$11,$J3)-INDEX($B$2:$B$11,L$2),0,$B$13*SQRT(2),TRUE),1),0)</f>
        <v>0.58068024342317637</v>
      </c>
      <c r="M3" s="1" cm="1">
        <f t="array" ref="M3">IF($B$14&gt;=$J3,IF($B$14&gt;=M$2,_xlfn.NORM.DIST(INDEX($B$2:$B$11,$J3)-INDEX($B$2:$B$11,M$2),0,$B$13*SQRT(2),TRUE),1),0)</f>
        <v>1</v>
      </c>
      <c r="N3" s="1" cm="1">
        <f t="array" ref="N3">IF($B$14&gt;=$J3,IF($B$14&gt;=N$2,_xlfn.NORM.DIST(INDEX($B$2:$B$11,$J3)-INDEX($B$2:$B$11,N$2),0,$B$13*SQRT(2),TRUE),1),0)</f>
        <v>1</v>
      </c>
      <c r="O3" s="1" cm="1">
        <f t="array" ref="O3">IF($B$14&gt;=$J3,IF($B$14&gt;=O$2,_xlfn.NORM.DIST(INDEX($B$2:$B$11,$J3)-INDEX($B$2:$B$11,O$2),0,$B$13*SQRT(2),TRUE),1),0)</f>
        <v>1</v>
      </c>
      <c r="P3" s="1" cm="1">
        <f t="array" ref="P3">IF($B$14&gt;=$J3,IF($B$14&gt;=P$2,_xlfn.NORM.DIST(INDEX($B$2:$B$11,$J3)-INDEX($B$2:$B$11,P$2),0,$B$13*SQRT(2),TRUE),1),0)</f>
        <v>1</v>
      </c>
      <c r="Q3" s="1" cm="1">
        <f t="array" ref="Q3">IF($B$14&gt;=$J3,IF($B$14&gt;=Q$2,_xlfn.NORM.DIST(INDEX($B$2:$B$11,$J3)-INDEX($B$2:$B$11,Q$2),0,$B$13*SQRT(2),TRUE),1),0)</f>
        <v>1</v>
      </c>
      <c r="R3" s="1" cm="1">
        <f t="array" ref="R3">IF($B$14&gt;=$J3,IF($B$14&gt;=R$2,_xlfn.NORM.DIST(INDEX($B$2:$B$11,$J3)-INDEX($B$2:$B$11,R$2),0,$B$13*SQRT(2),TRUE),1),0)</f>
        <v>1</v>
      </c>
      <c r="S3" s="1" cm="1">
        <f t="array" ref="S3">IF($B$14&gt;=$J3,IF($B$14&gt;=S$2,_xlfn.NORM.DIST(INDEX($B$2:$B$11,$J3)-INDEX($B$2:$B$11,S$2),0,$B$13*SQRT(2),TRUE),1),0)</f>
        <v>1</v>
      </c>
      <c r="T3" s="1" cm="1">
        <f t="array" ref="T3">IF($B$14&gt;=$J3,IF($B$14&gt;=T$2,_xlfn.NORM.DIST(INDEX($B$2:$B$11,$J3)-INDEX($B$2:$B$11,T$2),0,$B$13*SQRT(2),TRUE),1),0)</f>
        <v>1</v>
      </c>
      <c r="V3" s="1">
        <v>1</v>
      </c>
    </row>
    <row r="4" spans="1:32" x14ac:dyDescent="0.35">
      <c r="A4" s="1">
        <f>A3+'League Settings'!$I$2</f>
        <v>20.5</v>
      </c>
      <c r="B4" s="207">
        <f>[1]QB!$AL$4*A4^5+[1]QB!$AM$4*A4^4+[1]QB!$AN$4*A4^3+[1]QB!$AO$4*A4^2+[1]QB!$AP$4*A4+[1]QB!$AQ$4</f>
        <v>243.0616223271827</v>
      </c>
      <c r="C4" s="1">
        <f>[1]RB!$AL$4*A4^5+[1]RB!$AM$4*A4^4+[1]RB!$AN$4*A4^3+[1]RB!$AO$4*A4^2+[1]RB!$AP$4*A4+[1]RB!$AQ$4</f>
        <v>197.32588157116825</v>
      </c>
      <c r="D4" s="1">
        <f>[1]WR!$AL$4*A4^5+[1]WR!$AM$4*A4^4+[1]WR!$AN$4*A4^3+[1]WR!$AO$4*A4^2+[1]WR!$AP$4*A4+[1]WR!$AQ$4</f>
        <v>225.49929142046739</v>
      </c>
      <c r="E4" s="1">
        <f>[1]TE!$AL$4*A4^5+[1]TE!$AM$4*A4^4+[1]TE!$AN$4*A4^3+[1]TE!$AO$4*A4^2+[1]TE!$AP$4*A4+[1]TE!$AQ$4</f>
        <v>112.29839883758683</v>
      </c>
      <c r="F4" s="1">
        <f>[1]DST!$R$4*A4^5+[1]DST!$S$4*A4^4+[1]DST!$T$4*A4^3+[1]DST!$U$4*A4^2+[1]DST!$V$4*A4+[1]DST!$W$4</f>
        <v>87.440311141781109</v>
      </c>
      <c r="G4" s="1">
        <f>[1]K!$AG$4*A4^5+[1]K!$AH$4*A4^4+[1]K!$AI$4*A4^3+[1]K!$AJ$4*A4^2+[1]K!$AK$4*A4+[1]K!$AL$4</f>
        <v>108.87296976168236</v>
      </c>
      <c r="J4" s="1">
        <v>2</v>
      </c>
      <c r="K4" s="1" cm="1">
        <f t="array" ref="K4">IF($B$14&gt;=$J4,IF($B$14&gt;=K$2,_xlfn.NORM.DIST(INDEX($B$2:$B$11,$J4)-INDEX($B$2:$B$11,K$2),0,$B$13*SQRT(2),TRUE),1),0)</f>
        <v>0.41931975657682369</v>
      </c>
      <c r="L4" s="1" cm="1">
        <f t="array" ref="L4">IF($B$14&gt;=$J4,IF($B$14&gt;=L$2,_xlfn.NORM.DIST(INDEX($B$2:$B$11,$J4)-INDEX($B$2:$B$11,L$2),0,$B$13*SQRT(2),TRUE),1),0)</f>
        <v>0.5</v>
      </c>
      <c r="M4" s="1" cm="1">
        <f t="array" ref="M4">IF($B$14&gt;=$J4,IF($B$14&gt;=M$2,_xlfn.NORM.DIST(INDEX($B$2:$B$11,$J4)-INDEX($B$2:$B$11,M$2),0,$B$13*SQRT(2),TRUE),1),0)</f>
        <v>1</v>
      </c>
      <c r="N4" s="1" cm="1">
        <f t="array" ref="N4">IF($B$14&gt;=$J4,IF($B$14&gt;=N$2,_xlfn.NORM.DIST(INDEX($B$2:$B$11,$J4)-INDEX($B$2:$B$11,N$2),0,$B$13*SQRT(2),TRUE),1),0)</f>
        <v>1</v>
      </c>
      <c r="O4" s="1" cm="1">
        <f t="array" ref="O4">IF($B$14&gt;=$J4,IF($B$14&gt;=O$2,_xlfn.NORM.DIST(INDEX($B$2:$B$11,$J4)-INDEX($B$2:$B$11,O$2),0,$B$13*SQRT(2),TRUE),1),0)</f>
        <v>1</v>
      </c>
      <c r="P4" s="1" cm="1">
        <f t="array" ref="P4">IF($B$14&gt;=$J4,IF($B$14&gt;=P$2,_xlfn.NORM.DIST(INDEX($B$2:$B$11,$J4)-INDEX($B$2:$B$11,P$2),0,$B$13*SQRT(2),TRUE),1),0)</f>
        <v>1</v>
      </c>
      <c r="Q4" s="1" cm="1">
        <f t="array" ref="Q4">IF($B$14&gt;=$J4,IF($B$14&gt;=Q$2,_xlfn.NORM.DIST(INDEX($B$2:$B$11,$J4)-INDEX($B$2:$B$11,Q$2),0,$B$13*SQRT(2),TRUE),1),0)</f>
        <v>1</v>
      </c>
      <c r="R4" s="1" cm="1">
        <f t="array" ref="R4">IF($B$14&gt;=$J4,IF($B$14&gt;=R$2,_xlfn.NORM.DIST(INDEX($B$2:$B$11,$J4)-INDEX($B$2:$B$11,R$2),0,$B$13*SQRT(2),TRUE),1),0)</f>
        <v>1</v>
      </c>
      <c r="S4" s="1" cm="1">
        <f t="array" ref="S4">IF($B$14&gt;=$J4,IF($B$14&gt;=S$2,_xlfn.NORM.DIST(INDEX($B$2:$B$11,$J4)-INDEX($B$2:$B$11,S$2),0,$B$13*SQRT(2),TRUE),1),0)</f>
        <v>1</v>
      </c>
      <c r="T4" s="1" cm="1">
        <f t="array" ref="T4">IF($B$14&gt;=$J4,IF($B$14&gt;=T$2,_xlfn.NORM.DIST(INDEX($B$2:$B$11,$J4)-INDEX($B$2:$B$11,T$2),0,$B$13*SQRT(2),TRUE),1),0)</f>
        <v>1</v>
      </c>
      <c r="V4" s="1">
        <v>2</v>
      </c>
    </row>
    <row r="5" spans="1:32" x14ac:dyDescent="0.35">
      <c r="A5" s="1">
        <f>A4+'League Settings'!$I$2</f>
        <v>28.5</v>
      </c>
      <c r="B5" s="207">
        <f>[1]QB!$AL$4*A5^5+[1]QB!$AM$4*A5^4+[1]QB!$AN$4*A5^3+[1]QB!$AO$4*A5^2+[1]QB!$AP$4*A5+[1]QB!$AQ$4</f>
        <v>197.27913781525683</v>
      </c>
      <c r="C5" s="1">
        <f>[1]RB!$AL$4*A5^5+[1]RB!$AM$4*A5^4+[1]RB!$AN$4*A5^3+[1]RB!$AO$4*A5^2+[1]RB!$AP$4*A5+[1]RB!$AQ$4</f>
        <v>172.23527560987338</v>
      </c>
      <c r="D5" s="1">
        <f>[1]WR!$AL$4*A5^5+[1]WR!$AM$4*A5^4+[1]WR!$AN$4*A5^3+[1]WR!$AO$4*A5^2+[1]WR!$AP$4*A5+[1]WR!$AQ$4</f>
        <v>206.06090514718497</v>
      </c>
      <c r="E5" s="1">
        <f>[1]TE!$AL$4*A5^5+[1]TE!$AM$4*A5^4+[1]TE!$AN$4*A5^3+[1]TE!$AO$4*A5^2+[1]TE!$AP$4*A5+[1]TE!$AQ$4</f>
        <v>84.32766500660972</v>
      </c>
      <c r="F5" s="1">
        <f>[1]DST!$R$4*A5^5+[1]DST!$S$4*A5^4+[1]DST!$T$4*A5^3+[1]DST!$U$4*A5^2+[1]DST!$V$4*A5+[1]DST!$W$4</f>
        <v>75.592562683237333</v>
      </c>
      <c r="G5" s="1">
        <f>[1]K!$AG$4*A5^5+[1]K!$AH$4*A5^4+[1]K!$AI$4*A5^3+[1]K!$AJ$4*A5^2+[1]K!$AK$4*A5+[1]K!$AL$4</f>
        <v>87.884707076716978</v>
      </c>
      <c r="J5" s="1">
        <v>3</v>
      </c>
      <c r="K5" s="1" cm="1">
        <f t="array" ref="K5">IF($B$14&gt;=$J5,IF($B$14&gt;=K$2,_xlfn.NORM.DIST(INDEX($B$2:$B$11,$J5)-INDEX($B$2:$B$11,K$2),0,$B$13*SQRT(2),TRUE),1),0)</f>
        <v>0</v>
      </c>
      <c r="L5" s="1" cm="1">
        <f t="array" ref="L5">IF($B$14&gt;=$J5,IF($B$14&gt;=L$2,_xlfn.NORM.DIST(INDEX($B$2:$B$11,$J5)-INDEX($B$2:$B$11,L$2),0,$B$13*SQRT(2),TRUE),1),0)</f>
        <v>0</v>
      </c>
      <c r="M5" s="1" cm="1">
        <f t="array" ref="M5">IF($B$14&gt;=$J5,IF($B$14&gt;=M$2,_xlfn.NORM.DIST(INDEX($B$2:$B$11,$J5)-INDEX($B$2:$B$11,M$2),0,$B$13*SQRT(2),TRUE),1),0)</f>
        <v>0</v>
      </c>
      <c r="N5" s="1" cm="1">
        <f t="array" ref="N5">IF($B$14&gt;=$J5,IF($B$14&gt;=N$2,_xlfn.NORM.DIST(INDEX($B$2:$B$11,$J5)-INDEX($B$2:$B$11,N$2),0,$B$13*SQRT(2),TRUE),1),0)</f>
        <v>0</v>
      </c>
      <c r="O5" s="1" cm="1">
        <f t="array" ref="O5">IF($B$14&gt;=$J5,IF($B$14&gt;=O$2,_xlfn.NORM.DIST(INDEX($B$2:$B$11,$J5)-INDEX($B$2:$B$11,O$2),0,$B$13*SQRT(2),TRUE),1),0)</f>
        <v>0</v>
      </c>
      <c r="P5" s="1" cm="1">
        <f t="array" ref="P5">IF($B$14&gt;=$J5,IF($B$14&gt;=P$2,_xlfn.NORM.DIST(INDEX($B$2:$B$11,$J5)-INDEX($B$2:$B$11,P$2),0,$B$13*SQRT(2),TRUE),1),0)</f>
        <v>0</v>
      </c>
      <c r="Q5" s="1" cm="1">
        <f t="array" ref="Q5">IF($B$14&gt;=$J5,IF($B$14&gt;=Q$2,_xlfn.NORM.DIST(INDEX($B$2:$B$11,$J5)-INDEX($B$2:$B$11,Q$2),0,$B$13*SQRT(2),TRUE),1),0)</f>
        <v>0</v>
      </c>
      <c r="R5" s="1" cm="1">
        <f t="array" ref="R5">IF($B$14&gt;=$J5,IF($B$14&gt;=R$2,_xlfn.NORM.DIST(INDEX($B$2:$B$11,$J5)-INDEX($B$2:$B$11,R$2),0,$B$13*SQRT(2),TRUE),1),0)</f>
        <v>0</v>
      </c>
      <c r="S5" s="1" cm="1">
        <f t="array" ref="S5">IF($B$14&gt;=$J5,IF($B$14&gt;=S$2,_xlfn.NORM.DIST(INDEX($B$2:$B$11,$J5)-INDEX($B$2:$B$11,S$2),0,$B$13*SQRT(2),TRUE),1),0)</f>
        <v>0</v>
      </c>
      <c r="T5" s="1" cm="1">
        <f t="array" ref="T5">IF($B$14&gt;=$J5,IF($B$14&gt;=T$2,_xlfn.NORM.DIST(INDEX($B$2:$B$11,$J5)-INDEX($B$2:$B$11,T$2),0,$B$13*SQRT(2),TRUE),1),0)</f>
        <v>0</v>
      </c>
      <c r="V5" s="1">
        <v>3</v>
      </c>
    </row>
    <row r="6" spans="1:32" x14ac:dyDescent="0.35">
      <c r="A6" s="1">
        <f>A5+'League Settings'!$I$2</f>
        <v>36.5</v>
      </c>
      <c r="B6" s="207">
        <f>[1]QB!$AL$4*A6^5+[1]QB!$AM$4*A6^4+[1]QB!$AN$4*A6^3+[1]QB!$AO$4*A6^2+[1]QB!$AP$4*A6+[1]QB!$AQ$4</f>
        <v>-100.53766033705062</v>
      </c>
      <c r="C6" s="1">
        <f>[1]RB!$AL$4*A6^5+[1]RB!$AM$4*A6^4+[1]RB!$AN$4*A6^3+[1]RB!$AO$4*A6^2+[1]RB!$AP$4*A6+[1]RB!$AQ$4</f>
        <v>152.24206559177958</v>
      </c>
      <c r="D6" s="1">
        <f>[1]WR!$AL$4*A6^5+[1]WR!$AM$4*A6^4+[1]WR!$AN$4*A6^3+[1]WR!$AO$4*A6^2+[1]WR!$AP$4*A6+[1]WR!$AQ$4</f>
        <v>189.60170702191559</v>
      </c>
      <c r="E6" s="1">
        <f>[1]TE!$AL$4*A6^5+[1]TE!$AM$4*A6^4+[1]TE!$AN$4*A6^3+[1]TE!$AO$4*A6^2+[1]TE!$AP$4*A6+[1]TE!$AQ$4</f>
        <v>43.577188541372664</v>
      </c>
      <c r="F6" s="1">
        <f>[1]DST!$R$4*A6^5+[1]DST!$S$4*A6^4+[1]DST!$T$4*A6^3+[1]DST!$U$4*A6^2+[1]DST!$V$4*A6+[1]DST!$W$4</f>
        <v>-0.74750456541906374</v>
      </c>
      <c r="G6" s="1">
        <f>[1]K!$AG$4*A6^5+[1]K!$AH$4*A6^4+[1]K!$AI$4*A6^3+[1]K!$AJ$4*A6^2+[1]K!$AK$4*A6+[1]K!$AL$4</f>
        <v>-44.586130612858454</v>
      </c>
      <c r="J6" s="1">
        <v>4</v>
      </c>
      <c r="K6" s="1" cm="1">
        <f t="array" ref="K6">IF($B$14&gt;=$J6,IF($B$14&gt;=K$2,_xlfn.NORM.DIST(INDEX($B$2:$B$11,$J6)-INDEX($B$2:$B$11,K$2),0,$B$13*SQRT(2),TRUE),1),0)</f>
        <v>0</v>
      </c>
      <c r="L6" s="1" cm="1">
        <f t="array" ref="L6">IF($B$14&gt;=$J6,IF($B$14&gt;=L$2,_xlfn.NORM.DIST(INDEX($B$2:$B$11,$J6)-INDEX($B$2:$B$11,L$2),0,$B$13*SQRT(2),TRUE),1),0)</f>
        <v>0</v>
      </c>
      <c r="M6" s="1" cm="1">
        <f t="array" ref="M6">IF($B$14&gt;=$J6,IF($B$14&gt;=M$2,_xlfn.NORM.DIST(INDEX($B$2:$B$11,$J6)-INDEX($B$2:$B$11,M$2),0,$B$13*SQRT(2),TRUE),1),0)</f>
        <v>0</v>
      </c>
      <c r="N6" s="1" cm="1">
        <f t="array" ref="N6">IF($B$14&gt;=$J6,IF($B$14&gt;=N$2,_xlfn.NORM.DIST(INDEX($B$2:$B$11,$J6)-INDEX($B$2:$B$11,N$2),0,$B$13*SQRT(2),TRUE),1),0)</f>
        <v>0</v>
      </c>
      <c r="O6" s="1" cm="1">
        <f t="array" ref="O6">IF($B$14&gt;=$J6,IF($B$14&gt;=O$2,_xlfn.NORM.DIST(INDEX($B$2:$B$11,$J6)-INDEX($B$2:$B$11,O$2),0,$B$13*SQRT(2),TRUE),1),0)</f>
        <v>0</v>
      </c>
      <c r="P6" s="1" cm="1">
        <f t="array" ref="P6">IF($B$14&gt;=$J6,IF($B$14&gt;=P$2,_xlfn.NORM.DIST(INDEX($B$2:$B$11,$J6)-INDEX($B$2:$B$11,P$2),0,$B$13*SQRT(2),TRUE),1),0)</f>
        <v>0</v>
      </c>
      <c r="Q6" s="1" cm="1">
        <f t="array" ref="Q6">IF($B$14&gt;=$J6,IF($B$14&gt;=Q$2,_xlfn.NORM.DIST(INDEX($B$2:$B$11,$J6)-INDEX($B$2:$B$11,Q$2),0,$B$13*SQRT(2),TRUE),1),0)</f>
        <v>0</v>
      </c>
      <c r="R6" s="1" cm="1">
        <f t="array" ref="R6">IF($B$14&gt;=$J6,IF($B$14&gt;=R$2,_xlfn.NORM.DIST(INDEX($B$2:$B$11,$J6)-INDEX($B$2:$B$11,R$2),0,$B$13*SQRT(2),TRUE),1),0)</f>
        <v>0</v>
      </c>
      <c r="S6" s="1" cm="1">
        <f t="array" ref="S6">IF($B$14&gt;=$J6,IF($B$14&gt;=S$2,_xlfn.NORM.DIST(INDEX($B$2:$B$11,$J6)-INDEX($B$2:$B$11,S$2),0,$B$13*SQRT(2),TRUE),1),0)</f>
        <v>0</v>
      </c>
      <c r="T6" s="1" cm="1">
        <f t="array" ref="T6">IF($B$14&gt;=$J6,IF($B$14&gt;=T$2,_xlfn.NORM.DIST(INDEX($B$2:$B$11,$J6)-INDEX($B$2:$B$11,T$2),0,$B$13*SQRT(2),TRUE),1),0)</f>
        <v>0</v>
      </c>
      <c r="V6" s="1">
        <v>4</v>
      </c>
    </row>
    <row r="7" spans="1:32" x14ac:dyDescent="0.35">
      <c r="A7" s="1">
        <f>A6+'League Settings'!$I$2</f>
        <v>44.5</v>
      </c>
      <c r="B7" s="207">
        <f>[1]QB!$AL$4*A7^5+[1]QB!$AM$4*A7^4+[1]QB!$AN$4*A7^3+[1]QB!$AO$4*A7^2+[1]QB!$AP$4*A7+[1]QB!$AQ$4</f>
        <v>-1615.4024642313316</v>
      </c>
      <c r="C7" s="1">
        <f>[1]RB!$AL$4*A7^5+[1]RB!$AM$4*A7^4+[1]RB!$AN$4*A7^3+[1]RB!$AO$4*A7^2+[1]RB!$AP$4*A7+[1]RB!$AQ$4</f>
        <v>131.78916405493578</v>
      </c>
      <c r="D7" s="1">
        <f>[1]WR!$AL$4*A7^5+[1]WR!$AM$4*A7^4+[1]WR!$AN$4*A7^3+[1]WR!$AO$4*A7^2+[1]WR!$AP$4*A7+[1]WR!$AQ$4</f>
        <v>173.13846144410263</v>
      </c>
      <c r="E7" s="1">
        <f>[1]TE!$AL$4*A7^5+[1]TE!$AM$4*A7^4+[1]TE!$AN$4*A7^3+[1]TE!$AO$4*A7^2+[1]TE!$AP$4*A7+[1]TE!$AQ$4</f>
        <v>-45.705675765733019</v>
      </c>
      <c r="F7" s="1">
        <f>[1]DST!$R$4*A7^5+[1]DST!$S$4*A7^4+[1]DST!$T$4*A7^3+[1]DST!$U$4*A7^2+[1]DST!$V$4*A7+[1]DST!$W$4</f>
        <v>-403.09553941772185</v>
      </c>
      <c r="G7" s="1">
        <f>[1]K!$AG$4*A7^5+[1]K!$AH$4*A7^4+[1]K!$AI$4*A7^3+[1]K!$AJ$4*A7^2+[1]K!$AK$4*A7+[1]K!$AL$4</f>
        <v>-767.37897298012399</v>
      </c>
      <c r="J7" s="1">
        <v>5</v>
      </c>
      <c r="K7" s="1" cm="1">
        <f t="array" ref="K7">IF($B$14&gt;=$J7,IF($B$14&gt;=K$2,_xlfn.NORM.DIST(INDEX($B$2:$B$11,$J7)-INDEX($B$2:$B$11,K$2),0,$B$13*SQRT(2),TRUE),1),0)</f>
        <v>0</v>
      </c>
      <c r="L7" s="1" cm="1">
        <f t="array" ref="L7">IF($B$14&gt;=$J7,IF($B$14&gt;=L$2,_xlfn.NORM.DIST(INDEX($B$2:$B$11,$J7)-INDEX($B$2:$B$11,L$2),0,$B$13*SQRT(2),TRUE),1),0)</f>
        <v>0</v>
      </c>
      <c r="M7" s="1" cm="1">
        <f t="array" ref="M7">IF($B$14&gt;=$J7,IF($B$14&gt;=M$2,_xlfn.NORM.DIST(INDEX($B$2:$B$11,$J7)-INDEX($B$2:$B$11,M$2),0,$B$13*SQRT(2),TRUE),1),0)</f>
        <v>0</v>
      </c>
      <c r="N7" s="1" cm="1">
        <f t="array" ref="N7">IF($B$14&gt;=$J7,IF($B$14&gt;=N$2,_xlfn.NORM.DIST(INDEX($B$2:$B$11,$J7)-INDEX($B$2:$B$11,N$2),0,$B$13*SQRT(2),TRUE),1),0)</f>
        <v>0</v>
      </c>
      <c r="O7" s="1" cm="1">
        <f t="array" ref="O7">IF($B$14&gt;=$J7,IF($B$14&gt;=O$2,_xlfn.NORM.DIST(INDEX($B$2:$B$11,$J7)-INDEX($B$2:$B$11,O$2),0,$B$13*SQRT(2),TRUE),1),0)</f>
        <v>0</v>
      </c>
      <c r="P7" s="1" cm="1">
        <f t="array" ref="P7">IF($B$14&gt;=$J7,IF($B$14&gt;=P$2,_xlfn.NORM.DIST(INDEX($B$2:$B$11,$J7)-INDEX($B$2:$B$11,P$2),0,$B$13*SQRT(2),TRUE),1),0)</f>
        <v>0</v>
      </c>
      <c r="Q7" s="1" cm="1">
        <f t="array" ref="Q7">IF($B$14&gt;=$J7,IF($B$14&gt;=Q$2,_xlfn.NORM.DIST(INDEX($B$2:$B$11,$J7)-INDEX($B$2:$B$11,Q$2),0,$B$13*SQRT(2),TRUE),1),0)</f>
        <v>0</v>
      </c>
      <c r="R7" s="1" cm="1">
        <f t="array" ref="R7">IF($B$14&gt;=$J7,IF($B$14&gt;=R$2,_xlfn.NORM.DIST(INDEX($B$2:$B$11,$J7)-INDEX($B$2:$B$11,R$2),0,$B$13*SQRT(2),TRUE),1),0)</f>
        <v>0</v>
      </c>
      <c r="S7" s="1" cm="1">
        <f t="array" ref="S7">IF($B$14&gt;=$J7,IF($B$14&gt;=S$2,_xlfn.NORM.DIST(INDEX($B$2:$B$11,$J7)-INDEX($B$2:$B$11,S$2),0,$B$13*SQRT(2),TRUE),1),0)</f>
        <v>0</v>
      </c>
      <c r="T7" s="1" cm="1">
        <f t="array" ref="T7">IF($B$14&gt;=$J7,IF($B$14&gt;=T$2,_xlfn.NORM.DIST(INDEX($B$2:$B$11,$J7)-INDEX($B$2:$B$11,T$2),0,$B$13*SQRT(2),TRUE),1),0)</f>
        <v>0</v>
      </c>
      <c r="V7" s="1">
        <v>5</v>
      </c>
    </row>
    <row r="8" spans="1:32" x14ac:dyDescent="0.35">
      <c r="A8" s="1">
        <f>A7+'League Settings'!$I$2</f>
        <v>52.5</v>
      </c>
      <c r="B8" s="207">
        <f>[1]QB!$AL$4*A8^5+[1]QB!$AM$4*A8^4+[1]QB!$AN$4*A8^3+[1]QB!$AO$4*A8^2+[1]QB!$AP$4*A8+[1]QB!$AQ$4</f>
        <v>-6531.1248643529889</v>
      </c>
      <c r="C8" s="1">
        <f>[1]RB!$AL$4*A8^5+[1]RB!$AM$4*A8^4+[1]RB!$AN$4*A8^3+[1]RB!$AO$4*A8^2+[1]RB!$AP$4*A8+[1]RB!$AQ$4</f>
        <v>110.61506386358769</v>
      </c>
      <c r="D8" s="1">
        <f>[1]WR!$AL$4*A8^5+[1]WR!$AM$4*A8^4+[1]WR!$AN$4*A8^3+[1]WR!$AO$4*A8^2+[1]WR!$AP$4*A8+[1]WR!$AQ$4</f>
        <v>156.07146348658188</v>
      </c>
      <c r="E8" s="1">
        <f>[1]TE!$AL$4*A8^5+[1]TE!$AM$4*A8^4+[1]TE!$AN$4*A8^3+[1]TE!$AO$4*A8^2+[1]TE!$AP$4*A8+[1]TE!$AQ$4</f>
        <v>-247.13826805384377</v>
      </c>
      <c r="F8" s="1">
        <f>[1]DST!$R$4*A8^5+[1]DST!$S$4*A8^4+[1]DST!$T$4*A8^3+[1]DST!$U$4*A8^2+[1]DST!$V$4*A8+[1]DST!$W$4</f>
        <v>-1713.9707080490243</v>
      </c>
      <c r="G8" s="1">
        <f>[1]K!$AG$4*A8^5+[1]K!$AH$4*A8^4+[1]K!$AI$4*A8^3+[1]K!$AJ$4*A8^2+[1]K!$AK$4*A8+[1]K!$AL$4</f>
        <v>-3183.2287527763287</v>
      </c>
      <c r="J8" s="1">
        <v>6</v>
      </c>
      <c r="K8" s="1" cm="1">
        <f t="array" ref="K8">IF($B$14&gt;=$J8,IF($B$14&gt;=K$2,_xlfn.NORM.DIST(INDEX($B$2:$B$11,$J8)-INDEX($B$2:$B$11,K$2),0,$B$13*SQRT(2),TRUE),1),0)</f>
        <v>0</v>
      </c>
      <c r="L8" s="1" cm="1">
        <f t="array" ref="L8">IF($B$14&gt;=$J8,IF($B$14&gt;=L$2,_xlfn.NORM.DIST(INDEX($B$2:$B$11,$J8)-INDEX($B$2:$B$11,L$2),0,$B$13*SQRT(2),TRUE),1),0)</f>
        <v>0</v>
      </c>
      <c r="M8" s="1" cm="1">
        <f t="array" ref="M8">IF($B$14&gt;=$J8,IF($B$14&gt;=M$2,_xlfn.NORM.DIST(INDEX($B$2:$B$11,$J8)-INDEX($B$2:$B$11,M$2),0,$B$13*SQRT(2),TRUE),1),0)</f>
        <v>0</v>
      </c>
      <c r="N8" s="1" cm="1">
        <f t="array" ref="N8">IF($B$14&gt;=$J8,IF($B$14&gt;=N$2,_xlfn.NORM.DIST(INDEX($B$2:$B$11,$J8)-INDEX($B$2:$B$11,N$2),0,$B$13*SQRT(2),TRUE),1),0)</f>
        <v>0</v>
      </c>
      <c r="O8" s="1" cm="1">
        <f t="array" ref="O8">IF($B$14&gt;=$J8,IF($B$14&gt;=O$2,_xlfn.NORM.DIST(INDEX($B$2:$B$11,$J8)-INDEX($B$2:$B$11,O$2),0,$B$13*SQRT(2),TRUE),1),0)</f>
        <v>0</v>
      </c>
      <c r="P8" s="1" cm="1">
        <f t="array" ref="P8">IF($B$14&gt;=$J8,IF($B$14&gt;=P$2,_xlfn.NORM.DIST(INDEX($B$2:$B$11,$J8)-INDEX($B$2:$B$11,P$2),0,$B$13*SQRT(2),TRUE),1),0)</f>
        <v>0</v>
      </c>
      <c r="Q8" s="1" cm="1">
        <f t="array" ref="Q8">IF($B$14&gt;=$J8,IF($B$14&gt;=Q$2,_xlfn.NORM.DIST(INDEX($B$2:$B$11,$J8)-INDEX($B$2:$B$11,Q$2),0,$B$13*SQRT(2),TRUE),1),0)</f>
        <v>0</v>
      </c>
      <c r="R8" s="1" cm="1">
        <f t="array" ref="R8">IF($B$14&gt;=$J8,IF($B$14&gt;=R$2,_xlfn.NORM.DIST(INDEX($B$2:$B$11,$J8)-INDEX($B$2:$B$11,R$2),0,$B$13*SQRT(2),TRUE),1),0)</f>
        <v>0</v>
      </c>
      <c r="S8" s="1" cm="1">
        <f t="array" ref="S8">IF($B$14&gt;=$J8,IF($B$14&gt;=S$2,_xlfn.NORM.DIST(INDEX($B$2:$B$11,$J8)-INDEX($B$2:$B$11,S$2),0,$B$13*SQRT(2),TRUE),1),0)</f>
        <v>0</v>
      </c>
      <c r="T8" s="1" cm="1">
        <f t="array" ref="T8">IF($B$14&gt;=$J8,IF($B$14&gt;=T$2,_xlfn.NORM.DIST(INDEX($B$2:$B$11,$J8)-INDEX($B$2:$B$11,T$2),0,$B$13*SQRT(2),TRUE),1),0)</f>
        <v>0</v>
      </c>
      <c r="V8" s="1">
        <v>6</v>
      </c>
    </row>
    <row r="9" spans="1:32" x14ac:dyDescent="0.35">
      <c r="A9" s="1">
        <f>A8+'League Settings'!$I$2</f>
        <v>60.5</v>
      </c>
      <c r="B9" s="207">
        <f>[1]QB!$AL$4*A9^5+[1]QB!$AM$4*A9^4+[1]QB!$AN$4*A9^3+[1]QB!$AO$4*A9^2+[1]QB!$AP$4*A9+[1]QB!$AQ$4</f>
        <v>-18745.937369386236</v>
      </c>
      <c r="C9" s="1">
        <f>[1]RB!$AL$4*A9^5+[1]RB!$AM$4*A9^4+[1]RB!$AN$4*A9^3+[1]RB!$AO$4*A9^2+[1]RB!$AP$4*A9+[1]RB!$AQ$4</f>
        <v>90.835498908644468</v>
      </c>
      <c r="D9" s="1">
        <f>[1]WR!$AL$4*A9^5+[1]WR!$AM$4*A9^4+[1]WR!$AN$4*A9^3+[1]WR!$AO$4*A9^2+[1]WR!$AP$4*A9+[1]WR!$AQ$4</f>
        <v>139.15632969746019</v>
      </c>
      <c r="E9" s="1">
        <f>[1]TE!$AL$4*A9^5+[1]TE!$AM$4*A9^4+[1]TE!$AN$4*A9^3+[1]TE!$AO$4*A9^2+[1]TE!$AP$4*A9+[1]TE!$AQ$4</f>
        <v>-666.28770133657099</v>
      </c>
      <c r="F9" s="1">
        <f>[1]DST!$R$4*A9^5+[1]DST!$S$4*A9^4+[1]DST!$T$4*A9^3+[1]DST!$U$4*A9^2+[1]DST!$V$4*A9+[1]DST!$W$4</f>
        <v>-4965.611403820847</v>
      </c>
      <c r="G9" s="1">
        <f>[1]K!$AG$4*A9^5+[1]K!$AH$4*A9^4+[1]K!$AI$4*A9^3+[1]K!$AJ$4*A9^2+[1]K!$AK$4*A9+[1]K!$AL$4</f>
        <v>-9274.864104216831</v>
      </c>
      <c r="J9" s="1">
        <v>7</v>
      </c>
      <c r="K9" s="1" cm="1">
        <f t="array" ref="K9">IF($B$14&gt;=$J9,IF($B$14&gt;=K$2,_xlfn.NORM.DIST(INDEX($B$2:$B$11,$J9)-INDEX($B$2:$B$11,K$2),0,$B$13*SQRT(2),TRUE),1),0)</f>
        <v>0</v>
      </c>
      <c r="L9" s="1" cm="1">
        <f t="array" ref="L9">IF($B$14&gt;=$J9,IF($B$14&gt;=L$2,_xlfn.NORM.DIST(INDEX($B$2:$B$11,$J9)-INDEX($B$2:$B$11,L$2),0,$B$13*SQRT(2),TRUE),1),0)</f>
        <v>0</v>
      </c>
      <c r="M9" s="1" cm="1">
        <f t="array" ref="M9">IF($B$14&gt;=$J9,IF($B$14&gt;=M$2,_xlfn.NORM.DIST(INDEX($B$2:$B$11,$J9)-INDEX($B$2:$B$11,M$2),0,$B$13*SQRT(2),TRUE),1),0)</f>
        <v>0</v>
      </c>
      <c r="N9" s="1" cm="1">
        <f t="array" ref="N9">IF($B$14&gt;=$J9,IF($B$14&gt;=N$2,_xlfn.NORM.DIST(INDEX($B$2:$B$11,$J9)-INDEX($B$2:$B$11,N$2),0,$B$13*SQRT(2),TRUE),1),0)</f>
        <v>0</v>
      </c>
      <c r="O9" s="1" cm="1">
        <f t="array" ref="O9">IF($B$14&gt;=$J9,IF($B$14&gt;=O$2,_xlfn.NORM.DIST(INDEX($B$2:$B$11,$J9)-INDEX($B$2:$B$11,O$2),0,$B$13*SQRT(2),TRUE),1),0)</f>
        <v>0</v>
      </c>
      <c r="P9" s="1" cm="1">
        <f t="array" ref="P9">IF($B$14&gt;=$J9,IF($B$14&gt;=P$2,_xlfn.NORM.DIST(INDEX($B$2:$B$11,$J9)-INDEX($B$2:$B$11,P$2),0,$B$13*SQRT(2),TRUE),1),0)</f>
        <v>0</v>
      </c>
      <c r="Q9" s="1" cm="1">
        <f t="array" ref="Q9">IF($B$14&gt;=$J9,IF($B$14&gt;=Q$2,_xlfn.NORM.DIST(INDEX($B$2:$B$11,$J9)-INDEX($B$2:$B$11,Q$2),0,$B$13*SQRT(2),TRUE),1),0)</f>
        <v>0</v>
      </c>
      <c r="R9" s="1" cm="1">
        <f t="array" ref="R9">IF($B$14&gt;=$J9,IF($B$14&gt;=R$2,_xlfn.NORM.DIST(INDEX($B$2:$B$11,$J9)-INDEX($B$2:$B$11,R$2),0,$B$13*SQRT(2),TRUE),1),0)</f>
        <v>0</v>
      </c>
      <c r="S9" s="1" cm="1">
        <f t="array" ref="S9">IF($B$14&gt;=$J9,IF($B$14&gt;=S$2,_xlfn.NORM.DIST(INDEX($B$2:$B$11,$J9)-INDEX($B$2:$B$11,S$2),0,$B$13*SQRT(2),TRUE),1),0)</f>
        <v>0</v>
      </c>
      <c r="T9" s="1" cm="1">
        <f t="array" ref="T9">IF($B$14&gt;=$J9,IF($B$14&gt;=T$2,_xlfn.NORM.DIST(INDEX($B$2:$B$11,$J9)-INDEX($B$2:$B$11,T$2),0,$B$13*SQRT(2),TRUE),1),0)</f>
        <v>0</v>
      </c>
      <c r="V9" s="1">
        <v>7</v>
      </c>
    </row>
    <row r="10" spans="1:32" x14ac:dyDescent="0.35">
      <c r="A10" s="1">
        <f>A9+'League Settings'!$I$2</f>
        <v>68.5</v>
      </c>
      <c r="B10" s="207">
        <f>[1]QB!$AL$4*A10^5+[1]QB!$AM$4*A10^4+[1]QB!$AN$4*A10^3+[1]QB!$AO$4*A10^2+[1]QB!$AP$4*A10+[1]QB!$AQ$4</f>
        <v>-44368.122426029098</v>
      </c>
      <c r="C10" s="1">
        <f>[1]RB!$AL$4*A10^5+[1]RB!$AM$4*A10^4+[1]RB!$AN$4*A10^3+[1]RB!$AO$4*A10^2+[1]RB!$AP$4*A10+[1]RB!$AQ$4</f>
        <v>74.025104808137485</v>
      </c>
      <c r="D10" s="1">
        <f>[1]WR!$AL$4*A10^5+[1]WR!$AM$4*A10^4+[1]WR!$AN$4*A10^3+[1]WR!$AO$4*A10^2+[1]WR!$AP$4*A10+[1]WR!$AQ$4</f>
        <v>123.47578890199617</v>
      </c>
      <c r="E10" s="1">
        <f>[1]TE!$AL$4*A10^5+[1]TE!$AM$4*A10^4+[1]TE!$AN$4*A10^3+[1]TE!$AO$4*A10^2+[1]TE!$AP$4*A10+[1]TE!$AQ$4</f>
        <v>-1464.7559394449506</v>
      </c>
      <c r="F10" s="1">
        <f>[1]DST!$R$4*A10^5+[1]DST!$S$4*A10^4+[1]DST!$T$4*A10^3+[1]DST!$U$4*A10^2+[1]DST!$V$4*A10+[1]DST!$W$4</f>
        <v>-11768.690957105197</v>
      </c>
      <c r="G10" s="1">
        <f>[1]K!$AG$4*A10^5+[1]K!$AH$4*A10^4+[1]K!$AI$4*A10^3+[1]K!$AJ$4*A10^2+[1]K!$AK$4*A10+[1]K!$AL$4</f>
        <v>-22161.105561366963</v>
      </c>
      <c r="J10" s="1">
        <v>8</v>
      </c>
      <c r="K10" s="1" cm="1">
        <f t="array" ref="K10">IF($B$14&gt;=$J10,IF($B$14&gt;=K$2,_xlfn.NORM.DIST(INDEX($B$2:$B$11,$J10)-INDEX($B$2:$B$11,K$2),0,$B$13*SQRT(2),TRUE),1),0)</f>
        <v>0</v>
      </c>
      <c r="L10" s="1" cm="1">
        <f t="array" ref="L10">IF($B$14&gt;=$J10,IF($B$14&gt;=L$2,_xlfn.NORM.DIST(INDEX($B$2:$B$11,$J10)-INDEX($B$2:$B$11,L$2),0,$B$13*SQRT(2),TRUE),1),0)</f>
        <v>0</v>
      </c>
      <c r="M10" s="1" cm="1">
        <f t="array" ref="M10">IF($B$14&gt;=$J10,IF($B$14&gt;=M$2,_xlfn.NORM.DIST(INDEX($B$2:$B$11,$J10)-INDEX($B$2:$B$11,M$2),0,$B$13*SQRT(2),TRUE),1),0)</f>
        <v>0</v>
      </c>
      <c r="N10" s="1" cm="1">
        <f t="array" ref="N10">IF($B$14&gt;=$J10,IF($B$14&gt;=N$2,_xlfn.NORM.DIST(INDEX($B$2:$B$11,$J10)-INDEX($B$2:$B$11,N$2),0,$B$13*SQRT(2),TRUE),1),0)</f>
        <v>0</v>
      </c>
      <c r="O10" s="1" cm="1">
        <f t="array" ref="O10">IF($B$14&gt;=$J10,IF($B$14&gt;=O$2,_xlfn.NORM.DIST(INDEX($B$2:$B$11,$J10)-INDEX($B$2:$B$11,O$2),0,$B$13*SQRT(2),TRUE),1),0)</f>
        <v>0</v>
      </c>
      <c r="P10" s="1" cm="1">
        <f t="array" ref="P10">IF($B$14&gt;=$J10,IF($B$14&gt;=P$2,_xlfn.NORM.DIST(INDEX($B$2:$B$11,$J10)-INDEX($B$2:$B$11,P$2),0,$B$13*SQRT(2),TRUE),1),0)</f>
        <v>0</v>
      </c>
      <c r="Q10" s="1" cm="1">
        <f t="array" ref="Q10">IF($B$14&gt;=$J10,IF($B$14&gt;=Q$2,_xlfn.NORM.DIST(INDEX($B$2:$B$11,$J10)-INDEX($B$2:$B$11,Q$2),0,$B$13*SQRT(2),TRUE),1),0)</f>
        <v>0</v>
      </c>
      <c r="R10" s="1" cm="1">
        <f t="array" ref="R10">IF($B$14&gt;=$J10,IF($B$14&gt;=R$2,_xlfn.NORM.DIST(INDEX($B$2:$B$11,$J10)-INDEX($B$2:$B$11,R$2),0,$B$13*SQRT(2),TRUE),1),0)</f>
        <v>0</v>
      </c>
      <c r="S10" s="1" cm="1">
        <f t="array" ref="S10">IF($B$14&gt;=$J10,IF($B$14&gt;=S$2,_xlfn.NORM.DIST(INDEX($B$2:$B$11,$J10)-INDEX($B$2:$B$11,S$2),0,$B$13*SQRT(2),TRUE),1),0)</f>
        <v>0</v>
      </c>
      <c r="T10" s="1" cm="1">
        <f t="array" ref="T10">IF($B$14&gt;=$J10,IF($B$14&gt;=T$2,_xlfn.NORM.DIST(INDEX($B$2:$B$11,$J10)-INDEX($B$2:$B$11,T$2),0,$B$13*SQRT(2),TRUE),1),0)</f>
        <v>0</v>
      </c>
      <c r="V10" s="1">
        <v>8</v>
      </c>
    </row>
    <row r="11" spans="1:32" x14ac:dyDescent="0.35">
      <c r="A11" s="1">
        <f>A10+'League Settings'!$I$2</f>
        <v>76.5</v>
      </c>
      <c r="B11" s="207">
        <f>[1]QB!$AL$4*A11^5+[1]QB!$AM$4*A11^4+[1]QB!$AN$4*A11^3+[1]QB!$AO$4*A11^2+[1]QB!$AP$4*A11+[1]QB!$AQ$4</f>
        <v>-92211.639438808532</v>
      </c>
      <c r="C11" s="1">
        <f>[1]RB!$AL$4*A11^5+[1]RB!$AM$4*A11^4+[1]RB!$AN$4*A11^3+[1]RB!$AO$4*A11^2+[1]RB!$AP$4*A11+[1]RB!$AQ$4</f>
        <v>58.299079607681733</v>
      </c>
      <c r="D11" s="1">
        <f>[1]WR!$AL$4*A11^5+[1]WR!$AM$4*A11^4+[1]WR!$AN$4*A11^3+[1]WR!$AO$4*A11^2+[1]WR!$AP$4*A11+[1]WR!$AQ$4</f>
        <v>109.41147300448057</v>
      </c>
      <c r="E11" s="1">
        <f>[1]TE!$AL$4*A11^5+[1]TE!$AM$4*A11^4+[1]TE!$AN$4*A11^3+[1]TE!$AO$4*A11^2+[1]TE!$AP$4*A11+[1]TE!$AQ$4</f>
        <v>-2874.2648749703867</v>
      </c>
      <c r="F11" s="1">
        <f>[1]DST!$R$4*A11^5+[1]DST!$S$4*A11^4+[1]DST!$T$4*A11^3+[1]DST!$U$4*A11^2+[1]DST!$V$4*A11+[1]DST!$W$4</f>
        <v>-24441.033345108957</v>
      </c>
      <c r="G11" s="1">
        <f>[1]K!$AG$4*A11^5+[1]K!$AH$4*A11^4+[1]K!$AI$4*A11^3+[1]K!$AJ$4*A11^2+[1]K!$AK$4*A11+[1]K!$AL$4</f>
        <v>-46352.963756528006</v>
      </c>
      <c r="J11" s="1">
        <v>9</v>
      </c>
      <c r="K11" s="1" cm="1">
        <f t="array" ref="K11">IF($B$14&gt;=$J11,IF($B$14&gt;=K$2,_xlfn.NORM.DIST(INDEX($B$2:$B$11,$J11)-INDEX($B$2:$B$11,K$2),0,$B$13*SQRT(2),TRUE),1),0)</f>
        <v>0</v>
      </c>
      <c r="L11" s="1" cm="1">
        <f t="array" ref="L11">IF($B$14&gt;=$J11,IF($B$14&gt;=L$2,_xlfn.NORM.DIST(INDEX($B$2:$B$11,$J11)-INDEX($B$2:$B$11,L$2),0,$B$13*SQRT(2),TRUE),1),0)</f>
        <v>0</v>
      </c>
      <c r="M11" s="1" cm="1">
        <f t="array" ref="M11">IF($B$14&gt;=$J11,IF($B$14&gt;=M$2,_xlfn.NORM.DIST(INDEX($B$2:$B$11,$J11)-INDEX($B$2:$B$11,M$2),0,$B$13*SQRT(2),TRUE),1),0)</f>
        <v>0</v>
      </c>
      <c r="N11" s="1" cm="1">
        <f t="array" ref="N11">IF($B$14&gt;=$J11,IF($B$14&gt;=N$2,_xlfn.NORM.DIST(INDEX($B$2:$B$11,$J11)-INDEX($B$2:$B$11,N$2),0,$B$13*SQRT(2),TRUE),1),0)</f>
        <v>0</v>
      </c>
      <c r="O11" s="1" cm="1">
        <f t="array" ref="O11">IF($B$14&gt;=$J11,IF($B$14&gt;=O$2,_xlfn.NORM.DIST(INDEX($B$2:$B$11,$J11)-INDEX($B$2:$B$11,O$2),0,$B$13*SQRT(2),TRUE),1),0)</f>
        <v>0</v>
      </c>
      <c r="P11" s="1" cm="1">
        <f t="array" ref="P11">IF($B$14&gt;=$J11,IF($B$14&gt;=P$2,_xlfn.NORM.DIST(INDEX($B$2:$B$11,$J11)-INDEX($B$2:$B$11,P$2),0,$B$13*SQRT(2),TRUE),1),0)</f>
        <v>0</v>
      </c>
      <c r="Q11" s="1" cm="1">
        <f t="array" ref="Q11">IF($B$14&gt;=$J11,IF($B$14&gt;=Q$2,_xlfn.NORM.DIST(INDEX($B$2:$B$11,$J11)-INDEX($B$2:$B$11,Q$2),0,$B$13*SQRT(2),TRUE),1),0)</f>
        <v>0</v>
      </c>
      <c r="R11" s="1" cm="1">
        <f t="array" ref="R11">IF($B$14&gt;=$J11,IF($B$14&gt;=R$2,_xlfn.NORM.DIST(INDEX($B$2:$B$11,$J11)-INDEX($B$2:$B$11,R$2),0,$B$13*SQRT(2),TRUE),1),0)</f>
        <v>0</v>
      </c>
      <c r="S11" s="1" cm="1">
        <f t="array" ref="S11">IF($B$14&gt;=$J11,IF($B$14&gt;=S$2,_xlfn.NORM.DIST(INDEX($B$2:$B$11,$J11)-INDEX($B$2:$B$11,S$2),0,$B$13*SQRT(2),TRUE),1),0)</f>
        <v>0</v>
      </c>
      <c r="T11" s="1" cm="1">
        <f t="array" ref="T11">IF($B$14&gt;=$J11,IF($B$14&gt;=T$2,_xlfn.NORM.DIST(INDEX($B$2:$B$11,$J11)-INDEX($B$2:$B$11,T$2),0,$B$13*SQRT(2),TRUE),1),0)</f>
        <v>0</v>
      </c>
      <c r="V11" s="1">
        <v>9</v>
      </c>
    </row>
    <row r="12" spans="1:32" x14ac:dyDescent="0.35">
      <c r="A12" s="1" t="s">
        <v>1564</v>
      </c>
      <c r="B12" s="1">
        <v>35.6</v>
      </c>
      <c r="C12" s="1">
        <v>18.100000000000001</v>
      </c>
      <c r="D12" s="1">
        <v>12.7</v>
      </c>
      <c r="E12" s="1">
        <v>11.2</v>
      </c>
      <c r="F12" s="1">
        <v>10.1</v>
      </c>
      <c r="G12" s="1">
        <v>11.1</v>
      </c>
      <c r="I12" s="1" t="s">
        <v>1562</v>
      </c>
      <c r="J12" s="1">
        <v>10</v>
      </c>
      <c r="K12" s="1" cm="1">
        <f t="array" ref="K12">IF($B$14&gt;=$J12,IF($B$14&gt;=K$2,_xlfn.NORM.DIST(INDEX($B$2:$B$11,$J12)-INDEX($B$2:$B$11,K$2),0,$B$13*SQRT(2),TRUE),1),0)</f>
        <v>0</v>
      </c>
      <c r="L12" s="1" cm="1">
        <f t="array" ref="L12">IF($B$14&gt;=$J12,IF($B$14&gt;=L$2,_xlfn.NORM.DIST(INDEX($B$2:$B$11,$J12)-INDEX($B$2:$B$11,L$2),0,$B$13*SQRT(2),TRUE),1),0)</f>
        <v>0</v>
      </c>
      <c r="M12" s="1" cm="1">
        <f t="array" ref="M12">IF($B$14&gt;=$J12,IF($B$14&gt;=M$2,_xlfn.NORM.DIST(INDEX($B$2:$B$11,$J12)-INDEX($B$2:$B$11,M$2),0,$B$13*SQRT(2),TRUE),1),0)</f>
        <v>0</v>
      </c>
      <c r="N12" s="1" cm="1">
        <f t="array" ref="N12">IF($B$14&gt;=$J12,IF($B$14&gt;=N$2,_xlfn.NORM.DIST(INDEX($B$2:$B$11,$J12)-INDEX($B$2:$B$11,N$2),0,$B$13*SQRT(2),TRUE),1),0)</f>
        <v>0</v>
      </c>
      <c r="O12" s="1" cm="1">
        <f t="array" ref="O12">IF($B$14&gt;=$J12,IF($B$14&gt;=O$2,_xlfn.NORM.DIST(INDEX($B$2:$B$11,$J12)-INDEX($B$2:$B$11,O$2),0,$B$13*SQRT(2),TRUE),1),0)</f>
        <v>0</v>
      </c>
      <c r="P12" s="1" cm="1">
        <f t="array" ref="P12">IF($B$14&gt;=$J12,IF($B$14&gt;=P$2,_xlfn.NORM.DIST(INDEX($B$2:$B$11,$J12)-INDEX($B$2:$B$11,P$2),0,$B$13*SQRT(2),TRUE),1),0)</f>
        <v>0</v>
      </c>
      <c r="Q12" s="1" cm="1">
        <f t="array" ref="Q12">IF($B$14&gt;=$J12,IF($B$14&gt;=Q$2,_xlfn.NORM.DIST(INDEX($B$2:$B$11,$J12)-INDEX($B$2:$B$11,Q$2),0,$B$13*SQRT(2),TRUE),1),0)</f>
        <v>0</v>
      </c>
      <c r="R12" s="1" cm="1">
        <f t="array" ref="R12">IF($B$14&gt;=$J12,IF($B$14&gt;=R$2,_xlfn.NORM.DIST(INDEX($B$2:$B$11,$J12)-INDEX($B$2:$B$11,R$2),0,$B$13*SQRT(2),TRUE),1),0)</f>
        <v>0</v>
      </c>
      <c r="S12" s="1" cm="1">
        <f t="array" ref="S12">IF($B$14&gt;=$J12,IF($B$14&gt;=S$2,_xlfn.NORM.DIST(INDEX($B$2:$B$11,$J12)-INDEX($B$2:$B$11,S$2),0,$B$13*SQRT(2),TRUE),1),0)</f>
        <v>0</v>
      </c>
      <c r="T12" s="1" cm="1">
        <f t="array" ref="T12">IF($B$14&gt;=$J12,IF($B$14&gt;=T$2,_xlfn.NORM.DIST(INDEX($B$2:$B$11,$J12)-INDEX($B$2:$B$11,T$2),0,$B$13*SQRT(2),TRUE),1),0)</f>
        <v>0</v>
      </c>
      <c r="V12" s="1">
        <v>10</v>
      </c>
    </row>
    <row r="13" spans="1:32" x14ac:dyDescent="0.35">
      <c r="A13" s="1" t="s">
        <v>1565</v>
      </c>
      <c r="B13" s="1">
        <f>B12*SQRT(15)</f>
        <v>137.87820712498404</v>
      </c>
      <c r="C13" s="1">
        <f t="shared" ref="C13:G13" si="0">C12*SQRT(15)</f>
        <v>70.100998566354249</v>
      </c>
      <c r="D13" s="1">
        <f t="shared" si="0"/>
        <v>49.186888496834193</v>
      </c>
      <c r="E13" s="1">
        <f t="shared" si="0"/>
        <v>43.377413477523071</v>
      </c>
      <c r="F13" s="1">
        <f t="shared" si="0"/>
        <v>39.117131796694913</v>
      </c>
      <c r="G13" s="1">
        <f t="shared" si="0"/>
        <v>42.990115142902326</v>
      </c>
    </row>
    <row r="14" spans="1:32" x14ac:dyDescent="0.35">
      <c r="A14" s="1" t="s">
        <v>1568</v>
      </c>
      <c r="B14" s="1">
        <f>'League Settings'!$F$4+_xlfn.CEILING.MATH('League Settings'!$F$4/SUM('League Settings'!$F$4:$F$8)*'League Settings'!$F$11)</f>
        <v>2</v>
      </c>
      <c r="C14" s="1">
        <f>'League Settings'!$F$5+'League Settings'!$F$8/2+_xlfn.CEILING.MATH(('League Settings'!$F$5+'League Settings'!$F$8/2)/SUM('League Settings'!$F$4:$F$8)*'League Settings'!$F$11)</f>
        <v>5.5</v>
      </c>
      <c r="D14" s="1">
        <f>'League Settings'!$F$6+'League Settings'!$F$8/2+_xlfn.CEILING.MATH(('League Settings'!$F$6+'League Settings'!$F$8/2)/SUM('League Settings'!$F$4:$F$8)*'League Settings'!$F$11)</f>
        <v>5.5</v>
      </c>
      <c r="E14" s="1">
        <f>'League Settings'!$F$7+_xlfn.CEILING.MATH('League Settings'!$F$7/SUM('League Settings'!$F$4:$F$8)*'League Settings'!$F$11)</f>
        <v>2</v>
      </c>
      <c r="F14" s="1">
        <f>'League Settings'!$F$8</f>
        <v>1</v>
      </c>
      <c r="G14" s="1">
        <f>'League Settings'!$F$9</f>
        <v>1</v>
      </c>
      <c r="J14" s="1" t="s">
        <v>4</v>
      </c>
      <c r="K14" s="1">
        <v>1</v>
      </c>
      <c r="L14" s="1">
        <v>2</v>
      </c>
      <c r="M14" s="1">
        <v>3</v>
      </c>
      <c r="N14" s="1">
        <v>4</v>
      </c>
      <c r="O14" s="1">
        <v>5</v>
      </c>
      <c r="P14" s="1">
        <v>6</v>
      </c>
      <c r="Q14" s="1">
        <v>7</v>
      </c>
      <c r="R14" s="1">
        <v>8</v>
      </c>
      <c r="S14" s="1">
        <v>9</v>
      </c>
      <c r="T14" s="1">
        <v>10</v>
      </c>
    </row>
    <row r="15" spans="1:32" x14ac:dyDescent="0.35">
      <c r="J15" s="1">
        <v>1</v>
      </c>
      <c r="K15" s="1" cm="1">
        <f t="array" ref="K15">IF($C$14&gt;=K$14,_xlfn.NORM.DIST(INDEX($C$2:$C$11,$J15)-INDEX($C$2:$C$11,K$14),0,$C$13*SQRT(2),TRUE),1)</f>
        <v>0.5</v>
      </c>
      <c r="L15" s="1" cm="1">
        <f t="array" ref="L15">IF($C$14&gt;=L$14,_xlfn.NORM.DIST(INDEX($C$2:$C$11,$J15)-INDEX($C$2:$C$11,L$14),0,$C$13*SQRT(2),TRUE),1)</f>
        <v>0.81190465603318385</v>
      </c>
      <c r="M15" s="1" cm="1">
        <f t="array" ref="M15">IF($C$14&gt;=M$14,_xlfn.NORM.DIST(INDEX($C$2:$C$11,$J15)-INDEX($C$2:$C$11,M$14),0,$C$13*SQRT(2),TRUE),1)</f>
        <v>0.90796876728889786</v>
      </c>
      <c r="N15" s="1" cm="1">
        <f t="array" ref="N15">IF($C$14&gt;=N$14,_xlfn.NORM.DIST(INDEX($C$2:$C$11,$J15)-INDEX($C$2:$C$11,N$14),0,$C$13*SQRT(2),TRUE),1)</f>
        <v>0.94311107902248514</v>
      </c>
      <c r="O15" s="1" cm="1">
        <f t="array" ref="O15">IF($C$14&gt;=O$14,_xlfn.NORM.DIST(INDEX($C$2:$C$11,$J15)-INDEX($C$2:$C$11,O$14),0,$C$13*SQRT(2),TRUE),1)</f>
        <v>0.9627157438384194</v>
      </c>
      <c r="P15" s="1" cm="1">
        <f t="array" ref="P15">IF($C$14&gt;=P$14,_xlfn.NORM.DIST(INDEX($C$2:$C$11,$J15)-INDEX($C$2:$C$11,P$14),0,$C$13*SQRT(2),TRUE),1)</f>
        <v>1</v>
      </c>
      <c r="Q15" s="1" cm="1">
        <f t="array" ref="Q15">IF($C$14&gt;=Q$14,_xlfn.NORM.DIST(INDEX($C$2:$C$11,$J15)-INDEX($C$2:$C$11,Q$14),0,$C$13*SQRT(2),TRUE),1)</f>
        <v>1</v>
      </c>
      <c r="R15" s="1" cm="1">
        <f t="array" ref="R15">IF($C$14&gt;=R$14,_xlfn.NORM.DIST(INDEX($C$2:$C$11,$J15)-INDEX($C$2:$C$11,R$14),0,$C$13*SQRT(2),TRUE),1)</f>
        <v>1</v>
      </c>
      <c r="S15" s="1" cm="1">
        <f t="array" ref="S15">IF($C$14&gt;=S$14,_xlfn.NORM.DIST(INDEX($C$2:$C$11,$J15)-INDEX($C$2:$C$11,S$14),0,$C$13*SQRT(2),TRUE),1)</f>
        <v>1</v>
      </c>
      <c r="T15" s="1" cm="1">
        <f t="array" ref="T15">IF($C$14&gt;=T$14,_xlfn.NORM.DIST(INDEX($C$2:$C$11,$J15)-INDEX($C$2:$C$11,T$14),0,$C$13*SQRT(2),TRUE),1)</f>
        <v>1</v>
      </c>
    </row>
    <row r="16" spans="1:32" x14ac:dyDescent="0.35">
      <c r="J16" s="1">
        <v>2</v>
      </c>
      <c r="K16" s="1" cm="1">
        <f t="array" ref="K16">IF($C$14&gt;=K$14,_xlfn.NORM.DIST(INDEX($C$2:$C$11,$J16)-INDEX($C$2:$C$11,K$14),0,$C$13*SQRT(2),TRUE),1)</f>
        <v>0.18809534396681615</v>
      </c>
      <c r="L16" s="1" cm="1">
        <f t="array" ref="L16">IF($C$14&gt;=L$14,_xlfn.NORM.DIST(INDEX($C$2:$C$11,$J16)-INDEX($C$2:$C$11,L$14),0,$C$13*SQRT(2),TRUE),1)</f>
        <v>0.5</v>
      </c>
      <c r="M16" s="1" cm="1">
        <f t="array" ref="M16">IF($C$14&gt;=M$14,_xlfn.NORM.DIST(INDEX($C$2:$C$11,$J16)-INDEX($C$2:$C$11,M$14),0,$C$13*SQRT(2),TRUE),1)</f>
        <v>0.67126658214728241</v>
      </c>
      <c r="N16" s="1" cm="1">
        <f t="array" ref="N16">IF($C$14&gt;=N$14,_xlfn.NORM.DIST(INDEX($C$2:$C$11,$J16)-INDEX($C$2:$C$11,N$14),0,$C$13*SQRT(2),TRUE),1)</f>
        <v>0.7569425923137576</v>
      </c>
      <c r="O16" s="1" cm="1">
        <f t="array" ref="O16">IF($C$14&gt;=O$14,_xlfn.NORM.DIST(INDEX($C$2:$C$11,$J16)-INDEX($C$2:$C$11,O$14),0,$C$13*SQRT(2),TRUE),1)</f>
        <v>0.81545318963682956</v>
      </c>
      <c r="P16" s="1" cm="1">
        <f t="array" ref="P16">IF($C$14&gt;=P$14,_xlfn.NORM.DIST(INDEX($C$2:$C$11,$J16)-INDEX($C$2:$C$11,P$14),0,$C$13*SQRT(2),TRUE),1)</f>
        <v>1</v>
      </c>
      <c r="Q16" s="1" cm="1">
        <f t="array" ref="Q16">IF($C$14&gt;=Q$14,_xlfn.NORM.DIST(INDEX($C$2:$C$11,$J16)-INDEX($C$2:$C$11,Q$14),0,$C$13*SQRT(2),TRUE),1)</f>
        <v>1</v>
      </c>
      <c r="R16" s="1" cm="1">
        <f t="array" ref="R16">IF($C$14&gt;=R$14,_xlfn.NORM.DIST(INDEX($C$2:$C$11,$J16)-INDEX($C$2:$C$11,R$14),0,$C$13*SQRT(2),TRUE),1)</f>
        <v>1</v>
      </c>
      <c r="S16" s="1" cm="1">
        <f t="array" ref="S16">IF($C$14&gt;=S$14,_xlfn.NORM.DIST(INDEX($C$2:$C$11,$J16)-INDEX($C$2:$C$11,S$14),0,$C$13*SQRT(2),TRUE),1)</f>
        <v>1</v>
      </c>
      <c r="T16" s="1" cm="1">
        <f t="array" ref="T16">IF($C$14&gt;=T$14,_xlfn.NORM.DIST(INDEX($C$2:$C$11,$J16)-INDEX($C$2:$C$11,T$14),0,$C$13*SQRT(2),TRUE),1)</f>
        <v>1</v>
      </c>
    </row>
    <row r="17" spans="10:20" x14ac:dyDescent="0.35">
      <c r="J17" s="1">
        <v>3</v>
      </c>
      <c r="K17" s="1" cm="1">
        <f t="array" ref="K17">IF($C$14&gt;=K$14,_xlfn.NORM.DIST(INDEX($C$2:$C$11,$J17)-INDEX($C$2:$C$11,K$14),0,$C$13*SQRT(2),TRUE),1)</f>
        <v>9.2031232711102098E-2</v>
      </c>
      <c r="L17" s="1" cm="1">
        <f t="array" ref="L17">IF($C$14&gt;=L$14,_xlfn.NORM.DIST(INDEX($C$2:$C$11,$J17)-INDEX($C$2:$C$11,L$14),0,$C$13*SQRT(2),TRUE),1)</f>
        <v>0.32873341785271759</v>
      </c>
      <c r="M17" s="1" cm="1">
        <f t="array" ref="M17">IF($C$14&gt;=M$14,_xlfn.NORM.DIST(INDEX($C$2:$C$11,$J17)-INDEX($C$2:$C$11,M$14),0,$C$13*SQRT(2),TRUE),1)</f>
        <v>0.5</v>
      </c>
      <c r="N17" s="1" cm="1">
        <f t="array" ref="N17">IF($C$14&gt;=N$14,_xlfn.NORM.DIST(INDEX($C$2:$C$11,$J17)-INDEX($C$2:$C$11,N$14),0,$C$13*SQRT(2),TRUE),1)</f>
        <v>0.59989998285794233</v>
      </c>
      <c r="O17" s="1" cm="1">
        <f t="array" ref="O17">IF($C$14&gt;=O$14,_xlfn.NORM.DIST(INDEX($C$2:$C$11,$J17)-INDEX($C$2:$C$11,O$14),0,$C$13*SQRT(2),TRUE),1)</f>
        <v>0.67535874674215901</v>
      </c>
      <c r="P17" s="1" cm="1">
        <f t="array" ref="P17">IF($C$14&gt;=P$14,_xlfn.NORM.DIST(INDEX($C$2:$C$11,$J17)-INDEX($C$2:$C$11,P$14),0,$C$13*SQRT(2),TRUE),1)</f>
        <v>1</v>
      </c>
      <c r="Q17" s="1" cm="1">
        <f t="array" ref="Q17">IF($C$14&gt;=Q$14,_xlfn.NORM.DIST(INDEX($C$2:$C$11,$J17)-INDEX($C$2:$C$11,Q$14),0,$C$13*SQRT(2),TRUE),1)</f>
        <v>1</v>
      </c>
      <c r="R17" s="1" cm="1">
        <f t="array" ref="R17">IF($C$14&gt;=R$14,_xlfn.NORM.DIST(INDEX($C$2:$C$11,$J17)-INDEX($C$2:$C$11,R$14),0,$C$13*SQRT(2),TRUE),1)</f>
        <v>1</v>
      </c>
      <c r="S17" s="1" cm="1">
        <f t="array" ref="S17">IF($C$14&gt;=S$14,_xlfn.NORM.DIST(INDEX($C$2:$C$11,$J17)-INDEX($C$2:$C$11,S$14),0,$C$13*SQRT(2),TRUE),1)</f>
        <v>1</v>
      </c>
      <c r="T17" s="1" cm="1">
        <f t="array" ref="T17">IF($C$14&gt;=T$14,_xlfn.NORM.DIST(INDEX($C$2:$C$11,$J17)-INDEX($C$2:$C$11,T$14),0,$C$13*SQRT(2),TRUE),1)</f>
        <v>1</v>
      </c>
    </row>
    <row r="18" spans="10:20" x14ac:dyDescent="0.35">
      <c r="J18" s="1">
        <v>4</v>
      </c>
      <c r="K18" s="1" cm="1">
        <f t="array" ref="K18">IF($C$14&gt;=K$14,_xlfn.NORM.DIST(INDEX($C$2:$C$11,$J18)-INDEX($C$2:$C$11,K$14),0,$C$13*SQRT(2),TRUE),1)</f>
        <v>5.6888920977514808E-2</v>
      </c>
      <c r="L18" s="1" cm="1">
        <f t="array" ref="L18">IF($C$14&gt;=L$14,_xlfn.NORM.DIST(INDEX($C$2:$C$11,$J18)-INDEX($C$2:$C$11,L$14),0,$C$13*SQRT(2),TRUE),1)</f>
        <v>0.24305740768624245</v>
      </c>
      <c r="M18" s="1" cm="1">
        <f t="array" ref="M18">IF($C$14&gt;=M$14,_xlfn.NORM.DIST(INDEX($C$2:$C$11,$J18)-INDEX($C$2:$C$11,M$14),0,$C$13*SQRT(2),TRUE),1)</f>
        <v>0.40010001714205762</v>
      </c>
      <c r="N18" s="1" cm="1">
        <f t="array" ref="N18">IF($C$14&gt;=N$14,_xlfn.NORM.DIST(INDEX($C$2:$C$11,$J18)-INDEX($C$2:$C$11,N$14),0,$C$13*SQRT(2),TRUE),1)</f>
        <v>0.5</v>
      </c>
      <c r="O18" s="1" cm="1">
        <f t="array" ref="O18">IF($C$14&gt;=O$14,_xlfn.NORM.DIST(INDEX($C$2:$C$11,$J18)-INDEX($C$2:$C$11,O$14),0,$C$13*SQRT(2),TRUE),1)</f>
        <v>0.57991300943488566</v>
      </c>
      <c r="P18" s="1" cm="1">
        <f t="array" ref="P18">IF($C$14&gt;=P$14,_xlfn.NORM.DIST(INDEX($C$2:$C$11,$J18)-INDEX($C$2:$C$11,P$14),0,$C$13*SQRT(2),TRUE),1)</f>
        <v>1</v>
      </c>
      <c r="Q18" s="1" cm="1">
        <f t="array" ref="Q18">IF($C$14&gt;=Q$14,_xlfn.NORM.DIST(INDEX($C$2:$C$11,$J18)-INDEX($C$2:$C$11,Q$14),0,$C$13*SQRT(2),TRUE),1)</f>
        <v>1</v>
      </c>
      <c r="R18" s="1" cm="1">
        <f t="array" ref="R18">IF($C$14&gt;=R$14,_xlfn.NORM.DIST(INDEX($C$2:$C$11,$J18)-INDEX($C$2:$C$11,R$14),0,$C$13*SQRT(2),TRUE),1)</f>
        <v>1</v>
      </c>
      <c r="S18" s="1" cm="1">
        <f t="array" ref="S18">IF($C$14&gt;=S$14,_xlfn.NORM.DIST(INDEX($C$2:$C$11,$J18)-INDEX($C$2:$C$11,S$14),0,$C$13*SQRT(2),TRUE),1)</f>
        <v>1</v>
      </c>
      <c r="T18" s="1" cm="1">
        <f t="array" ref="T18">IF($C$14&gt;=T$14,_xlfn.NORM.DIST(INDEX($C$2:$C$11,$J18)-INDEX($C$2:$C$11,T$14),0,$C$13*SQRT(2),TRUE),1)</f>
        <v>1</v>
      </c>
    </row>
    <row r="19" spans="10:20" x14ac:dyDescent="0.35">
      <c r="J19" s="1">
        <v>5</v>
      </c>
      <c r="K19" s="1" cm="1">
        <f t="array" ref="K19">IF($C$14&gt;=K$14,_xlfn.NORM.DIST(INDEX($C$2:$C$11,$J19)-INDEX($C$2:$C$11,K$14),0,$C$13*SQRT(2),TRUE),1)</f>
        <v>3.7284256161580639E-2</v>
      </c>
      <c r="L19" s="1" cm="1">
        <f t="array" ref="L19">IF($C$14&gt;=L$14,_xlfn.NORM.DIST(INDEX($C$2:$C$11,$J19)-INDEX($C$2:$C$11,L$14),0,$C$13*SQRT(2),TRUE),1)</f>
        <v>0.18454681036317044</v>
      </c>
      <c r="M19" s="1" cm="1">
        <f t="array" ref="M19">IF($C$14&gt;=M$14,_xlfn.NORM.DIST(INDEX($C$2:$C$11,$J19)-INDEX($C$2:$C$11,M$14),0,$C$13*SQRT(2),TRUE),1)</f>
        <v>0.32464125325784099</v>
      </c>
      <c r="N19" s="1" cm="1">
        <f t="array" ref="N19">IF($C$14&gt;=N$14,_xlfn.NORM.DIST(INDEX($C$2:$C$11,$J19)-INDEX($C$2:$C$11,N$14),0,$C$13*SQRT(2),TRUE),1)</f>
        <v>0.42008699056511434</v>
      </c>
      <c r="O19" s="1" cm="1">
        <f t="array" ref="O19">IF($C$14&gt;=O$14,_xlfn.NORM.DIST(INDEX($C$2:$C$11,$J19)-INDEX($C$2:$C$11,O$14),0,$C$13*SQRT(2),TRUE),1)</f>
        <v>0.5</v>
      </c>
      <c r="P19" s="1" cm="1">
        <f t="array" ref="P19">IF($C$14&gt;=P$14,_xlfn.NORM.DIST(INDEX($C$2:$C$11,$J19)-INDEX($C$2:$C$11,P$14),0,$C$13*SQRT(2),TRUE),1)</f>
        <v>1</v>
      </c>
      <c r="Q19" s="1" cm="1">
        <f t="array" ref="Q19">IF($C$14&gt;=Q$14,_xlfn.NORM.DIST(INDEX($C$2:$C$11,$J19)-INDEX($C$2:$C$11,Q$14),0,$C$13*SQRT(2),TRUE),1)</f>
        <v>1</v>
      </c>
      <c r="R19" s="1" cm="1">
        <f t="array" ref="R19">IF($C$14&gt;=R$14,_xlfn.NORM.DIST(INDEX($C$2:$C$11,$J19)-INDEX($C$2:$C$11,R$14),0,$C$13*SQRT(2),TRUE),1)</f>
        <v>1</v>
      </c>
      <c r="S19" s="1" cm="1">
        <f t="array" ref="S19">IF($C$14&gt;=S$14,_xlfn.NORM.DIST(INDEX($C$2:$C$11,$J19)-INDEX($C$2:$C$11,S$14),0,$C$13*SQRT(2),TRUE),1)</f>
        <v>1</v>
      </c>
      <c r="T19" s="1" cm="1">
        <f t="array" ref="T19">IF($C$14&gt;=T$14,_xlfn.NORM.DIST(INDEX($C$2:$C$11,$J19)-INDEX($C$2:$C$11,T$14),0,$C$13*SQRT(2),TRUE),1)</f>
        <v>1</v>
      </c>
    </row>
    <row r="20" spans="10:20" x14ac:dyDescent="0.35">
      <c r="J20" s="1">
        <v>6</v>
      </c>
      <c r="K20" s="1" cm="1">
        <f t="array" ref="K20">IF($C$14&gt;=K$14,_xlfn.NORM.DIST(INDEX($C$2:$C$11,$J20)-INDEX($C$2:$C$11,K$14),0,$C$13*SQRT(2),TRUE),1)</f>
        <v>2.3327589660121266E-2</v>
      </c>
      <c r="L20" s="1" cm="1">
        <f t="array" ref="L20">IF($C$14&gt;=L$14,_xlfn.NORM.DIST(INDEX($C$2:$C$11,$J20)-INDEX($C$2:$C$11,L$14),0,$C$13*SQRT(2),TRUE),1)</f>
        <v>0.13469242599245249</v>
      </c>
      <c r="M20" s="1" cm="1">
        <f t="array" ref="M20">IF($C$14&gt;=M$14,_xlfn.NORM.DIST(INDEX($C$2:$C$11,$J20)-INDEX($C$2:$C$11,M$14),0,$C$13*SQRT(2),TRUE),1)</f>
        <v>0.25428467104814734</v>
      </c>
      <c r="N20" s="1" cm="1">
        <f t="array" ref="N20">IF($C$14&gt;=N$14,_xlfn.NORM.DIST(INDEX($C$2:$C$11,$J20)-INDEX($C$2:$C$11,N$14),0,$C$13*SQRT(2),TRUE),1)</f>
        <v>0.34164462758270819</v>
      </c>
      <c r="O20" s="1" cm="1">
        <f t="array" ref="O20">IF($C$14&gt;=O$14,_xlfn.NORM.DIST(INDEX($C$2:$C$11,$J20)-INDEX($C$2:$C$11,O$14),0,$C$13*SQRT(2),TRUE),1)</f>
        <v>0.41827522866592959</v>
      </c>
      <c r="P20" s="1" cm="1">
        <f t="array" ref="P20">IF($C$14&gt;=P$14,_xlfn.NORM.DIST(INDEX($C$2:$C$11,$J20)-INDEX($C$2:$C$11,P$14),0,$C$13*SQRT(2),TRUE),1)</f>
        <v>1</v>
      </c>
      <c r="Q20" s="1" cm="1">
        <f t="array" ref="Q20">IF($C$14&gt;=Q$14,_xlfn.NORM.DIST(INDEX($C$2:$C$11,$J20)-INDEX($C$2:$C$11,Q$14),0,$C$13*SQRT(2),TRUE),1)</f>
        <v>1</v>
      </c>
      <c r="R20" s="1" cm="1">
        <f t="array" ref="R20">IF($C$14&gt;=R$14,_xlfn.NORM.DIST(INDEX($C$2:$C$11,$J20)-INDEX($C$2:$C$11,R$14),0,$C$13*SQRT(2),TRUE),1)</f>
        <v>1</v>
      </c>
      <c r="S20" s="1" cm="1">
        <f t="array" ref="S20">IF($C$14&gt;=S$14,_xlfn.NORM.DIST(INDEX($C$2:$C$11,$J20)-INDEX($C$2:$C$11,S$14),0,$C$13*SQRT(2),TRUE),1)</f>
        <v>1</v>
      </c>
      <c r="T20" s="1" cm="1">
        <f t="array" ref="T20">IF($C$14&gt;=T$14,_xlfn.NORM.DIST(INDEX($C$2:$C$11,$J20)-INDEX($C$2:$C$11,T$14),0,$C$13*SQRT(2),TRUE),1)</f>
        <v>1</v>
      </c>
    </row>
    <row r="21" spans="10:20" x14ac:dyDescent="0.35">
      <c r="J21" s="1">
        <v>7</v>
      </c>
      <c r="K21" s="1" cm="1">
        <f t="array" ref="K21">IF($C$14&gt;=K$14,_xlfn.NORM.DIST(INDEX($C$2:$C$11,$J21)-INDEX($C$2:$C$11,K$14),0,$C$13*SQRT(2),TRUE),1)</f>
        <v>1.379738534474771E-2</v>
      </c>
      <c r="L21" s="1" cm="1">
        <f t="array" ref="L21">IF($C$14&gt;=L$14,_xlfn.NORM.DIST(INDEX($C$2:$C$11,$J21)-INDEX($C$2:$C$11,L$14),0,$C$13*SQRT(2),TRUE),1)</f>
        <v>9.3741308032067067E-2</v>
      </c>
      <c r="M21" s="1" cm="1">
        <f t="array" ref="M21">IF($C$14&gt;=M$14,_xlfn.NORM.DIST(INDEX($C$2:$C$11,$J21)-INDEX($C$2:$C$11,M$14),0,$C$13*SQRT(2),TRUE),1)</f>
        <v>0.19088230777518597</v>
      </c>
      <c r="N21" s="1" cm="1">
        <f t="array" ref="N21">IF($C$14&gt;=N$14,_xlfn.NORM.DIST(INDEX($C$2:$C$11,$J21)-INDEX($C$2:$C$11,N$14),0,$C$13*SQRT(2),TRUE),1)</f>
        <v>0.26711517906705901</v>
      </c>
      <c r="O21" s="1" cm="1">
        <f t="array" ref="O21">IF($C$14&gt;=O$14,_xlfn.NORM.DIST(INDEX($C$2:$C$11,$J21)-INDEX($C$2:$C$11,O$14),0,$C$13*SQRT(2),TRUE),1)</f>
        <v>0.33728276642559085</v>
      </c>
      <c r="P21" s="1" cm="1">
        <f t="array" ref="P21">IF($C$14&gt;=P$14,_xlfn.NORM.DIST(INDEX($C$2:$C$11,$J21)-INDEX($C$2:$C$11,P$14),0,$C$13*SQRT(2),TRUE),1)</f>
        <v>1</v>
      </c>
      <c r="Q21" s="1" cm="1">
        <f t="array" ref="Q21">IF($C$14&gt;=Q$14,_xlfn.NORM.DIST(INDEX($C$2:$C$11,$J21)-INDEX($C$2:$C$11,Q$14),0,$C$13*SQRT(2),TRUE),1)</f>
        <v>1</v>
      </c>
      <c r="R21" s="1" cm="1">
        <f t="array" ref="R21">IF($C$14&gt;=R$14,_xlfn.NORM.DIST(INDEX($C$2:$C$11,$J21)-INDEX($C$2:$C$11,R$14),0,$C$13*SQRT(2),TRUE),1)</f>
        <v>1</v>
      </c>
      <c r="S21" s="1" cm="1">
        <f t="array" ref="S21">IF($C$14&gt;=S$14,_xlfn.NORM.DIST(INDEX($C$2:$C$11,$J21)-INDEX($C$2:$C$11,S$14),0,$C$13*SQRT(2),TRUE),1)</f>
        <v>1</v>
      </c>
      <c r="T21" s="1" cm="1">
        <f t="array" ref="T21">IF($C$14&gt;=T$14,_xlfn.NORM.DIST(INDEX($C$2:$C$11,$J21)-INDEX($C$2:$C$11,T$14),0,$C$13*SQRT(2),TRUE),1)</f>
        <v>1</v>
      </c>
    </row>
    <row r="22" spans="10:20" x14ac:dyDescent="0.35">
      <c r="J22" s="1">
        <v>8</v>
      </c>
      <c r="K22" s="1" cm="1">
        <f t="array" ref="K22">IF($C$14&gt;=K$14,_xlfn.NORM.DIST(INDEX($C$2:$C$11,$J22)-INDEX($C$2:$C$11,K$14),0,$C$13*SQRT(2),TRUE),1)</f>
        <v>8.1413700897559095E-3</v>
      </c>
      <c r="L22" s="1" cm="1">
        <f t="array" ref="L22">IF($C$14&gt;=L$14,_xlfn.NORM.DIST(INDEX($C$2:$C$11,$J22)-INDEX($C$2:$C$11,L$14),0,$C$13*SQRT(2),TRUE),1)</f>
        <v>6.4560314888315762E-2</v>
      </c>
      <c r="M22" s="1" cm="1">
        <f t="array" ref="M22">IF($C$14&gt;=M$14,_xlfn.NORM.DIST(INDEX($C$2:$C$11,$J22)-INDEX($C$2:$C$11,M$14),0,$C$13*SQRT(2),TRUE),1)</f>
        <v>0.14137426390155836</v>
      </c>
      <c r="N22" s="1" cm="1">
        <f t="array" ref="N22">IF($C$14&gt;=N$14,_xlfn.NORM.DIST(INDEX($C$2:$C$11,$J22)-INDEX($C$2:$C$11,N$14),0,$C$13*SQRT(2),TRUE),1)</f>
        <v>0.20580113800094141</v>
      </c>
      <c r="O22" s="1" cm="1">
        <f t="array" ref="O22">IF($C$14&gt;=O$14,_xlfn.NORM.DIST(INDEX($C$2:$C$11,$J22)-INDEX($C$2:$C$11,O$14),0,$C$13*SQRT(2),TRUE),1)</f>
        <v>0.26782436800300047</v>
      </c>
      <c r="P22" s="1" cm="1">
        <f t="array" ref="P22">IF($C$14&gt;=P$14,_xlfn.NORM.DIST(INDEX($C$2:$C$11,$J22)-INDEX($C$2:$C$11,P$14),0,$C$13*SQRT(2),TRUE),1)</f>
        <v>1</v>
      </c>
      <c r="Q22" s="1" cm="1">
        <f t="array" ref="Q22">IF($C$14&gt;=Q$14,_xlfn.NORM.DIST(INDEX($C$2:$C$11,$J22)-INDEX($C$2:$C$11,Q$14),0,$C$13*SQRT(2),TRUE),1)</f>
        <v>1</v>
      </c>
      <c r="R22" s="1" cm="1">
        <f t="array" ref="R22">IF($C$14&gt;=R$14,_xlfn.NORM.DIST(INDEX($C$2:$C$11,$J22)-INDEX($C$2:$C$11,R$14),0,$C$13*SQRT(2),TRUE),1)</f>
        <v>1</v>
      </c>
      <c r="S22" s="1" cm="1">
        <f t="array" ref="S22">IF($C$14&gt;=S$14,_xlfn.NORM.DIST(INDEX($C$2:$C$11,$J22)-INDEX($C$2:$C$11,S$14),0,$C$13*SQRT(2),TRUE),1)</f>
        <v>1</v>
      </c>
      <c r="T22" s="1" cm="1">
        <f t="array" ref="T22">IF($C$14&gt;=T$14,_xlfn.NORM.DIST(INDEX($C$2:$C$11,$J22)-INDEX($C$2:$C$11,T$14),0,$C$13*SQRT(2),TRUE),1)</f>
        <v>1</v>
      </c>
    </row>
    <row r="23" spans="10:20" x14ac:dyDescent="0.35">
      <c r="J23" s="1">
        <v>9</v>
      </c>
      <c r="K23" s="1" cm="1">
        <f t="array" ref="K23">IF($C$14&gt;=K$14,_xlfn.NORM.DIST(INDEX($C$2:$C$11,$J23)-INDEX($C$2:$C$11,K$14),0,$C$13*SQRT(2),TRUE),1)</f>
        <v>5.0544536245839839E-3</v>
      </c>
      <c r="L23" s="1" cm="1">
        <f t="array" ref="L23">IF($C$14&gt;=L$14,_xlfn.NORM.DIST(INDEX($C$2:$C$11,$J23)-INDEX($C$2:$C$11,L$14),0,$C$13*SQRT(2),TRUE),1)</f>
        <v>4.5787765117561413E-2</v>
      </c>
      <c r="M23" s="1" cm="1">
        <f t="array" ref="M23">IF($C$14&gt;=M$14,_xlfn.NORM.DIST(INDEX($C$2:$C$11,$J23)-INDEX($C$2:$C$11,M$14),0,$C$13*SQRT(2),TRUE),1)</f>
        <v>0.10679921170323396</v>
      </c>
      <c r="N23" s="1" cm="1">
        <f t="array" ref="N23">IF($C$14&gt;=N$14,_xlfn.NORM.DIST(INDEX($C$2:$C$11,$J23)-INDEX($C$2:$C$11,N$14),0,$C$13*SQRT(2),TRUE),1)</f>
        <v>0.16092991694460967</v>
      </c>
      <c r="O23" s="1" cm="1">
        <f t="array" ref="O23">IF($C$14&gt;=O$14,_xlfn.NORM.DIST(INDEX($C$2:$C$11,$J23)-INDEX($C$2:$C$11,O$14),0,$C$13*SQRT(2),TRUE),1)</f>
        <v>0.21506410949244453</v>
      </c>
      <c r="P23" s="1" cm="1">
        <f t="array" ref="P23">IF($C$14&gt;=P$14,_xlfn.NORM.DIST(INDEX($C$2:$C$11,$J23)-INDEX($C$2:$C$11,P$14),0,$C$13*SQRT(2),TRUE),1)</f>
        <v>1</v>
      </c>
      <c r="Q23" s="1" cm="1">
        <f t="array" ref="Q23">IF($C$14&gt;=Q$14,_xlfn.NORM.DIST(INDEX($C$2:$C$11,$J23)-INDEX($C$2:$C$11,Q$14),0,$C$13*SQRT(2),TRUE),1)</f>
        <v>1</v>
      </c>
      <c r="R23" s="1" cm="1">
        <f t="array" ref="R23">IF($C$14&gt;=R$14,_xlfn.NORM.DIST(INDEX($C$2:$C$11,$J23)-INDEX($C$2:$C$11,R$14),0,$C$13*SQRT(2),TRUE),1)</f>
        <v>1</v>
      </c>
      <c r="S23" s="1" cm="1">
        <f t="array" ref="S23">IF($C$14&gt;=S$14,_xlfn.NORM.DIST(INDEX($C$2:$C$11,$J23)-INDEX($C$2:$C$11,S$14),0,$C$13*SQRT(2),TRUE),1)</f>
        <v>1</v>
      </c>
      <c r="T23" s="1" cm="1">
        <f t="array" ref="T23">IF($C$14&gt;=T$14,_xlfn.NORM.DIST(INDEX($C$2:$C$11,$J23)-INDEX($C$2:$C$11,T$14),0,$C$13*SQRT(2),TRUE),1)</f>
        <v>1</v>
      </c>
    </row>
    <row r="24" spans="10:20" x14ac:dyDescent="0.35">
      <c r="J24" s="1">
        <v>10</v>
      </c>
      <c r="K24" s="1" cm="1">
        <f t="array" ref="K24">IF($C$14&gt;=K$14,_xlfn.NORM.DIST(INDEX($C$2:$C$11,$J24)-INDEX($C$2:$C$11,K$14),0,$C$13*SQRT(2),TRUE),1)</f>
        <v>3.1599072329873048E-3</v>
      </c>
      <c r="L24" s="1" cm="1">
        <f t="array" ref="L24">IF($C$14&gt;=L$14,_xlfn.NORM.DIST(INDEX($C$2:$C$11,$J24)-INDEX($C$2:$C$11,L$14),0,$C$13*SQRT(2),TRUE),1)</f>
        <v>3.2462609723221514E-2</v>
      </c>
      <c r="M24" s="1" cm="1">
        <f t="array" ref="M24">IF($C$14&gt;=M$14,_xlfn.NORM.DIST(INDEX($C$2:$C$11,$J24)-INDEX($C$2:$C$11,M$14),0,$C$13*SQRT(2),TRUE),1)</f>
        <v>8.0403975073980199E-2</v>
      </c>
      <c r="N24" s="1" cm="1">
        <f t="array" ref="N24">IF($C$14&gt;=N$14,_xlfn.NORM.DIST(INDEX($C$2:$C$11,$J24)-INDEX($C$2:$C$11,N$14),0,$C$13*SQRT(2),TRUE),1)</f>
        <v>0.12522209055732977</v>
      </c>
      <c r="O24" s="1" cm="1">
        <f t="array" ref="O24">IF($C$14&gt;=O$14,_xlfn.NORM.DIST(INDEX($C$2:$C$11,$J24)-INDEX($C$2:$C$11,O$14),0,$C$13*SQRT(2),TRUE),1)</f>
        <v>0.17166650427234773</v>
      </c>
      <c r="P24" s="1" cm="1">
        <f t="array" ref="P24">IF($C$14&gt;=P$14,_xlfn.NORM.DIST(INDEX($C$2:$C$11,$J24)-INDEX($C$2:$C$11,P$14),0,$C$13*SQRT(2),TRUE),1)</f>
        <v>1</v>
      </c>
      <c r="Q24" s="1" cm="1">
        <f t="array" ref="Q24">IF($C$14&gt;=Q$14,_xlfn.NORM.DIST(INDEX($C$2:$C$11,$J24)-INDEX($C$2:$C$11,Q$14),0,$C$13*SQRT(2),TRUE),1)</f>
        <v>1</v>
      </c>
      <c r="R24" s="1" cm="1">
        <f t="array" ref="R24">IF($C$14&gt;=R$14,_xlfn.NORM.DIST(INDEX($C$2:$C$11,$J24)-INDEX($C$2:$C$11,R$14),0,$C$13*SQRT(2),TRUE),1)</f>
        <v>1</v>
      </c>
      <c r="S24" s="1" cm="1">
        <f t="array" ref="S24">IF($C$14&gt;=S$14,_xlfn.NORM.DIST(INDEX($C$2:$C$11,$J24)-INDEX($C$2:$C$11,S$14),0,$C$13*SQRT(2),TRUE),1)</f>
        <v>1</v>
      </c>
      <c r="T24" s="1" cm="1">
        <f t="array" ref="T24">IF($C$14&gt;=T$14,_xlfn.NORM.DIST(INDEX($C$2:$C$11,$J24)-INDEX($C$2:$C$11,T$14),0,$C$13*SQRT(2),TRUE),1)</f>
        <v>1</v>
      </c>
    </row>
    <row r="26" spans="10:20" x14ac:dyDescent="0.35">
      <c r="J26" s="1" t="s">
        <v>5</v>
      </c>
      <c r="K26" s="1">
        <v>1</v>
      </c>
      <c r="L26" s="1">
        <v>2</v>
      </c>
      <c r="M26" s="1">
        <v>3</v>
      </c>
      <c r="N26" s="1">
        <v>4</v>
      </c>
      <c r="O26" s="1">
        <v>5</v>
      </c>
      <c r="P26" s="1">
        <v>6</v>
      </c>
      <c r="Q26" s="1">
        <v>7</v>
      </c>
      <c r="R26" s="1">
        <v>8</v>
      </c>
      <c r="S26" s="1">
        <v>9</v>
      </c>
      <c r="T26" s="1">
        <v>10</v>
      </c>
    </row>
    <row r="27" spans="10:20" x14ac:dyDescent="0.35">
      <c r="J27" s="1">
        <v>1</v>
      </c>
      <c r="K27" s="1" cm="1">
        <f t="array" ref="K27">IF($D$14&gt;=K$26,_xlfn.NORM.DIST(INDEX($D$2:$D$11,$J27)-INDEX($D$2:$D$11,K$26),0,$D$13*SQRT(2),TRUE),1)</f>
        <v>0.5</v>
      </c>
      <c r="L27" s="1" cm="1">
        <f t="array" ref="L27">IF($D$14&gt;=L$26,_xlfn.NORM.DIST(INDEX($D$2:$D$11,$J27)-INDEX($D$2:$D$11,L$26),0,$D$13*SQRT(2),TRUE),1)</f>
        <v>0.75951122013138606</v>
      </c>
      <c r="M27" s="1" cm="1">
        <f t="array" ref="M27">IF($D$14&gt;=M$26,_xlfn.NORM.DIST(INDEX($D$2:$D$11,$J27)-INDEX($D$2:$D$11,M$26),0,$D$13*SQRT(2),TRUE),1)</f>
        <v>0.86841671997023273</v>
      </c>
      <c r="N27" s="1" cm="1">
        <f t="array" ref="N27">IF($D$14&gt;=N$26,_xlfn.NORM.DIST(INDEX($D$2:$D$11,$J27)-INDEX($D$2:$D$11,N$26),0,$D$13*SQRT(2),TRUE),1)</f>
        <v>0.919000921182759</v>
      </c>
      <c r="O27" s="1" cm="1">
        <f t="array" ref="O27">IF($D$14&gt;=O$26,_xlfn.NORM.DIST(INDEX($D$2:$D$11,$J27)-INDEX($D$2:$D$11,O$26),0,$D$13*SQRT(2),TRUE),1)</f>
        <v>0.94897535849657744</v>
      </c>
      <c r="P27" s="1" cm="1">
        <f t="array" ref="P27">IF($D$14&gt;=P$26,_xlfn.NORM.DIST(INDEX($D$2:$D$11,$J27)-INDEX($D$2:$D$11,P$26),0,$D$13*SQRT(2),TRUE),1)</f>
        <v>1</v>
      </c>
      <c r="Q27" s="1" cm="1">
        <f t="array" ref="Q27">IF($D$14&gt;=Q$26,_xlfn.NORM.DIST(INDEX($D$2:$D$11,$J27)-INDEX($D$2:$D$11,Q$26),0,$D$13*SQRT(2),TRUE),1)</f>
        <v>1</v>
      </c>
      <c r="R27" s="1" cm="1">
        <f t="array" ref="R27">IF($D$14&gt;=R$26,_xlfn.NORM.DIST(INDEX($D$2:$D$11,$J27)-INDEX($D$2:$D$11,R$26),0,$D$13*SQRT(2),TRUE),1)</f>
        <v>1</v>
      </c>
      <c r="S27" s="1" cm="1">
        <f t="array" ref="S27">IF($D$14&gt;=S$26,_xlfn.NORM.DIST(INDEX($D$2:$D$11,$J27)-INDEX($D$2:$D$11,S$26),0,$D$13*SQRT(2),TRUE),1)</f>
        <v>1</v>
      </c>
      <c r="T27" s="1" cm="1">
        <f t="array" ref="T27">IF($D$14&gt;=T$26,_xlfn.NORM.DIST(INDEX($D$2:$D$11,$J27)-INDEX($D$2:$D$11,T$26),0,$D$13*SQRT(2),TRUE),1)</f>
        <v>1</v>
      </c>
    </row>
    <row r="28" spans="10:20" x14ac:dyDescent="0.35">
      <c r="J28" s="1">
        <v>2</v>
      </c>
      <c r="K28" s="1" cm="1">
        <f t="array" ref="K28">IF($D$14&gt;=K$26,_xlfn.NORM.DIST(INDEX($D$2:$D$11,$J28)-INDEX($D$2:$D$11,K$26),0,$D$13*SQRT(2),TRUE),1)</f>
        <v>0.240488779868614</v>
      </c>
      <c r="L28" s="1" cm="1">
        <f t="array" ref="L28">IF($D$14&gt;=L$26,_xlfn.NORM.DIST(INDEX($D$2:$D$11,$J28)-INDEX($D$2:$D$11,L$26),0,$D$13*SQRT(2),TRUE),1)</f>
        <v>0.5</v>
      </c>
      <c r="M28" s="1" cm="1">
        <f t="array" ref="M28">IF($D$14&gt;=M$26,_xlfn.NORM.DIST(INDEX($D$2:$D$11,$J28)-INDEX($D$2:$D$11,M$26),0,$D$13*SQRT(2),TRUE),1)</f>
        <v>0.66063871151960185</v>
      </c>
      <c r="N28" s="1" cm="1">
        <f t="array" ref="N28">IF($D$14&gt;=N$26,_xlfn.NORM.DIST(INDEX($D$2:$D$11,$J28)-INDEX($D$2:$D$11,N$26),0,$D$13*SQRT(2),TRUE),1)</f>
        <v>0.75604963879391029</v>
      </c>
      <c r="O28" s="1" cm="1">
        <f t="array" ref="O28">IF($D$14&gt;=O$26,_xlfn.NORM.DIST(INDEX($D$2:$D$11,$J28)-INDEX($D$2:$D$11,O$26),0,$D$13*SQRT(2),TRUE),1)</f>
        <v>0.82388375743402331</v>
      </c>
      <c r="P28" s="1" cm="1">
        <f t="array" ref="P28">IF($D$14&gt;=P$26,_xlfn.NORM.DIST(INDEX($D$2:$D$11,$J28)-INDEX($D$2:$D$11,P$26),0,$D$13*SQRT(2),TRUE),1)</f>
        <v>1</v>
      </c>
      <c r="Q28" s="1" cm="1">
        <f t="array" ref="Q28">IF($D$14&gt;=Q$26,_xlfn.NORM.DIST(INDEX($D$2:$D$11,$J28)-INDEX($D$2:$D$11,Q$26),0,$D$13*SQRT(2),TRUE),1)</f>
        <v>1</v>
      </c>
      <c r="R28" s="1" cm="1">
        <f t="array" ref="R28">IF($D$14&gt;=R$26,_xlfn.NORM.DIST(INDEX($D$2:$D$11,$J28)-INDEX($D$2:$D$11,R$26),0,$D$13*SQRT(2),TRUE),1)</f>
        <v>1</v>
      </c>
      <c r="S28" s="1" cm="1">
        <f t="array" ref="S28">IF($D$14&gt;=S$26,_xlfn.NORM.DIST(INDEX($D$2:$D$11,$J28)-INDEX($D$2:$D$11,S$26),0,$D$13*SQRT(2),TRUE),1)</f>
        <v>1</v>
      </c>
      <c r="T28" s="1" cm="1">
        <f t="array" ref="T28">IF($D$14&gt;=T$26,_xlfn.NORM.DIST(INDEX($D$2:$D$11,$J28)-INDEX($D$2:$D$11,T$26),0,$D$13*SQRT(2),TRUE),1)</f>
        <v>1</v>
      </c>
    </row>
    <row r="29" spans="10:20" x14ac:dyDescent="0.35">
      <c r="J29" s="1">
        <v>3</v>
      </c>
      <c r="K29" s="1" cm="1">
        <f t="array" ref="K29">IF($D$14&gt;=K$26,_xlfn.NORM.DIST(INDEX($D$2:$D$11,$J29)-INDEX($D$2:$D$11,K$26),0,$D$13*SQRT(2),TRUE),1)</f>
        <v>0.1315832800297673</v>
      </c>
      <c r="L29" s="1" cm="1">
        <f t="array" ref="L29">IF($D$14&gt;=L$26,_xlfn.NORM.DIST(INDEX($D$2:$D$11,$J29)-INDEX($D$2:$D$11,L$26),0,$D$13*SQRT(2),TRUE),1)</f>
        <v>0.33936128848039815</v>
      </c>
      <c r="M29" s="1" cm="1">
        <f t="array" ref="M29">IF($D$14&gt;=M$26,_xlfn.NORM.DIST(INDEX($D$2:$D$11,$J29)-INDEX($D$2:$D$11,M$26),0,$D$13*SQRT(2),TRUE),1)</f>
        <v>0.5</v>
      </c>
      <c r="N29" s="1" cm="1">
        <f t="array" ref="N29">IF($D$14&gt;=N$26,_xlfn.NORM.DIST(INDEX($D$2:$D$11,$J29)-INDEX($D$2:$D$11,N$26),0,$D$13*SQRT(2),TRUE),1)</f>
        <v>0.61004821013542476</v>
      </c>
      <c r="O29" s="1" cm="1">
        <f t="array" ref="O29">IF($D$14&gt;=O$26,_xlfn.NORM.DIST(INDEX($D$2:$D$11,$J29)-INDEX($D$2:$D$11,O$26),0,$D$13*SQRT(2),TRUE),1)</f>
        <v>0.69709402968748846</v>
      </c>
      <c r="P29" s="1" cm="1">
        <f t="array" ref="P29">IF($D$14&gt;=P$26,_xlfn.NORM.DIST(INDEX($D$2:$D$11,$J29)-INDEX($D$2:$D$11,P$26),0,$D$13*SQRT(2),TRUE),1)</f>
        <v>1</v>
      </c>
      <c r="Q29" s="1" cm="1">
        <f t="array" ref="Q29">IF($D$14&gt;=Q$26,_xlfn.NORM.DIST(INDEX($D$2:$D$11,$J29)-INDEX($D$2:$D$11,Q$26),0,$D$13*SQRT(2),TRUE),1)</f>
        <v>1</v>
      </c>
      <c r="R29" s="1" cm="1">
        <f t="array" ref="R29">IF($D$14&gt;=R$26,_xlfn.NORM.DIST(INDEX($D$2:$D$11,$J29)-INDEX($D$2:$D$11,R$26),0,$D$13*SQRT(2),TRUE),1)</f>
        <v>1</v>
      </c>
      <c r="S29" s="1" cm="1">
        <f t="array" ref="S29">IF($D$14&gt;=S$26,_xlfn.NORM.DIST(INDEX($D$2:$D$11,$J29)-INDEX($D$2:$D$11,S$26),0,$D$13*SQRT(2),TRUE),1)</f>
        <v>1</v>
      </c>
      <c r="T29" s="1" cm="1">
        <f t="array" ref="T29">IF($D$14&gt;=T$26,_xlfn.NORM.DIST(INDEX($D$2:$D$11,$J29)-INDEX($D$2:$D$11,T$26),0,$D$13*SQRT(2),TRUE),1)</f>
        <v>1</v>
      </c>
    </row>
    <row r="30" spans="10:20" x14ac:dyDescent="0.35">
      <c r="J30" s="1">
        <v>4</v>
      </c>
      <c r="K30" s="1" cm="1">
        <f t="array" ref="K30">IF($D$14&gt;=K$26,_xlfn.NORM.DIST(INDEX($D$2:$D$11,$J30)-INDEX($D$2:$D$11,K$26),0,$D$13*SQRT(2),TRUE),1)</f>
        <v>8.0999078817240985E-2</v>
      </c>
      <c r="L30" s="1" cm="1">
        <f t="array" ref="L30">IF($D$14&gt;=L$26,_xlfn.NORM.DIST(INDEX($D$2:$D$11,$J30)-INDEX($D$2:$D$11,L$26),0,$D$13*SQRT(2),TRUE),1)</f>
        <v>0.24395036120608971</v>
      </c>
      <c r="M30" s="1" cm="1">
        <f t="array" ref="M30">IF($D$14&gt;=M$26,_xlfn.NORM.DIST(INDEX($D$2:$D$11,$J30)-INDEX($D$2:$D$11,M$26),0,$D$13*SQRT(2),TRUE),1)</f>
        <v>0.38995178986457518</v>
      </c>
      <c r="N30" s="1" cm="1">
        <f t="array" ref="N30">IF($D$14&gt;=N$26,_xlfn.NORM.DIST(INDEX($D$2:$D$11,$J30)-INDEX($D$2:$D$11,N$26),0,$D$13*SQRT(2),TRUE),1)</f>
        <v>0.5</v>
      </c>
      <c r="O30" s="1" cm="1">
        <f t="array" ref="O30">IF($D$14&gt;=O$26,_xlfn.NORM.DIST(INDEX($D$2:$D$11,$J30)-INDEX($D$2:$D$11,O$26),0,$D$13*SQRT(2),TRUE),1)</f>
        <v>0.59352269251349454</v>
      </c>
      <c r="P30" s="1" cm="1">
        <f t="array" ref="P30">IF($D$14&gt;=P$26,_xlfn.NORM.DIST(INDEX($D$2:$D$11,$J30)-INDEX($D$2:$D$11,P$26),0,$D$13*SQRT(2),TRUE),1)</f>
        <v>1</v>
      </c>
      <c r="Q30" s="1" cm="1">
        <f t="array" ref="Q30">IF($D$14&gt;=Q$26,_xlfn.NORM.DIST(INDEX($D$2:$D$11,$J30)-INDEX($D$2:$D$11,Q$26),0,$D$13*SQRT(2),TRUE),1)</f>
        <v>1</v>
      </c>
      <c r="R30" s="1" cm="1">
        <f t="array" ref="R30">IF($D$14&gt;=R$26,_xlfn.NORM.DIST(INDEX($D$2:$D$11,$J30)-INDEX($D$2:$D$11,R$26),0,$D$13*SQRT(2),TRUE),1)</f>
        <v>1</v>
      </c>
      <c r="S30" s="1" cm="1">
        <f t="array" ref="S30">IF($D$14&gt;=S$26,_xlfn.NORM.DIST(INDEX($D$2:$D$11,$J30)-INDEX($D$2:$D$11,S$26),0,$D$13*SQRT(2),TRUE),1)</f>
        <v>1</v>
      </c>
      <c r="T30" s="1" cm="1">
        <f t="array" ref="T30">IF($D$14&gt;=T$26,_xlfn.NORM.DIST(INDEX($D$2:$D$11,$J30)-INDEX($D$2:$D$11,T$26),0,$D$13*SQRT(2),TRUE),1)</f>
        <v>1</v>
      </c>
    </row>
    <row r="31" spans="10:20" x14ac:dyDescent="0.35">
      <c r="J31" s="1">
        <v>5</v>
      </c>
      <c r="K31" s="1" cm="1">
        <f t="array" ref="K31">IF($D$14&gt;=K$26,_xlfn.NORM.DIST(INDEX($D$2:$D$11,$J31)-INDEX($D$2:$D$11,K$26),0,$D$13*SQRT(2),TRUE),1)</f>
        <v>5.1024641503422535E-2</v>
      </c>
      <c r="L31" s="1" cm="1">
        <f t="array" ref="L31">IF($D$14&gt;=L$26,_xlfn.NORM.DIST(INDEX($D$2:$D$11,$J31)-INDEX($D$2:$D$11,L$26),0,$D$13*SQRT(2),TRUE),1)</f>
        <v>0.17611624256597669</v>
      </c>
      <c r="M31" s="1" cm="1">
        <f t="array" ref="M31">IF($D$14&gt;=M$26,_xlfn.NORM.DIST(INDEX($D$2:$D$11,$J31)-INDEX($D$2:$D$11,M$26),0,$D$13*SQRT(2),TRUE),1)</f>
        <v>0.30290597031251154</v>
      </c>
      <c r="N31" s="1" cm="1">
        <f t="array" ref="N31">IF($D$14&gt;=N$26,_xlfn.NORM.DIST(INDEX($D$2:$D$11,$J31)-INDEX($D$2:$D$11,N$26),0,$D$13*SQRT(2),TRUE),1)</f>
        <v>0.40647730748650546</v>
      </c>
      <c r="O31" s="1" cm="1">
        <f t="array" ref="O31">IF($D$14&gt;=O$26,_xlfn.NORM.DIST(INDEX($D$2:$D$11,$J31)-INDEX($D$2:$D$11,O$26),0,$D$13*SQRT(2),TRUE),1)</f>
        <v>0.5</v>
      </c>
      <c r="P31" s="1" cm="1">
        <f t="array" ref="P31">IF($D$14&gt;=P$26,_xlfn.NORM.DIST(INDEX($D$2:$D$11,$J31)-INDEX($D$2:$D$11,P$26),0,$D$13*SQRT(2),TRUE),1)</f>
        <v>1</v>
      </c>
      <c r="Q31" s="1" cm="1">
        <f t="array" ref="Q31">IF($D$14&gt;=Q$26,_xlfn.NORM.DIST(INDEX($D$2:$D$11,$J31)-INDEX($D$2:$D$11,Q$26),0,$D$13*SQRT(2),TRUE),1)</f>
        <v>1</v>
      </c>
      <c r="R31" s="1" cm="1">
        <f t="array" ref="R31">IF($D$14&gt;=R$26,_xlfn.NORM.DIST(INDEX($D$2:$D$11,$J31)-INDEX($D$2:$D$11,R$26),0,$D$13*SQRT(2),TRUE),1)</f>
        <v>1</v>
      </c>
      <c r="S31" s="1" cm="1">
        <f t="array" ref="S31">IF($D$14&gt;=S$26,_xlfn.NORM.DIST(INDEX($D$2:$D$11,$J31)-INDEX($D$2:$D$11,S$26),0,$D$13*SQRT(2),TRUE),1)</f>
        <v>1</v>
      </c>
      <c r="T31" s="1" cm="1">
        <f t="array" ref="T31">IF($D$14&gt;=T$26,_xlfn.NORM.DIST(INDEX($D$2:$D$11,$J31)-INDEX($D$2:$D$11,T$26),0,$D$13*SQRT(2),TRUE),1)</f>
        <v>1</v>
      </c>
    </row>
    <row r="32" spans="10:20" x14ac:dyDescent="0.35">
      <c r="J32" s="1">
        <v>6</v>
      </c>
      <c r="K32" s="1" cm="1">
        <f t="array" ref="K32">IF($D$14&gt;=K$26,_xlfn.NORM.DIST(INDEX($D$2:$D$11,$J32)-INDEX($D$2:$D$11,K$26),0,$D$13*SQRT(2),TRUE),1)</f>
        <v>3.0625916049704043E-2</v>
      </c>
      <c r="L32" s="1" cm="1">
        <f t="array" ref="L32">IF($D$14&gt;=L$26,_xlfn.NORM.DIST(INDEX($D$2:$D$11,$J32)-INDEX($D$2:$D$11,L$26),0,$D$13*SQRT(2),TRUE),1)</f>
        <v>0.12161689111029922</v>
      </c>
      <c r="M32" s="1" cm="1">
        <f t="array" ref="M32">IF($D$14&gt;=M$26,_xlfn.NORM.DIST(INDEX($D$2:$D$11,$J32)-INDEX($D$2:$D$11,M$26),0,$D$13*SQRT(2),TRUE),1)</f>
        <v>0.22580455347455775</v>
      </c>
      <c r="N32" s="1" cm="1">
        <f t="array" ref="N32">IF($D$14&gt;=N$26,_xlfn.NORM.DIST(INDEX($D$2:$D$11,$J32)-INDEX($D$2:$D$11,N$26),0,$D$13*SQRT(2),TRUE),1)</f>
        <v>0.31800299738727378</v>
      </c>
      <c r="O32" s="1" cm="1">
        <f t="array" ref="O32">IF($D$14&gt;=O$26,_xlfn.NORM.DIST(INDEX($D$2:$D$11,$J32)-INDEX($D$2:$D$11,O$26),0,$D$13*SQRT(2),TRUE),1)</f>
        <v>0.40645473564304246</v>
      </c>
      <c r="P32" s="1" cm="1">
        <f t="array" ref="P32">IF($D$14&gt;=P$26,_xlfn.NORM.DIST(INDEX($D$2:$D$11,$J32)-INDEX($D$2:$D$11,P$26),0,$D$13*SQRT(2),TRUE),1)</f>
        <v>1</v>
      </c>
      <c r="Q32" s="1" cm="1">
        <f t="array" ref="Q32">IF($D$14&gt;=Q$26,_xlfn.NORM.DIST(INDEX($D$2:$D$11,$J32)-INDEX($D$2:$D$11,Q$26),0,$D$13*SQRT(2),TRUE),1)</f>
        <v>1</v>
      </c>
      <c r="R32" s="1" cm="1">
        <f t="array" ref="R32">IF($D$14&gt;=R$26,_xlfn.NORM.DIST(INDEX($D$2:$D$11,$J32)-INDEX($D$2:$D$11,R$26),0,$D$13*SQRT(2),TRUE),1)</f>
        <v>1</v>
      </c>
      <c r="S32" s="1" cm="1">
        <f t="array" ref="S32">IF($D$14&gt;=S$26,_xlfn.NORM.DIST(INDEX($D$2:$D$11,$J32)-INDEX($D$2:$D$11,S$26),0,$D$13*SQRT(2),TRUE),1)</f>
        <v>1</v>
      </c>
      <c r="T32" s="1" cm="1">
        <f t="array" ref="T32">IF($D$14&gt;=T$26,_xlfn.NORM.DIST(INDEX($D$2:$D$11,$J32)-INDEX($D$2:$D$11,T$26),0,$D$13*SQRT(2),TRUE),1)</f>
        <v>1</v>
      </c>
    </row>
    <row r="33" spans="10:20" x14ac:dyDescent="0.35">
      <c r="J33" s="1">
        <v>7</v>
      </c>
      <c r="K33" s="1" cm="1">
        <f t="array" ref="K33">IF($D$14&gt;=K$26,_xlfn.NORM.DIST(INDEX($D$2:$D$11,$J33)-INDEX($D$2:$D$11,K$26),0,$D$13*SQRT(2),TRUE),1)</f>
        <v>1.7128779007251568E-2</v>
      </c>
      <c r="L33" s="1" cm="1">
        <f t="array" ref="L33">IF($D$14&gt;=L$26,_xlfn.NORM.DIST(INDEX($D$2:$D$11,$J33)-INDEX($D$2:$D$11,L$26),0,$D$13*SQRT(2),TRUE),1)</f>
        <v>7.8931437366793852E-2</v>
      </c>
      <c r="M33" s="1" cm="1">
        <f t="array" ref="M33">IF($D$14&gt;=M$26,_xlfn.NORM.DIST(INDEX($D$2:$D$11,$J33)-INDEX($D$2:$D$11,M$26),0,$D$13*SQRT(2),TRUE),1)</f>
        <v>0.15911812358932068</v>
      </c>
      <c r="N33" s="1" cm="1">
        <f t="array" ref="N33">IF($D$14&gt;=N$26,_xlfn.NORM.DIST(INDEX($D$2:$D$11,$J33)-INDEX($D$2:$D$11,N$26),0,$D$13*SQRT(2),TRUE),1)</f>
        <v>0.23618007958855131</v>
      </c>
      <c r="O33" s="1" cm="1">
        <f t="array" ref="O33">IF($D$14&gt;=O$26,_xlfn.NORM.DIST(INDEX($D$2:$D$11,$J33)-INDEX($D$2:$D$11,O$26),0,$D$13*SQRT(2),TRUE),1)</f>
        <v>0.31489299110532692</v>
      </c>
      <c r="P33" s="1" cm="1">
        <f t="array" ref="P33">IF($D$14&gt;=P$26,_xlfn.NORM.DIST(INDEX($D$2:$D$11,$J33)-INDEX($D$2:$D$11,P$26),0,$D$13*SQRT(2),TRUE),1)</f>
        <v>1</v>
      </c>
      <c r="Q33" s="1" cm="1">
        <f t="array" ref="Q33">IF($D$14&gt;=Q$26,_xlfn.NORM.DIST(INDEX($D$2:$D$11,$J33)-INDEX($D$2:$D$11,Q$26),0,$D$13*SQRT(2),TRUE),1)</f>
        <v>1</v>
      </c>
      <c r="R33" s="1" cm="1">
        <f t="array" ref="R33">IF($D$14&gt;=R$26,_xlfn.NORM.DIST(INDEX($D$2:$D$11,$J33)-INDEX($D$2:$D$11,R$26),0,$D$13*SQRT(2),TRUE),1)</f>
        <v>1</v>
      </c>
      <c r="S33" s="1" cm="1">
        <f t="array" ref="S33">IF($D$14&gt;=S$26,_xlfn.NORM.DIST(INDEX($D$2:$D$11,$J33)-INDEX($D$2:$D$11,S$26),0,$D$13*SQRT(2),TRUE),1)</f>
        <v>1</v>
      </c>
      <c r="T33" s="1" cm="1">
        <f t="array" ref="T33">IF($D$14&gt;=T$26,_xlfn.NORM.DIST(INDEX($D$2:$D$11,$J33)-INDEX($D$2:$D$11,T$26),0,$D$13*SQRT(2),TRUE),1)</f>
        <v>1</v>
      </c>
    </row>
    <row r="34" spans="10:20" x14ac:dyDescent="0.35">
      <c r="J34" s="1">
        <v>8</v>
      </c>
      <c r="K34" s="1" cm="1">
        <f t="array" ref="K34">IF($D$14&gt;=K$26,_xlfn.NORM.DIST(INDEX($D$2:$D$11,$J34)-INDEX($D$2:$D$11,K$26),0,$D$13*SQRT(2),TRUE),1)</f>
        <v>9.1326016931957115E-3</v>
      </c>
      <c r="L34" s="1" cm="1">
        <f t="array" ref="L34">IF($D$14&gt;=L$26,_xlfn.NORM.DIST(INDEX($D$2:$D$11,$J34)-INDEX($D$2:$D$11,L$26),0,$D$13*SQRT(2),TRUE),1)</f>
        <v>4.8914959342152481E-2</v>
      </c>
      <c r="M34" s="1" cm="1">
        <f t="array" ref="M34">IF($D$14&gt;=M$26,_xlfn.NORM.DIST(INDEX($D$2:$D$11,$J34)-INDEX($D$2:$D$11,M$26),0,$D$13*SQRT(2),TRUE),1)</f>
        <v>0.10725494622336249</v>
      </c>
      <c r="N34" s="1" cm="1">
        <f t="array" ref="N34">IF($D$14&gt;=N$26,_xlfn.NORM.DIST(INDEX($D$2:$D$11,$J34)-INDEX($D$2:$D$11,N$26),0,$D$13*SQRT(2),TRUE),1)</f>
        <v>0.16807131262286482</v>
      </c>
      <c r="O34" s="1" cm="1">
        <f t="array" ref="O34">IF($D$14&gt;=O$26,_xlfn.NORM.DIST(INDEX($D$2:$D$11,$J34)-INDEX($D$2:$D$11,O$26),0,$D$13*SQRT(2),TRUE),1)</f>
        <v>0.23416506520546929</v>
      </c>
      <c r="P34" s="1" cm="1">
        <f t="array" ref="P34">IF($D$14&gt;=P$26,_xlfn.NORM.DIST(INDEX($D$2:$D$11,$J34)-INDEX($D$2:$D$11,P$26),0,$D$13*SQRT(2),TRUE),1)</f>
        <v>1</v>
      </c>
      <c r="Q34" s="1" cm="1">
        <f t="array" ref="Q34">IF($D$14&gt;=Q$26,_xlfn.NORM.DIST(INDEX($D$2:$D$11,$J34)-INDEX($D$2:$D$11,Q$26),0,$D$13*SQRT(2),TRUE),1)</f>
        <v>1</v>
      </c>
      <c r="R34" s="1" cm="1">
        <f t="array" ref="R34">IF($D$14&gt;=R$26,_xlfn.NORM.DIST(INDEX($D$2:$D$11,$J34)-INDEX($D$2:$D$11,R$26),0,$D$13*SQRT(2),TRUE),1)</f>
        <v>1</v>
      </c>
      <c r="S34" s="1" cm="1">
        <f t="array" ref="S34">IF($D$14&gt;=S$26,_xlfn.NORM.DIST(INDEX($D$2:$D$11,$J34)-INDEX($D$2:$D$11,S$26),0,$D$13*SQRT(2),TRUE),1)</f>
        <v>1</v>
      </c>
      <c r="T34" s="1" cm="1">
        <f t="array" ref="T34">IF($D$14&gt;=T$26,_xlfn.NORM.DIST(INDEX($D$2:$D$11,$J34)-INDEX($D$2:$D$11,T$26),0,$D$13*SQRT(2),TRUE),1)</f>
        <v>1</v>
      </c>
    </row>
    <row r="35" spans="10:20" x14ac:dyDescent="0.35">
      <c r="J35" s="1">
        <v>9</v>
      </c>
      <c r="K35" s="1" cm="1">
        <f t="array" ref="K35">IF($D$14&gt;=K$26,_xlfn.NORM.DIST(INDEX($D$2:$D$11,$J35)-INDEX($D$2:$D$11,K$26),0,$D$13*SQRT(2),TRUE),1)</f>
        <v>4.8602043854783523E-3</v>
      </c>
      <c r="L35" s="1" cm="1">
        <f t="array" ref="L35">IF($D$14&gt;=L$26,_xlfn.NORM.DIST(INDEX($D$2:$D$11,$J35)-INDEX($D$2:$D$11,L$26),0,$D$13*SQRT(2),TRUE),1)</f>
        <v>2.9993534323823384E-2</v>
      </c>
      <c r="M35" s="1" cm="1">
        <f t="array" ref="M35">IF($D$14&gt;=M$26,_xlfn.NORM.DIST(INDEX($D$2:$D$11,$J35)-INDEX($D$2:$D$11,M$26),0,$D$13*SQRT(2),TRUE),1)</f>
        <v>7.1231328252119461E-2</v>
      </c>
      <c r="N35" s="1" cm="1">
        <f t="array" ref="N35">IF($D$14&gt;=N$26,_xlfn.NORM.DIST(INDEX($D$2:$D$11,$J35)-INDEX($D$2:$D$11,N$26),0,$D$13*SQRT(2),TRUE),1)</f>
        <v>0.11756706795894903</v>
      </c>
      <c r="O35" s="1" cm="1">
        <f t="array" ref="O35">IF($D$14&gt;=O$26,_xlfn.NORM.DIST(INDEX($D$2:$D$11,$J35)-INDEX($D$2:$D$11,O$26),0,$D$13*SQRT(2),TRUE),1)</f>
        <v>0.17089842289959475</v>
      </c>
      <c r="P35" s="1" cm="1">
        <f t="array" ref="P35">IF($D$14&gt;=P$26,_xlfn.NORM.DIST(INDEX($D$2:$D$11,$J35)-INDEX($D$2:$D$11,P$26),0,$D$13*SQRT(2),TRUE),1)</f>
        <v>1</v>
      </c>
      <c r="Q35" s="1" cm="1">
        <f t="array" ref="Q35">IF($D$14&gt;=Q$26,_xlfn.NORM.DIST(INDEX($D$2:$D$11,$J35)-INDEX($D$2:$D$11,Q$26),0,$D$13*SQRT(2),TRUE),1)</f>
        <v>1</v>
      </c>
      <c r="R35" s="1" cm="1">
        <f t="array" ref="R35">IF($D$14&gt;=R$26,_xlfn.NORM.DIST(INDEX($D$2:$D$11,$J35)-INDEX($D$2:$D$11,R$26),0,$D$13*SQRT(2),TRUE),1)</f>
        <v>1</v>
      </c>
      <c r="S35" s="1" cm="1">
        <f t="array" ref="S35">IF($D$14&gt;=S$26,_xlfn.NORM.DIST(INDEX($D$2:$D$11,$J35)-INDEX($D$2:$D$11,S$26),0,$D$13*SQRT(2),TRUE),1)</f>
        <v>1</v>
      </c>
      <c r="T35" s="1" cm="1">
        <f t="array" ref="T35">IF($D$14&gt;=T$26,_xlfn.NORM.DIST(INDEX($D$2:$D$11,$J35)-INDEX($D$2:$D$11,T$26),0,$D$13*SQRT(2),TRUE),1)</f>
        <v>1</v>
      </c>
    </row>
    <row r="36" spans="10:20" x14ac:dyDescent="0.35">
      <c r="J36" s="1">
        <v>10</v>
      </c>
      <c r="K36" s="1" cm="1">
        <f t="array" ref="K36">IF($D$14&gt;=K$26,_xlfn.NORM.DIST(INDEX($D$2:$D$11,$J36)-INDEX($D$2:$D$11,K$26),0,$D$13*SQRT(2),TRUE),1)</f>
        <v>2.6533051111935586E-3</v>
      </c>
      <c r="L36" s="1" cm="1">
        <f t="array" ref="L36">IF($D$14&gt;=L$26,_xlfn.NORM.DIST(INDEX($D$2:$D$11,$J36)-INDEX($D$2:$D$11,L$26),0,$D$13*SQRT(2),TRUE),1)</f>
        <v>1.8622142671283815E-2</v>
      </c>
      <c r="M36" s="1" cm="1">
        <f t="array" ref="M36">IF($D$14&gt;=M$26,_xlfn.NORM.DIST(INDEX($D$2:$D$11,$J36)-INDEX($D$2:$D$11,M$26),0,$D$13*SQRT(2),TRUE),1)</f>
        <v>4.7571651669593623E-2</v>
      </c>
      <c r="N36" s="1" cm="1">
        <f t="array" ref="N36">IF($D$14&gt;=N$26,_xlfn.NORM.DIST(INDEX($D$2:$D$11,$J36)-INDEX($D$2:$D$11,N$26),0,$D$13*SQRT(2),TRUE),1)</f>
        <v>8.2351849446643755E-2</v>
      </c>
      <c r="O36" s="1" cm="1">
        <f t="array" ref="O36">IF($D$14&gt;=O$26,_xlfn.NORM.DIST(INDEX($D$2:$D$11,$J36)-INDEX($D$2:$D$11,O$26),0,$D$13*SQRT(2),TRUE),1)</f>
        <v>0.12449451778934453</v>
      </c>
      <c r="P36" s="1" cm="1">
        <f t="array" ref="P36">IF($D$14&gt;=P$26,_xlfn.NORM.DIST(INDEX($D$2:$D$11,$J36)-INDEX($D$2:$D$11,P$26),0,$D$13*SQRT(2),TRUE),1)</f>
        <v>1</v>
      </c>
      <c r="Q36" s="1" cm="1">
        <f t="array" ref="Q36">IF($D$14&gt;=Q$26,_xlfn.NORM.DIST(INDEX($D$2:$D$11,$J36)-INDEX($D$2:$D$11,Q$26),0,$D$13*SQRT(2),TRUE),1)</f>
        <v>1</v>
      </c>
      <c r="R36" s="1" cm="1">
        <f t="array" ref="R36">IF($D$14&gt;=R$26,_xlfn.NORM.DIST(INDEX($D$2:$D$11,$J36)-INDEX($D$2:$D$11,R$26),0,$D$13*SQRT(2),TRUE),1)</f>
        <v>1</v>
      </c>
      <c r="S36" s="1" cm="1">
        <f t="array" ref="S36">IF($D$14&gt;=S$26,_xlfn.NORM.DIST(INDEX($D$2:$D$11,$J36)-INDEX($D$2:$D$11,S$26),0,$D$13*SQRT(2),TRUE),1)</f>
        <v>1</v>
      </c>
      <c r="T36" s="1" cm="1">
        <f t="array" ref="T36">IF($D$14&gt;=T$26,_xlfn.NORM.DIST(INDEX($D$2:$D$11,$J36)-INDEX($D$2:$D$11,T$26),0,$D$13*SQRT(2),TRUE),1)</f>
        <v>1</v>
      </c>
    </row>
    <row r="38" spans="10:20" x14ac:dyDescent="0.35">
      <c r="J38" s="1" t="s">
        <v>7</v>
      </c>
      <c r="K38" s="1">
        <v>1</v>
      </c>
      <c r="L38" s="1">
        <v>2</v>
      </c>
      <c r="M38" s="1">
        <v>3</v>
      </c>
      <c r="N38" s="1">
        <v>4</v>
      </c>
      <c r="O38" s="1">
        <v>5</v>
      </c>
      <c r="P38" s="1">
        <v>6</v>
      </c>
      <c r="Q38" s="1">
        <v>7</v>
      </c>
      <c r="R38" s="1">
        <v>8</v>
      </c>
      <c r="S38" s="1">
        <v>9</v>
      </c>
      <c r="T38" s="1">
        <v>10</v>
      </c>
    </row>
    <row r="39" spans="10:20" x14ac:dyDescent="0.35">
      <c r="J39" s="1">
        <v>1</v>
      </c>
      <c r="K39" s="1" cm="1">
        <f t="array" ref="K39">IF($E$14&gt;=K$38,_xlfn.NORM.DIST(INDEX($E$2:$E$11,$J39)-INDEX($E$2:$E$11,K$38),0,$E$13*SQRT(2),TRUE),1)</f>
        <v>0.5</v>
      </c>
      <c r="L39" s="1" cm="1">
        <f t="array" ref="L39">IF($E$14&gt;=L$38,_xlfn.NORM.DIST(INDEX($E$2:$E$11,$J39)-INDEX($E$2:$E$11,L$38),0,$E$13*SQRT(2),TRUE),1)</f>
        <v>0.86839801240000236</v>
      </c>
      <c r="M39" s="1" cm="1">
        <f t="array" ref="M39">IF($E$14&gt;=M$38,_xlfn.NORM.DIST(INDEX($E$2:$E$11,$J39)-INDEX($E$2:$E$11,M$38),0,$E$13*SQRT(2),TRUE),1)</f>
        <v>1</v>
      </c>
      <c r="N39" s="1" cm="1">
        <f t="array" ref="N39">IF($E$14&gt;=N$38,_xlfn.NORM.DIST(INDEX($E$2:$E$11,$J39)-INDEX($E$2:$E$11,N$38),0,$E$13*SQRT(2),TRUE),1)</f>
        <v>1</v>
      </c>
      <c r="O39" s="1" cm="1">
        <f t="array" ref="O39">IF($E$14&gt;=O$38,_xlfn.NORM.DIST(INDEX($E$2:$E$11,$J39)-INDEX($E$2:$E$11,O$38),0,$E$13*SQRT(2),TRUE),1)</f>
        <v>1</v>
      </c>
      <c r="P39" s="1" cm="1">
        <f t="array" ref="P39">IF($E$14&gt;=P$38,_xlfn.NORM.DIST(INDEX($E$2:$E$11,$J39)-INDEX($E$2:$E$11,P$38),0,$E$13*SQRT(2),TRUE),1)</f>
        <v>1</v>
      </c>
      <c r="Q39" s="1" cm="1">
        <f t="array" ref="Q39">IF($E$14&gt;=Q$38,_xlfn.NORM.DIST(INDEX($E$2:$E$11,$J39)-INDEX($E$2:$E$11,Q$38),0,$E$13*SQRT(2),TRUE),1)</f>
        <v>1</v>
      </c>
      <c r="R39" s="1" cm="1">
        <f t="array" ref="R39">IF($E$14&gt;=R$38,_xlfn.NORM.DIST(INDEX($E$2:$E$11,$J39)-INDEX($E$2:$E$11,R$38),0,$E$13*SQRT(2),TRUE),1)</f>
        <v>1</v>
      </c>
      <c r="S39" s="1" cm="1">
        <f t="array" ref="S39">IF($E$14&gt;=S$38,_xlfn.NORM.DIST(INDEX($E$2:$E$11,$J39)-INDEX($E$2:$E$11,S$38),0,$E$13*SQRT(2),TRUE),1)</f>
        <v>1</v>
      </c>
      <c r="T39" s="1" cm="1">
        <f t="array" ref="T39">IF($E$14&gt;=T$38,_xlfn.NORM.DIST(INDEX($E$2:$E$11,$J39)-INDEX($E$2:$E$11,T$38),0,$E$13*SQRT(2),TRUE),1)</f>
        <v>1</v>
      </c>
    </row>
    <row r="40" spans="10:20" x14ac:dyDescent="0.35">
      <c r="J40" s="1">
        <v>2</v>
      </c>
      <c r="K40" s="1" cm="1">
        <f t="array" ref="K40">IF($E$14&gt;=K$38,_xlfn.NORM.DIST(INDEX($E$2:$E$11,$J40)-INDEX($E$2:$E$11,K$38),0,$E$13*SQRT(2),TRUE),1)</f>
        <v>0.13160198759999767</v>
      </c>
      <c r="L40" s="1" cm="1">
        <f t="array" ref="L40">IF($E$14&gt;=L$38,_xlfn.NORM.DIST(INDEX($E$2:$E$11,$J40)-INDEX($E$2:$E$11,L$38),0,$E$13*SQRT(2),TRUE),1)</f>
        <v>0.5</v>
      </c>
      <c r="M40" s="1" cm="1">
        <f t="array" ref="M40">IF($E$14&gt;=M$38,_xlfn.NORM.DIST(INDEX($E$2:$E$11,$J40)-INDEX($E$2:$E$11,M$38),0,$E$13*SQRT(2),TRUE),1)</f>
        <v>1</v>
      </c>
      <c r="N40" s="1" cm="1">
        <f t="array" ref="N40">IF($E$14&gt;=N$38,_xlfn.NORM.DIST(INDEX($E$2:$E$11,$J40)-INDEX($E$2:$E$11,N$38),0,$E$13*SQRT(2),TRUE),1)</f>
        <v>1</v>
      </c>
      <c r="O40" s="1" cm="1">
        <f t="array" ref="O40">IF($E$14&gt;=O$38,_xlfn.NORM.DIST(INDEX($E$2:$E$11,$J40)-INDEX($E$2:$E$11,O$38),0,$E$13*SQRT(2),TRUE),1)</f>
        <v>1</v>
      </c>
      <c r="P40" s="1" cm="1">
        <f t="array" ref="P40">IF($E$14&gt;=P$38,_xlfn.NORM.DIST(INDEX($E$2:$E$11,$J40)-INDEX($E$2:$E$11,P$38),0,$E$13*SQRT(2),TRUE),1)</f>
        <v>1</v>
      </c>
      <c r="Q40" s="1" cm="1">
        <f t="array" ref="Q40">IF($E$14&gt;=Q$38,_xlfn.NORM.DIST(INDEX($E$2:$E$11,$J40)-INDEX($E$2:$E$11,Q$38),0,$E$13*SQRT(2),TRUE),1)</f>
        <v>1</v>
      </c>
      <c r="R40" s="1" cm="1">
        <f t="array" ref="R40">IF($E$14&gt;=R$38,_xlfn.NORM.DIST(INDEX($E$2:$E$11,$J40)-INDEX($E$2:$E$11,R$38),0,$E$13*SQRT(2),TRUE),1)</f>
        <v>1</v>
      </c>
      <c r="S40" s="1" cm="1">
        <f t="array" ref="S40">IF($E$14&gt;=S$38,_xlfn.NORM.DIST(INDEX($E$2:$E$11,$J40)-INDEX($E$2:$E$11,S$38),0,$E$13*SQRT(2),TRUE),1)</f>
        <v>1</v>
      </c>
      <c r="T40" s="1" cm="1">
        <f t="array" ref="T40">IF($E$14&gt;=T$38,_xlfn.NORM.DIST(INDEX($E$2:$E$11,$J40)-INDEX($E$2:$E$11,T$38),0,$E$13*SQRT(2),TRUE),1)</f>
        <v>1</v>
      </c>
    </row>
    <row r="41" spans="10:20" x14ac:dyDescent="0.35">
      <c r="J41" s="1">
        <v>3</v>
      </c>
      <c r="K41" s="1" cm="1">
        <f t="array" ref="K41">IF($E$14&gt;=K$38,_xlfn.NORM.DIST(INDEX($E$2:$E$11,$J41)-INDEX($E$2:$E$11,K$38),0,$E$13*SQRT(2),TRUE),1)</f>
        <v>4.2293393061291137E-2</v>
      </c>
      <c r="L41" s="1" cm="1">
        <f t="array" ref="L41">IF($E$14&gt;=L$38,_xlfn.NORM.DIST(INDEX($E$2:$E$11,$J41)-INDEX($E$2:$E$11,L$38),0,$E$13*SQRT(2),TRUE),1)</f>
        <v>0.27231694838135567</v>
      </c>
      <c r="M41" s="1" cm="1">
        <f t="array" ref="M41">IF($E$14&gt;=M$38,_xlfn.NORM.DIST(INDEX($E$2:$E$11,$J41)-INDEX($E$2:$E$11,M$38),0,$E$13*SQRT(2),TRUE),1)</f>
        <v>1</v>
      </c>
      <c r="N41" s="1" cm="1">
        <f t="array" ref="N41">IF($E$14&gt;=N$38,_xlfn.NORM.DIST(INDEX($E$2:$E$11,$J41)-INDEX($E$2:$E$11,N$38),0,$E$13*SQRT(2),TRUE),1)</f>
        <v>1</v>
      </c>
      <c r="O41" s="1" cm="1">
        <f t="array" ref="O41">IF($E$14&gt;=O$38,_xlfn.NORM.DIST(INDEX($E$2:$E$11,$J41)-INDEX($E$2:$E$11,O$38),0,$E$13*SQRT(2),TRUE),1)</f>
        <v>1</v>
      </c>
      <c r="P41" s="1" cm="1">
        <f t="array" ref="P41">IF($E$14&gt;=P$38,_xlfn.NORM.DIST(INDEX($E$2:$E$11,$J41)-INDEX($E$2:$E$11,P$38),0,$E$13*SQRT(2),TRUE),1)</f>
        <v>1</v>
      </c>
      <c r="Q41" s="1" cm="1">
        <f t="array" ref="Q41">IF($E$14&gt;=Q$38,_xlfn.NORM.DIST(INDEX($E$2:$E$11,$J41)-INDEX($E$2:$E$11,Q$38),0,$E$13*SQRT(2),TRUE),1)</f>
        <v>1</v>
      </c>
      <c r="R41" s="1" cm="1">
        <f t="array" ref="R41">IF($E$14&gt;=R$38,_xlfn.NORM.DIST(INDEX($E$2:$E$11,$J41)-INDEX($E$2:$E$11,R$38),0,$E$13*SQRT(2),TRUE),1)</f>
        <v>1</v>
      </c>
      <c r="S41" s="1" cm="1">
        <f t="array" ref="S41">IF($E$14&gt;=S$38,_xlfn.NORM.DIST(INDEX($E$2:$E$11,$J41)-INDEX($E$2:$E$11,S$38),0,$E$13*SQRT(2),TRUE),1)</f>
        <v>1</v>
      </c>
      <c r="T41" s="1" cm="1">
        <f t="array" ref="T41">IF($E$14&gt;=T$38,_xlfn.NORM.DIST(INDEX($E$2:$E$11,$J41)-INDEX($E$2:$E$11,T$38),0,$E$13*SQRT(2),TRUE),1)</f>
        <v>1</v>
      </c>
    </row>
    <row r="42" spans="10:20" x14ac:dyDescent="0.35">
      <c r="J42" s="1">
        <v>4</v>
      </c>
      <c r="K42" s="1" cm="1">
        <f t="array" ref="K42">IF($E$14&gt;=K$38,_xlfn.NORM.DIST(INDEX($E$2:$E$11,$J42)-INDEX($E$2:$E$11,K$38),0,$E$13*SQRT(2),TRUE),1)</f>
        <v>1.4605421017168142E-2</v>
      </c>
      <c r="L42" s="1" cm="1">
        <f t="array" ref="L42">IF($E$14&gt;=L$38,_xlfn.NORM.DIST(INDEX($E$2:$E$11,$J42)-INDEX($E$2:$E$11,L$38),0,$E$13*SQRT(2),TRUE),1)</f>
        <v>0.14416801790882322</v>
      </c>
      <c r="M42" s="1" cm="1">
        <f t="array" ref="M42">IF($E$14&gt;=M$38,_xlfn.NORM.DIST(INDEX($E$2:$E$11,$J42)-INDEX($E$2:$E$11,M$38),0,$E$13*SQRT(2),TRUE),1)</f>
        <v>1</v>
      </c>
      <c r="N42" s="1" cm="1">
        <f t="array" ref="N42">IF($E$14&gt;=N$38,_xlfn.NORM.DIST(INDEX($E$2:$E$11,$J42)-INDEX($E$2:$E$11,N$38),0,$E$13*SQRT(2),TRUE),1)</f>
        <v>1</v>
      </c>
      <c r="O42" s="1" cm="1">
        <f t="array" ref="O42">IF($E$14&gt;=O$38,_xlfn.NORM.DIST(INDEX($E$2:$E$11,$J42)-INDEX($E$2:$E$11,O$38),0,$E$13*SQRT(2),TRUE),1)</f>
        <v>1</v>
      </c>
      <c r="P42" s="1" cm="1">
        <f t="array" ref="P42">IF($E$14&gt;=P$38,_xlfn.NORM.DIST(INDEX($E$2:$E$11,$J42)-INDEX($E$2:$E$11,P$38),0,$E$13*SQRT(2),TRUE),1)</f>
        <v>1</v>
      </c>
      <c r="Q42" s="1" cm="1">
        <f t="array" ref="Q42">IF($E$14&gt;=Q$38,_xlfn.NORM.DIST(INDEX($E$2:$E$11,$J42)-INDEX($E$2:$E$11,Q$38),0,$E$13*SQRT(2),TRUE),1)</f>
        <v>1</v>
      </c>
      <c r="R42" s="1" cm="1">
        <f t="array" ref="R42">IF($E$14&gt;=R$38,_xlfn.NORM.DIST(INDEX($E$2:$E$11,$J42)-INDEX($E$2:$E$11,R$38),0,$E$13*SQRT(2),TRUE),1)</f>
        <v>1</v>
      </c>
      <c r="S42" s="1" cm="1">
        <f t="array" ref="S42">IF($E$14&gt;=S$38,_xlfn.NORM.DIST(INDEX($E$2:$E$11,$J42)-INDEX($E$2:$E$11,S$38),0,$E$13*SQRT(2),TRUE),1)</f>
        <v>1</v>
      </c>
      <c r="T42" s="1" cm="1">
        <f t="array" ref="T42">IF($E$14&gt;=T$38,_xlfn.NORM.DIST(INDEX($E$2:$E$11,$J42)-INDEX($E$2:$E$11,T$38),0,$E$13*SQRT(2),TRUE),1)</f>
        <v>1</v>
      </c>
    </row>
    <row r="43" spans="10:20" x14ac:dyDescent="0.35">
      <c r="J43" s="1">
        <v>5</v>
      </c>
      <c r="K43" s="1" cm="1">
        <f t="array" ref="K43">IF($E$14&gt;=K$38,_xlfn.NORM.DIST(INDEX($E$2:$E$11,$J43)-INDEX($E$2:$E$11,K$38),0,$E$13*SQRT(2),TRUE),1)</f>
        <v>2.2211725982510216E-3</v>
      </c>
      <c r="L43" s="1" cm="1">
        <f t="array" ref="L43">IF($E$14&gt;=L$38,_xlfn.NORM.DIST(INDEX($E$2:$E$11,$J43)-INDEX($E$2:$E$11,L$38),0,$E$13*SQRT(2),TRUE),1)</f>
        <v>4.2168007512232993E-2</v>
      </c>
      <c r="M43" s="1" cm="1">
        <f t="array" ref="M43">IF($E$14&gt;=M$38,_xlfn.NORM.DIST(INDEX($E$2:$E$11,$J43)-INDEX($E$2:$E$11,M$38),0,$E$13*SQRT(2),TRUE),1)</f>
        <v>1</v>
      </c>
      <c r="N43" s="1" cm="1">
        <f t="array" ref="N43">IF($E$14&gt;=N$38,_xlfn.NORM.DIST(INDEX($E$2:$E$11,$J43)-INDEX($E$2:$E$11,N$38),0,$E$13*SQRT(2),TRUE),1)</f>
        <v>1</v>
      </c>
      <c r="O43" s="1" cm="1">
        <f t="array" ref="O43">IF($E$14&gt;=O$38,_xlfn.NORM.DIST(INDEX($E$2:$E$11,$J43)-INDEX($E$2:$E$11,O$38),0,$E$13*SQRT(2),TRUE),1)</f>
        <v>1</v>
      </c>
      <c r="P43" s="1" cm="1">
        <f t="array" ref="P43">IF($E$14&gt;=P$38,_xlfn.NORM.DIST(INDEX($E$2:$E$11,$J43)-INDEX($E$2:$E$11,P$38),0,$E$13*SQRT(2),TRUE),1)</f>
        <v>1</v>
      </c>
      <c r="Q43" s="1" cm="1">
        <f t="array" ref="Q43">IF($E$14&gt;=Q$38,_xlfn.NORM.DIST(INDEX($E$2:$E$11,$J43)-INDEX($E$2:$E$11,Q$38),0,$E$13*SQRT(2),TRUE),1)</f>
        <v>1</v>
      </c>
      <c r="R43" s="1" cm="1">
        <f t="array" ref="R43">IF($E$14&gt;=R$38,_xlfn.NORM.DIST(INDEX($E$2:$E$11,$J43)-INDEX($E$2:$E$11,R$38),0,$E$13*SQRT(2),TRUE),1)</f>
        <v>1</v>
      </c>
      <c r="S43" s="1" cm="1">
        <f t="array" ref="S43">IF($E$14&gt;=S$38,_xlfn.NORM.DIST(INDEX($E$2:$E$11,$J43)-INDEX($E$2:$E$11,S$38),0,$E$13*SQRT(2),TRUE),1)</f>
        <v>1</v>
      </c>
      <c r="T43" s="1" cm="1">
        <f t="array" ref="T43">IF($E$14&gt;=T$38,_xlfn.NORM.DIST(INDEX($E$2:$E$11,$J43)-INDEX($E$2:$E$11,T$38),0,$E$13*SQRT(2),TRUE),1)</f>
        <v>1</v>
      </c>
    </row>
    <row r="44" spans="10:20" x14ac:dyDescent="0.35">
      <c r="J44" s="1">
        <v>6</v>
      </c>
      <c r="K44" s="1" cm="1">
        <f t="array" ref="K44">IF($E$14&gt;=K$38,_xlfn.NORM.DIST(INDEX($E$2:$E$11,$J44)-INDEX($E$2:$E$11,K$38),0,$E$13*SQRT(2),TRUE),1)</f>
        <v>8.5269089075242133E-6</v>
      </c>
      <c r="L44" s="1" cm="1">
        <f t="array" ref="L44">IF($E$14&gt;=L$38,_xlfn.NORM.DIST(INDEX($E$2:$E$11,$J44)-INDEX($E$2:$E$11,L$38),0,$E$13*SQRT(2),TRUE),1)</f>
        <v>7.3260516168965515E-4</v>
      </c>
      <c r="M44" s="1" cm="1">
        <f t="array" ref="M44">IF($E$14&gt;=M$38,_xlfn.NORM.DIST(INDEX($E$2:$E$11,$J44)-INDEX($E$2:$E$11,M$38),0,$E$13*SQRT(2),TRUE),1)</f>
        <v>1</v>
      </c>
      <c r="N44" s="1" cm="1">
        <f t="array" ref="N44">IF($E$14&gt;=N$38,_xlfn.NORM.DIST(INDEX($E$2:$E$11,$J44)-INDEX($E$2:$E$11,N$38),0,$E$13*SQRT(2),TRUE),1)</f>
        <v>1</v>
      </c>
      <c r="O44" s="1" cm="1">
        <f t="array" ref="O44">IF($E$14&gt;=O$38,_xlfn.NORM.DIST(INDEX($E$2:$E$11,$J44)-INDEX($E$2:$E$11,O$38),0,$E$13*SQRT(2),TRUE),1)</f>
        <v>1</v>
      </c>
      <c r="P44" s="1" cm="1">
        <f t="array" ref="P44">IF($E$14&gt;=P$38,_xlfn.NORM.DIST(INDEX($E$2:$E$11,$J44)-INDEX($E$2:$E$11,P$38),0,$E$13*SQRT(2),TRUE),1)</f>
        <v>1</v>
      </c>
      <c r="Q44" s="1" cm="1">
        <f t="array" ref="Q44">IF($E$14&gt;=Q$38,_xlfn.NORM.DIST(INDEX($E$2:$E$11,$J44)-INDEX($E$2:$E$11,Q$38),0,$E$13*SQRT(2),TRUE),1)</f>
        <v>1</v>
      </c>
      <c r="R44" s="1" cm="1">
        <f t="array" ref="R44">IF($E$14&gt;=R$38,_xlfn.NORM.DIST(INDEX($E$2:$E$11,$J44)-INDEX($E$2:$E$11,R$38),0,$E$13*SQRT(2),TRUE),1)</f>
        <v>1</v>
      </c>
      <c r="S44" s="1" cm="1">
        <f t="array" ref="S44">IF($E$14&gt;=S$38,_xlfn.NORM.DIST(INDEX($E$2:$E$11,$J44)-INDEX($E$2:$E$11,S$38),0,$E$13*SQRT(2),TRUE),1)</f>
        <v>1</v>
      </c>
      <c r="T44" s="1" cm="1">
        <f t="array" ref="T44">IF($E$14&gt;=T$38,_xlfn.NORM.DIST(INDEX($E$2:$E$11,$J44)-INDEX($E$2:$E$11,T$38),0,$E$13*SQRT(2),TRUE),1)</f>
        <v>1</v>
      </c>
    </row>
    <row r="45" spans="10:20" x14ac:dyDescent="0.35">
      <c r="J45" s="1">
        <v>7</v>
      </c>
      <c r="K45" s="1" cm="1">
        <f t="array" ref="K45">IF($E$14&gt;=K$38,_xlfn.NORM.DIST(INDEX($E$2:$E$11,$J45)-INDEX($E$2:$E$11,K$38),0,$E$13*SQRT(2),TRUE),1)</f>
        <v>1.6760307584557796E-14</v>
      </c>
      <c r="L45" s="1" cm="1">
        <f t="array" ref="L45">IF($E$14&gt;=L$38,_xlfn.NORM.DIST(INDEX($E$2:$E$11,$J45)-INDEX($E$2:$E$11,L$38),0,$E$13*SQRT(2),TRUE),1)</f>
        <v>5.0618090502246372E-11</v>
      </c>
      <c r="M45" s="1" cm="1">
        <f t="array" ref="M45">IF($E$14&gt;=M$38,_xlfn.NORM.DIST(INDEX($E$2:$E$11,$J45)-INDEX($E$2:$E$11,M$38),0,$E$13*SQRT(2),TRUE),1)</f>
        <v>1</v>
      </c>
      <c r="N45" s="1" cm="1">
        <f t="array" ref="N45">IF($E$14&gt;=N$38,_xlfn.NORM.DIST(INDEX($E$2:$E$11,$J45)-INDEX($E$2:$E$11,N$38),0,$E$13*SQRT(2),TRUE),1)</f>
        <v>1</v>
      </c>
      <c r="O45" s="1" cm="1">
        <f t="array" ref="O45">IF($E$14&gt;=O$38,_xlfn.NORM.DIST(INDEX($E$2:$E$11,$J45)-INDEX($E$2:$E$11,O$38),0,$E$13*SQRT(2),TRUE),1)</f>
        <v>1</v>
      </c>
      <c r="P45" s="1" cm="1">
        <f t="array" ref="P45">IF($E$14&gt;=P$38,_xlfn.NORM.DIST(INDEX($E$2:$E$11,$J45)-INDEX($E$2:$E$11,P$38),0,$E$13*SQRT(2),TRUE),1)</f>
        <v>1</v>
      </c>
      <c r="Q45" s="1" cm="1">
        <f t="array" ref="Q45">IF($E$14&gt;=Q$38,_xlfn.NORM.DIST(INDEX($E$2:$E$11,$J45)-INDEX($E$2:$E$11,Q$38),0,$E$13*SQRT(2),TRUE),1)</f>
        <v>1</v>
      </c>
      <c r="R45" s="1" cm="1">
        <f t="array" ref="R45">IF($E$14&gt;=R$38,_xlfn.NORM.DIST(INDEX($E$2:$E$11,$J45)-INDEX($E$2:$E$11,R$38),0,$E$13*SQRT(2),TRUE),1)</f>
        <v>1</v>
      </c>
      <c r="S45" s="1" cm="1">
        <f t="array" ref="S45">IF($E$14&gt;=S$38,_xlfn.NORM.DIST(INDEX($E$2:$E$11,$J45)-INDEX($E$2:$E$11,S$38),0,$E$13*SQRT(2),TRUE),1)</f>
        <v>1</v>
      </c>
      <c r="T45" s="1" cm="1">
        <f t="array" ref="T45">IF($E$14&gt;=T$38,_xlfn.NORM.DIST(INDEX($E$2:$E$11,$J45)-INDEX($E$2:$E$11,T$38),0,$E$13*SQRT(2),TRUE),1)</f>
        <v>1</v>
      </c>
    </row>
    <row r="46" spans="10:20" x14ac:dyDescent="0.35">
      <c r="J46" s="1">
        <v>8</v>
      </c>
      <c r="K46" s="1" cm="1">
        <f t="array" ref="K46">IF($E$14&gt;=K$38,_xlfn.NORM.DIST(INDEX($E$2:$E$11,$J46)-INDEX($E$2:$E$11,K$38),0,$E$13*SQRT(2),TRUE),1)</f>
        <v>2.0341845368709904E-47</v>
      </c>
      <c r="L46" s="1" cm="1">
        <f t="array" ref="L46">IF($E$14&gt;=L$38,_xlfn.NORM.DIST(INDEX($E$2:$E$11,$J46)-INDEX($E$2:$E$11,L$38),0,$E$13*SQRT(2),TRUE),1)</f>
        <v>1.1925327966223417E-40</v>
      </c>
      <c r="M46" s="1" cm="1">
        <f t="array" ref="M46">IF($E$14&gt;=M$38,_xlfn.NORM.DIST(INDEX($E$2:$E$11,$J46)-INDEX($E$2:$E$11,M$38),0,$E$13*SQRT(2),TRUE),1)</f>
        <v>1</v>
      </c>
      <c r="N46" s="1" cm="1">
        <f t="array" ref="N46">IF($E$14&gt;=N$38,_xlfn.NORM.DIST(INDEX($E$2:$E$11,$J46)-INDEX($E$2:$E$11,N$38),0,$E$13*SQRT(2),TRUE),1)</f>
        <v>1</v>
      </c>
      <c r="O46" s="1" cm="1">
        <f t="array" ref="O46">IF($E$14&gt;=O$38,_xlfn.NORM.DIST(INDEX($E$2:$E$11,$J46)-INDEX($E$2:$E$11,O$38),0,$E$13*SQRT(2),TRUE),1)</f>
        <v>1</v>
      </c>
      <c r="P46" s="1" cm="1">
        <f t="array" ref="P46">IF($E$14&gt;=P$38,_xlfn.NORM.DIST(INDEX($E$2:$E$11,$J46)-INDEX($E$2:$E$11,P$38),0,$E$13*SQRT(2),TRUE),1)</f>
        <v>1</v>
      </c>
      <c r="Q46" s="1" cm="1">
        <f t="array" ref="Q46">IF($E$14&gt;=Q$38,_xlfn.NORM.DIST(INDEX($E$2:$E$11,$J46)-INDEX($E$2:$E$11,Q$38),0,$E$13*SQRT(2),TRUE),1)</f>
        <v>1</v>
      </c>
      <c r="R46" s="1" cm="1">
        <f t="array" ref="R46">IF($E$14&gt;=R$38,_xlfn.NORM.DIST(INDEX($E$2:$E$11,$J46)-INDEX($E$2:$E$11,R$38),0,$E$13*SQRT(2),TRUE),1)</f>
        <v>1</v>
      </c>
      <c r="S46" s="1" cm="1">
        <f t="array" ref="S46">IF($E$14&gt;=S$38,_xlfn.NORM.DIST(INDEX($E$2:$E$11,$J46)-INDEX($E$2:$E$11,S$38),0,$E$13*SQRT(2),TRUE),1)</f>
        <v>1</v>
      </c>
      <c r="T46" s="1" cm="1">
        <f t="array" ref="T46">IF($E$14&gt;=T$38,_xlfn.NORM.DIST(INDEX($E$2:$E$11,$J46)-INDEX($E$2:$E$11,T$38),0,$E$13*SQRT(2),TRUE),1)</f>
        <v>1</v>
      </c>
    </row>
    <row r="47" spans="10:20" x14ac:dyDescent="0.35">
      <c r="J47" s="1">
        <v>9</v>
      </c>
      <c r="K47" s="1" cm="1">
        <f t="array" ref="K47">IF($E$14&gt;=K$38,_xlfn.NORM.DIST(INDEX($E$2:$E$11,$J47)-INDEX($E$2:$E$11,K$38),0,$E$13*SQRT(2),TRUE),1)</f>
        <v>5.5949875835988285E-166</v>
      </c>
      <c r="L47" s="1" cm="1">
        <f t="array" ref="L47">IF($E$14&gt;=L$38,_xlfn.NORM.DIST(INDEX($E$2:$E$11,$J47)-INDEX($E$2:$E$11,L$38),0,$E$13*SQRT(2),TRUE),1)</f>
        <v>6.6652876989834848E-153</v>
      </c>
      <c r="M47" s="1" cm="1">
        <f t="array" ref="M47">IF($E$14&gt;=M$38,_xlfn.NORM.DIST(INDEX($E$2:$E$11,$J47)-INDEX($E$2:$E$11,M$38),0,$E$13*SQRT(2),TRUE),1)</f>
        <v>1</v>
      </c>
      <c r="N47" s="1" cm="1">
        <f t="array" ref="N47">IF($E$14&gt;=N$38,_xlfn.NORM.DIST(INDEX($E$2:$E$11,$J47)-INDEX($E$2:$E$11,N$38),0,$E$13*SQRT(2),TRUE),1)</f>
        <v>1</v>
      </c>
      <c r="O47" s="1" cm="1">
        <f t="array" ref="O47">IF($E$14&gt;=O$38,_xlfn.NORM.DIST(INDEX($E$2:$E$11,$J47)-INDEX($E$2:$E$11,O$38),0,$E$13*SQRT(2),TRUE),1)</f>
        <v>1</v>
      </c>
      <c r="P47" s="1" cm="1">
        <f t="array" ref="P47">IF($E$14&gt;=P$38,_xlfn.NORM.DIST(INDEX($E$2:$E$11,$J47)-INDEX($E$2:$E$11,P$38),0,$E$13*SQRT(2),TRUE),1)</f>
        <v>1</v>
      </c>
      <c r="Q47" s="1" cm="1">
        <f t="array" ref="Q47">IF($E$14&gt;=Q$38,_xlfn.NORM.DIST(INDEX($E$2:$E$11,$J47)-INDEX($E$2:$E$11,Q$38),0,$E$13*SQRT(2),TRUE),1)</f>
        <v>1</v>
      </c>
      <c r="R47" s="1" cm="1">
        <f t="array" ref="R47">IF($E$14&gt;=R$38,_xlfn.NORM.DIST(INDEX($E$2:$E$11,$J47)-INDEX($E$2:$E$11,R$38),0,$E$13*SQRT(2),TRUE),1)</f>
        <v>1</v>
      </c>
      <c r="S47" s="1" cm="1">
        <f t="array" ref="S47">IF($E$14&gt;=S$38,_xlfn.NORM.DIST(INDEX($E$2:$E$11,$J47)-INDEX($E$2:$E$11,S$38),0,$E$13*SQRT(2),TRUE),1)</f>
        <v>1</v>
      </c>
      <c r="T47" s="1" cm="1">
        <f t="array" ref="T47">IF($E$14&gt;=T$38,_xlfn.NORM.DIST(INDEX($E$2:$E$11,$J47)-INDEX($E$2:$E$11,T$38),0,$E$13*SQRT(2),TRUE),1)</f>
        <v>1</v>
      </c>
    </row>
    <row r="48" spans="10:20" x14ac:dyDescent="0.35">
      <c r="J48" s="1">
        <v>10</v>
      </c>
      <c r="K48" s="1" cm="1">
        <f t="array" ref="K48">IF($E$14&gt;=K$38,_xlfn.NORM.DIST(INDEX($E$2:$E$11,$J48)-INDEX($E$2:$E$11,K$38),0,$E$13*SQRT(2),TRUE),1)</f>
        <v>0</v>
      </c>
      <c r="L48" s="1" cm="1">
        <f t="array" ref="L48">IF($E$14&gt;=L$38,_xlfn.NORM.DIST(INDEX($E$2:$E$11,$J48)-INDEX($E$2:$E$11,L$38),0,$E$13*SQRT(2),TRUE),1)</f>
        <v>0</v>
      </c>
      <c r="M48" s="1" cm="1">
        <f t="array" ref="M48">IF($E$14&gt;=M$38,_xlfn.NORM.DIST(INDEX($E$2:$E$11,$J48)-INDEX($E$2:$E$11,M$38),0,$E$13*SQRT(2),TRUE),1)</f>
        <v>1</v>
      </c>
      <c r="N48" s="1" cm="1">
        <f t="array" ref="N48">IF($E$14&gt;=N$38,_xlfn.NORM.DIST(INDEX($E$2:$E$11,$J48)-INDEX($E$2:$E$11,N$38),0,$E$13*SQRT(2),TRUE),1)</f>
        <v>1</v>
      </c>
      <c r="O48" s="1" cm="1">
        <f t="array" ref="O48">IF($E$14&gt;=O$38,_xlfn.NORM.DIST(INDEX($E$2:$E$11,$J48)-INDEX($E$2:$E$11,O$38),0,$E$13*SQRT(2),TRUE),1)</f>
        <v>1</v>
      </c>
      <c r="P48" s="1" cm="1">
        <f t="array" ref="P48">IF($E$14&gt;=P$38,_xlfn.NORM.DIST(INDEX($E$2:$E$11,$J48)-INDEX($E$2:$E$11,P$38),0,$E$13*SQRT(2),TRUE),1)</f>
        <v>1</v>
      </c>
      <c r="Q48" s="1" cm="1">
        <f t="array" ref="Q48">IF($E$14&gt;=Q$38,_xlfn.NORM.DIST(INDEX($E$2:$E$11,$J48)-INDEX($E$2:$E$11,Q$38),0,$E$13*SQRT(2),TRUE),1)</f>
        <v>1</v>
      </c>
      <c r="R48" s="1" cm="1">
        <f t="array" ref="R48">IF($E$14&gt;=R$38,_xlfn.NORM.DIST(INDEX($E$2:$E$11,$J48)-INDEX($E$2:$E$11,R$38),0,$E$13*SQRT(2),TRUE),1)</f>
        <v>1</v>
      </c>
      <c r="S48" s="1" cm="1">
        <f t="array" ref="S48">IF($E$14&gt;=S$38,_xlfn.NORM.DIST(INDEX($E$2:$E$11,$J48)-INDEX($E$2:$E$11,S$38),0,$E$13*SQRT(2),TRUE),1)</f>
        <v>1</v>
      </c>
      <c r="T48" s="1" cm="1">
        <f t="array" ref="T48">IF($E$14&gt;=T$38,_xlfn.NORM.DIST(INDEX($E$2:$E$11,$J48)-INDEX($E$2:$E$11,T$38),0,$E$13*SQRT(2),TRUE),1)</f>
        <v>1</v>
      </c>
    </row>
    <row r="50" spans="10:20" x14ac:dyDescent="0.35">
      <c r="J50" s="1" t="s">
        <v>8</v>
      </c>
      <c r="K50" s="1">
        <v>1</v>
      </c>
      <c r="L50" s="1">
        <v>2</v>
      </c>
      <c r="M50" s="1">
        <v>3</v>
      </c>
      <c r="N50" s="1">
        <v>4</v>
      </c>
      <c r="O50" s="1">
        <v>5</v>
      </c>
      <c r="P50" s="1">
        <v>6</v>
      </c>
      <c r="Q50" s="1">
        <v>7</v>
      </c>
      <c r="R50" s="1">
        <v>8</v>
      </c>
      <c r="S50" s="1">
        <v>9</v>
      </c>
      <c r="T50" s="1">
        <v>10</v>
      </c>
    </row>
    <row r="51" spans="10:20" x14ac:dyDescent="0.35">
      <c r="J51" s="1">
        <v>1</v>
      </c>
      <c r="K51" s="1" cm="1">
        <f t="array" ref="K51">IF($F$14&gt;=K$50,_xlfn.NORM.DIST(INDEX($F$2:$F$11,$J51)-INDEX($F$2:$F$11,K$50),0,$F$13*SQRT(2),TRUE),1)</f>
        <v>0.5</v>
      </c>
      <c r="L51" s="1" cm="1">
        <f t="array" ref="L51">IF($F$14&gt;=L$50,_xlfn.NORM.DIST(INDEX($F$2:$F$11,$J51)-INDEX($F$2:$F$11,L$50),0,$F$13*SQRT(2),TRUE),1)</f>
        <v>1</v>
      </c>
      <c r="M51" s="1" cm="1">
        <f t="array" ref="M51">IF($F$14&gt;=M$50,_xlfn.NORM.DIST(INDEX($F$2:$F$11,$J51)-INDEX($F$2:$F$11,M$50),0,$F$13*SQRT(2),TRUE),1)</f>
        <v>1</v>
      </c>
      <c r="N51" s="1" cm="1">
        <f t="array" ref="N51">IF($F$14&gt;=N$50,_xlfn.NORM.DIST(INDEX($F$2:$F$11,$J51)-INDEX($F$2:$F$11,N$50),0,$F$13*SQRT(2),TRUE),1)</f>
        <v>1</v>
      </c>
      <c r="O51" s="1" cm="1">
        <f t="array" ref="O51">IF($F$14&gt;=O$50,_xlfn.NORM.DIST(INDEX($F$2:$F$11,$J51)-INDEX($F$2:$F$11,O$50),0,$F$13*SQRT(2),TRUE),1)</f>
        <v>1</v>
      </c>
      <c r="P51" s="1" cm="1">
        <f t="array" ref="P51">IF($F$14&gt;=P$50,_xlfn.NORM.DIST(INDEX($F$2:$F$11,$J51)-INDEX($F$2:$F$11,P$50),0,$F$13*SQRT(2),TRUE),1)</f>
        <v>1</v>
      </c>
      <c r="Q51" s="1" cm="1">
        <f t="array" ref="Q51">IF($F$14&gt;=Q$50,_xlfn.NORM.DIST(INDEX($F$2:$F$11,$J51)-INDEX($F$2:$F$11,Q$50),0,$F$13*SQRT(2),TRUE),1)</f>
        <v>1</v>
      </c>
      <c r="R51" s="1" cm="1">
        <f t="array" ref="R51">IF($F$14&gt;=R$50,_xlfn.NORM.DIST(INDEX($F$2:$F$11,$J51)-INDEX($F$2:$F$11,R$50),0,$F$13*SQRT(2),TRUE),1)</f>
        <v>1</v>
      </c>
      <c r="S51" s="1" cm="1">
        <f t="array" ref="S51">IF($F$14&gt;=S$50,_xlfn.NORM.DIST(INDEX($F$2:$F$11,$J51)-INDEX($F$2:$F$11,S$50),0,$F$13*SQRT(2),TRUE),1)</f>
        <v>1</v>
      </c>
      <c r="T51" s="1" cm="1">
        <f t="array" ref="T51">IF($F$14&gt;=T$50,_xlfn.NORM.DIST(INDEX($F$2:$F$11,$J51)-INDEX($F$2:$F$11,T$50),0,$F$13*SQRT(2),TRUE),1)</f>
        <v>1</v>
      </c>
    </row>
    <row r="52" spans="10:20" x14ac:dyDescent="0.35">
      <c r="J52" s="1">
        <v>2</v>
      </c>
      <c r="K52" s="1" cm="1">
        <f t="array" ref="K52">IF($F$14&gt;=K$50,_xlfn.NORM.DIST(INDEX($F$2:$F$11,$J52)-INDEX($F$2:$F$11,K$50),0,$F$13*SQRT(2),TRUE),1)</f>
        <v>0.31291329646798693</v>
      </c>
      <c r="L52" s="1" cm="1">
        <f t="array" ref="L52">IF($F$14&gt;=L$50,_xlfn.NORM.DIST(INDEX($F$2:$F$11,$J52)-INDEX($F$2:$F$11,L$50),0,$F$13*SQRT(2),TRUE),1)</f>
        <v>1</v>
      </c>
      <c r="M52" s="1" cm="1">
        <f t="array" ref="M52">IF($F$14&gt;=M$50,_xlfn.NORM.DIST(INDEX($F$2:$F$11,$J52)-INDEX($F$2:$F$11,M$50),0,$F$13*SQRT(2),TRUE),1)</f>
        <v>1</v>
      </c>
      <c r="N52" s="1" cm="1">
        <f t="array" ref="N52">IF($F$14&gt;=N$50,_xlfn.NORM.DIST(INDEX($F$2:$F$11,$J52)-INDEX($F$2:$F$11,N$50),0,$F$13*SQRT(2),TRUE),1)</f>
        <v>1</v>
      </c>
      <c r="O52" s="1" cm="1">
        <f t="array" ref="O52">IF($F$14&gt;=O$50,_xlfn.NORM.DIST(INDEX($F$2:$F$11,$J52)-INDEX($F$2:$F$11,O$50),0,$F$13*SQRT(2),TRUE),1)</f>
        <v>1</v>
      </c>
      <c r="P52" s="1" cm="1">
        <f t="array" ref="P52">IF($F$14&gt;=P$50,_xlfn.NORM.DIST(INDEX($F$2:$F$11,$J52)-INDEX($F$2:$F$11,P$50),0,$F$13*SQRT(2),TRUE),1)</f>
        <v>1</v>
      </c>
      <c r="Q52" s="1" cm="1">
        <f t="array" ref="Q52">IF($F$14&gt;=Q$50,_xlfn.NORM.DIST(INDEX($F$2:$F$11,$J52)-INDEX($F$2:$F$11,Q$50),0,$F$13*SQRT(2),TRUE),1)</f>
        <v>1</v>
      </c>
      <c r="R52" s="1" cm="1">
        <f t="array" ref="R52">IF($F$14&gt;=R$50,_xlfn.NORM.DIST(INDEX($F$2:$F$11,$J52)-INDEX($F$2:$F$11,R$50),0,$F$13*SQRT(2),TRUE),1)</f>
        <v>1</v>
      </c>
      <c r="S52" s="1" cm="1">
        <f t="array" ref="S52">IF($F$14&gt;=S$50,_xlfn.NORM.DIST(INDEX($F$2:$F$11,$J52)-INDEX($F$2:$F$11,S$50),0,$F$13*SQRT(2),TRUE),1)</f>
        <v>1</v>
      </c>
      <c r="T52" s="1" cm="1">
        <f t="array" ref="T52">IF($F$14&gt;=T$50,_xlfn.NORM.DIST(INDEX($F$2:$F$11,$J52)-INDEX($F$2:$F$11,T$50),0,$F$13*SQRT(2),TRUE),1)</f>
        <v>1</v>
      </c>
    </row>
    <row r="53" spans="10:20" x14ac:dyDescent="0.35">
      <c r="J53" s="1">
        <v>3</v>
      </c>
      <c r="K53" s="1" cm="1">
        <f t="array" ref="K53">IF($F$14&gt;=K$50,_xlfn.NORM.DIST(INDEX($F$2:$F$11,$J53)-INDEX($F$2:$F$11,K$50),0,$F$13*SQRT(2),TRUE),1)</f>
        <v>0.21552991898373647</v>
      </c>
      <c r="L53" s="1" cm="1">
        <f t="array" ref="L53">IF($F$14&gt;=L$50,_xlfn.NORM.DIST(INDEX($F$2:$F$11,$J53)-INDEX($F$2:$F$11,L$50),0,$F$13*SQRT(2),TRUE),1)</f>
        <v>1</v>
      </c>
      <c r="M53" s="1" cm="1">
        <f t="array" ref="M53">IF($F$14&gt;=M$50,_xlfn.NORM.DIST(INDEX($F$2:$F$11,$J53)-INDEX($F$2:$F$11,M$50),0,$F$13*SQRT(2),TRUE),1)</f>
        <v>1</v>
      </c>
      <c r="N53" s="1" cm="1">
        <f t="array" ref="N53">IF($F$14&gt;=N$50,_xlfn.NORM.DIST(INDEX($F$2:$F$11,$J53)-INDEX($F$2:$F$11,N$50),0,$F$13*SQRT(2),TRUE),1)</f>
        <v>1</v>
      </c>
      <c r="O53" s="1" cm="1">
        <f t="array" ref="O53">IF($F$14&gt;=O$50,_xlfn.NORM.DIST(INDEX($F$2:$F$11,$J53)-INDEX($F$2:$F$11,O$50),0,$F$13*SQRT(2),TRUE),1)</f>
        <v>1</v>
      </c>
      <c r="P53" s="1" cm="1">
        <f t="array" ref="P53">IF($F$14&gt;=P$50,_xlfn.NORM.DIST(INDEX($F$2:$F$11,$J53)-INDEX($F$2:$F$11,P$50),0,$F$13*SQRT(2),TRUE),1)</f>
        <v>1</v>
      </c>
      <c r="Q53" s="1" cm="1">
        <f t="array" ref="Q53">IF($F$14&gt;=Q$50,_xlfn.NORM.DIST(INDEX($F$2:$F$11,$J53)-INDEX($F$2:$F$11,Q$50),0,$F$13*SQRT(2),TRUE),1)</f>
        <v>1</v>
      </c>
      <c r="R53" s="1" cm="1">
        <f t="array" ref="R53">IF($F$14&gt;=R$50,_xlfn.NORM.DIST(INDEX($F$2:$F$11,$J53)-INDEX($F$2:$F$11,R$50),0,$F$13*SQRT(2),TRUE),1)</f>
        <v>1</v>
      </c>
      <c r="S53" s="1" cm="1">
        <f t="array" ref="S53">IF($F$14&gt;=S$50,_xlfn.NORM.DIST(INDEX($F$2:$F$11,$J53)-INDEX($F$2:$F$11,S$50),0,$F$13*SQRT(2),TRUE),1)</f>
        <v>1</v>
      </c>
      <c r="T53" s="1" cm="1">
        <f t="array" ref="T53">IF($F$14&gt;=T$50,_xlfn.NORM.DIST(INDEX($F$2:$F$11,$J53)-INDEX($F$2:$F$11,T$50),0,$F$13*SQRT(2),TRUE),1)</f>
        <v>1</v>
      </c>
    </row>
    <row r="54" spans="10:20" x14ac:dyDescent="0.35">
      <c r="J54" s="1">
        <v>4</v>
      </c>
      <c r="K54" s="1" cm="1">
        <f t="array" ref="K54">IF($F$14&gt;=K$50,_xlfn.NORM.DIST(INDEX($F$2:$F$11,$J54)-INDEX($F$2:$F$11,K$50),0,$F$13*SQRT(2),TRUE),1)</f>
        <v>0.15828122314065918</v>
      </c>
      <c r="L54" s="1" cm="1">
        <f t="array" ref="L54">IF($F$14&gt;=L$50,_xlfn.NORM.DIST(INDEX($F$2:$F$11,$J54)-INDEX($F$2:$F$11,L$50),0,$F$13*SQRT(2),TRUE),1)</f>
        <v>1</v>
      </c>
      <c r="M54" s="1" cm="1">
        <f t="array" ref="M54">IF($F$14&gt;=M$50,_xlfn.NORM.DIST(INDEX($F$2:$F$11,$J54)-INDEX($F$2:$F$11,M$50),0,$F$13*SQRT(2),TRUE),1)</f>
        <v>1</v>
      </c>
      <c r="N54" s="1" cm="1">
        <f t="array" ref="N54">IF($F$14&gt;=N$50,_xlfn.NORM.DIST(INDEX($F$2:$F$11,$J54)-INDEX($F$2:$F$11,N$50),0,$F$13*SQRT(2),TRUE),1)</f>
        <v>1</v>
      </c>
      <c r="O54" s="1" cm="1">
        <f t="array" ref="O54">IF($F$14&gt;=O$50,_xlfn.NORM.DIST(INDEX($F$2:$F$11,$J54)-INDEX($F$2:$F$11,O$50),0,$F$13*SQRT(2),TRUE),1)</f>
        <v>1</v>
      </c>
      <c r="P54" s="1" cm="1">
        <f t="array" ref="P54">IF($F$14&gt;=P$50,_xlfn.NORM.DIST(INDEX($F$2:$F$11,$J54)-INDEX($F$2:$F$11,P$50),0,$F$13*SQRT(2),TRUE),1)</f>
        <v>1</v>
      </c>
      <c r="Q54" s="1" cm="1">
        <f t="array" ref="Q54">IF($F$14&gt;=Q$50,_xlfn.NORM.DIST(INDEX($F$2:$F$11,$J54)-INDEX($F$2:$F$11,Q$50),0,$F$13*SQRT(2),TRUE),1)</f>
        <v>1</v>
      </c>
      <c r="R54" s="1" cm="1">
        <f t="array" ref="R54">IF($F$14&gt;=R$50,_xlfn.NORM.DIST(INDEX($F$2:$F$11,$J54)-INDEX($F$2:$F$11,R$50),0,$F$13*SQRT(2),TRUE),1)</f>
        <v>1</v>
      </c>
      <c r="S54" s="1" cm="1">
        <f t="array" ref="S54">IF($F$14&gt;=S$50,_xlfn.NORM.DIST(INDEX($F$2:$F$11,$J54)-INDEX($F$2:$F$11,S$50),0,$F$13*SQRT(2),TRUE),1)</f>
        <v>1</v>
      </c>
      <c r="T54" s="1" cm="1">
        <f t="array" ref="T54">IF($F$14&gt;=T$50,_xlfn.NORM.DIST(INDEX($F$2:$F$11,$J54)-INDEX($F$2:$F$11,T$50),0,$F$13*SQRT(2),TRUE),1)</f>
        <v>1</v>
      </c>
    </row>
    <row r="55" spans="10:20" x14ac:dyDescent="0.35">
      <c r="J55" s="1">
        <v>5</v>
      </c>
      <c r="K55" s="1" cm="1">
        <f t="array" ref="K55">IF($F$14&gt;=K$50,_xlfn.NORM.DIST(INDEX($F$2:$F$11,$J55)-INDEX($F$2:$F$11,K$50),0,$F$13*SQRT(2),TRUE),1)</f>
        <v>8.6206819436176144E-3</v>
      </c>
      <c r="L55" s="1" cm="1">
        <f t="array" ref="L55">IF($F$14&gt;=L$50,_xlfn.NORM.DIST(INDEX($F$2:$F$11,$J55)-INDEX($F$2:$F$11,L$50),0,$F$13*SQRT(2),TRUE),1)</f>
        <v>1</v>
      </c>
      <c r="M55" s="1" cm="1">
        <f t="array" ref="M55">IF($F$14&gt;=M$50,_xlfn.NORM.DIST(INDEX($F$2:$F$11,$J55)-INDEX($F$2:$F$11,M$50),0,$F$13*SQRT(2),TRUE),1)</f>
        <v>1</v>
      </c>
      <c r="N55" s="1" cm="1">
        <f t="array" ref="N55">IF($F$14&gt;=N$50,_xlfn.NORM.DIST(INDEX($F$2:$F$11,$J55)-INDEX($F$2:$F$11,N$50),0,$F$13*SQRT(2),TRUE),1)</f>
        <v>1</v>
      </c>
      <c r="O55" s="1" cm="1">
        <f t="array" ref="O55">IF($F$14&gt;=O$50,_xlfn.NORM.DIST(INDEX($F$2:$F$11,$J55)-INDEX($F$2:$F$11,O$50),0,$F$13*SQRT(2),TRUE),1)</f>
        <v>1</v>
      </c>
      <c r="P55" s="1" cm="1">
        <f t="array" ref="P55">IF($F$14&gt;=P$50,_xlfn.NORM.DIST(INDEX($F$2:$F$11,$J55)-INDEX($F$2:$F$11,P$50),0,$F$13*SQRT(2),TRUE),1)</f>
        <v>1</v>
      </c>
      <c r="Q55" s="1" cm="1">
        <f t="array" ref="Q55">IF($F$14&gt;=Q$50,_xlfn.NORM.DIST(INDEX($F$2:$F$11,$J55)-INDEX($F$2:$F$11,Q$50),0,$F$13*SQRT(2),TRUE),1)</f>
        <v>1</v>
      </c>
      <c r="R55" s="1" cm="1">
        <f t="array" ref="R55">IF($F$14&gt;=R$50,_xlfn.NORM.DIST(INDEX($F$2:$F$11,$J55)-INDEX($F$2:$F$11,R$50),0,$F$13*SQRT(2),TRUE),1)</f>
        <v>1</v>
      </c>
      <c r="S55" s="1" cm="1">
        <f t="array" ref="S55">IF($F$14&gt;=S$50,_xlfn.NORM.DIST(INDEX($F$2:$F$11,$J55)-INDEX($F$2:$F$11,S$50),0,$F$13*SQRT(2),TRUE),1)</f>
        <v>1</v>
      </c>
      <c r="T55" s="1" cm="1">
        <f t="array" ref="T55">IF($F$14&gt;=T$50,_xlfn.NORM.DIST(INDEX($F$2:$F$11,$J55)-INDEX($F$2:$F$11,T$50),0,$F$13*SQRT(2),TRUE),1)</f>
        <v>1</v>
      </c>
    </row>
    <row r="56" spans="10:20" x14ac:dyDescent="0.35">
      <c r="J56" s="1">
        <v>6</v>
      </c>
      <c r="K56" s="1" cm="1">
        <f t="array" ref="K56">IF($F$14&gt;=K$50,_xlfn.NORM.DIST(INDEX($F$2:$F$11,$J56)-INDEX($F$2:$F$11,K$50),0,$F$13*SQRT(2),TRUE),1)</f>
        <v>2.3493707602205494E-22</v>
      </c>
      <c r="L56" s="1" cm="1">
        <f t="array" ref="L56">IF($F$14&gt;=L$50,_xlfn.NORM.DIST(INDEX($F$2:$F$11,$J56)-INDEX($F$2:$F$11,L$50),0,$F$13*SQRT(2),TRUE),1)</f>
        <v>1</v>
      </c>
      <c r="M56" s="1" cm="1">
        <f t="array" ref="M56">IF($F$14&gt;=M$50,_xlfn.NORM.DIST(INDEX($F$2:$F$11,$J56)-INDEX($F$2:$F$11,M$50),0,$F$13*SQRT(2),TRUE),1)</f>
        <v>1</v>
      </c>
      <c r="N56" s="1" cm="1">
        <f t="array" ref="N56">IF($F$14&gt;=N$50,_xlfn.NORM.DIST(INDEX($F$2:$F$11,$J56)-INDEX($F$2:$F$11,N$50),0,$F$13*SQRT(2),TRUE),1)</f>
        <v>1</v>
      </c>
      <c r="O56" s="1" cm="1">
        <f t="array" ref="O56">IF($F$14&gt;=O$50,_xlfn.NORM.DIST(INDEX($F$2:$F$11,$J56)-INDEX($F$2:$F$11,O$50),0,$F$13*SQRT(2),TRUE),1)</f>
        <v>1</v>
      </c>
      <c r="P56" s="1" cm="1">
        <f t="array" ref="P56">IF($F$14&gt;=P$50,_xlfn.NORM.DIST(INDEX($F$2:$F$11,$J56)-INDEX($F$2:$F$11,P$50),0,$F$13*SQRT(2),TRUE),1)</f>
        <v>1</v>
      </c>
      <c r="Q56" s="1" cm="1">
        <f t="array" ref="Q56">IF($F$14&gt;=Q$50,_xlfn.NORM.DIST(INDEX($F$2:$F$11,$J56)-INDEX($F$2:$F$11,Q$50),0,$F$13*SQRT(2),TRUE),1)</f>
        <v>1</v>
      </c>
      <c r="R56" s="1" cm="1">
        <f t="array" ref="R56">IF($F$14&gt;=R$50,_xlfn.NORM.DIST(INDEX($F$2:$F$11,$J56)-INDEX($F$2:$F$11,R$50),0,$F$13*SQRT(2),TRUE),1)</f>
        <v>1</v>
      </c>
      <c r="S56" s="1" cm="1">
        <f t="array" ref="S56">IF($F$14&gt;=S$50,_xlfn.NORM.DIST(INDEX($F$2:$F$11,$J56)-INDEX($F$2:$F$11,S$50),0,$F$13*SQRT(2),TRUE),1)</f>
        <v>1</v>
      </c>
      <c r="T56" s="1" cm="1">
        <f t="array" ref="T56">IF($F$14&gt;=T$50,_xlfn.NORM.DIST(INDEX($F$2:$F$11,$J56)-INDEX($F$2:$F$11,T$50),0,$F$13*SQRT(2),TRUE),1)</f>
        <v>1</v>
      </c>
    </row>
    <row r="57" spans="10:20" x14ac:dyDescent="0.35">
      <c r="J57" s="1">
        <v>7</v>
      </c>
      <c r="K57" s="1" cm="1">
        <f t="array" ref="K57">IF($F$14&gt;=K$50,_xlfn.NORM.DIST(INDEX($F$2:$F$11,$J57)-INDEX($F$2:$F$11,K$50),0,$F$13*SQRT(2),TRUE),1)</f>
        <v>3.5392931962774143E-244</v>
      </c>
      <c r="L57" s="1" cm="1">
        <f t="array" ref="L57">IF($F$14&gt;=L$50,_xlfn.NORM.DIST(INDEX($F$2:$F$11,$J57)-INDEX($F$2:$F$11,L$50),0,$F$13*SQRT(2),TRUE),1)</f>
        <v>1</v>
      </c>
      <c r="M57" s="1" cm="1">
        <f t="array" ref="M57">IF($F$14&gt;=M$50,_xlfn.NORM.DIST(INDEX($F$2:$F$11,$J57)-INDEX($F$2:$F$11,M$50),0,$F$13*SQRT(2),TRUE),1)</f>
        <v>1</v>
      </c>
      <c r="N57" s="1" cm="1">
        <f t="array" ref="N57">IF($F$14&gt;=N$50,_xlfn.NORM.DIST(INDEX($F$2:$F$11,$J57)-INDEX($F$2:$F$11,N$50),0,$F$13*SQRT(2),TRUE),1)</f>
        <v>1</v>
      </c>
      <c r="O57" s="1" cm="1">
        <f t="array" ref="O57">IF($F$14&gt;=O$50,_xlfn.NORM.DIST(INDEX($F$2:$F$11,$J57)-INDEX($F$2:$F$11,O$50),0,$F$13*SQRT(2),TRUE),1)</f>
        <v>1</v>
      </c>
      <c r="P57" s="1" cm="1">
        <f t="array" ref="P57">IF($F$14&gt;=P$50,_xlfn.NORM.DIST(INDEX($F$2:$F$11,$J57)-INDEX($F$2:$F$11,P$50),0,$F$13*SQRT(2),TRUE),1)</f>
        <v>1</v>
      </c>
      <c r="Q57" s="1" cm="1">
        <f t="array" ref="Q57">IF($F$14&gt;=Q$50,_xlfn.NORM.DIST(INDEX($F$2:$F$11,$J57)-INDEX($F$2:$F$11,Q$50),0,$F$13*SQRT(2),TRUE),1)</f>
        <v>1</v>
      </c>
      <c r="R57" s="1" cm="1">
        <f t="array" ref="R57">IF($F$14&gt;=R$50,_xlfn.NORM.DIST(INDEX($F$2:$F$11,$J57)-INDEX($F$2:$F$11,R$50),0,$F$13*SQRT(2),TRUE),1)</f>
        <v>1</v>
      </c>
      <c r="S57" s="1" cm="1">
        <f t="array" ref="S57">IF($F$14&gt;=S$50,_xlfn.NORM.DIST(INDEX($F$2:$F$11,$J57)-INDEX($F$2:$F$11,S$50),0,$F$13*SQRT(2),TRUE),1)</f>
        <v>1</v>
      </c>
      <c r="T57" s="1" cm="1">
        <f t="array" ref="T57">IF($F$14&gt;=T$50,_xlfn.NORM.DIST(INDEX($F$2:$F$11,$J57)-INDEX($F$2:$F$11,T$50),0,$F$13*SQRT(2),TRUE),1)</f>
        <v>1</v>
      </c>
    </row>
    <row r="58" spans="10:20" x14ac:dyDescent="0.35">
      <c r="J58" s="1">
        <v>8</v>
      </c>
      <c r="K58" s="1" cm="1">
        <f t="array" ref="K58">IF($F$14&gt;=K$50,_xlfn.NORM.DIST(INDEX($F$2:$F$11,$J58)-INDEX($F$2:$F$11,K$50),0,$F$13*SQRT(2),TRUE),1)</f>
        <v>0</v>
      </c>
      <c r="L58" s="1" cm="1">
        <f t="array" ref="L58">IF($F$14&gt;=L$50,_xlfn.NORM.DIST(INDEX($F$2:$F$11,$J58)-INDEX($F$2:$F$11,L$50),0,$F$13*SQRT(2),TRUE),1)</f>
        <v>1</v>
      </c>
      <c r="M58" s="1" cm="1">
        <f t="array" ref="M58">IF($F$14&gt;=M$50,_xlfn.NORM.DIST(INDEX($F$2:$F$11,$J58)-INDEX($F$2:$F$11,M$50),0,$F$13*SQRT(2),TRUE),1)</f>
        <v>1</v>
      </c>
      <c r="N58" s="1" cm="1">
        <f t="array" ref="N58">IF($F$14&gt;=N$50,_xlfn.NORM.DIST(INDEX($F$2:$F$11,$J58)-INDEX($F$2:$F$11,N$50),0,$F$13*SQRT(2),TRUE),1)</f>
        <v>1</v>
      </c>
      <c r="O58" s="1" cm="1">
        <f t="array" ref="O58">IF($F$14&gt;=O$50,_xlfn.NORM.DIST(INDEX($F$2:$F$11,$J58)-INDEX($F$2:$F$11,O$50),0,$F$13*SQRT(2),TRUE),1)</f>
        <v>1</v>
      </c>
      <c r="P58" s="1" cm="1">
        <f t="array" ref="P58">IF($F$14&gt;=P$50,_xlfn.NORM.DIST(INDEX($F$2:$F$11,$J58)-INDEX($F$2:$F$11,P$50),0,$F$13*SQRT(2),TRUE),1)</f>
        <v>1</v>
      </c>
      <c r="Q58" s="1" cm="1">
        <f t="array" ref="Q58">IF($F$14&gt;=Q$50,_xlfn.NORM.DIST(INDEX($F$2:$F$11,$J58)-INDEX($F$2:$F$11,Q$50),0,$F$13*SQRT(2),TRUE),1)</f>
        <v>1</v>
      </c>
      <c r="R58" s="1" cm="1">
        <f t="array" ref="R58">IF($F$14&gt;=R$50,_xlfn.NORM.DIST(INDEX($F$2:$F$11,$J58)-INDEX($F$2:$F$11,R$50),0,$F$13*SQRT(2),TRUE),1)</f>
        <v>1</v>
      </c>
      <c r="S58" s="1" cm="1">
        <f t="array" ref="S58">IF($F$14&gt;=S$50,_xlfn.NORM.DIST(INDEX($F$2:$F$11,$J58)-INDEX($F$2:$F$11,S$50),0,$F$13*SQRT(2),TRUE),1)</f>
        <v>1</v>
      </c>
      <c r="T58" s="1" cm="1">
        <f t="array" ref="T58">IF($F$14&gt;=T$50,_xlfn.NORM.DIST(INDEX($F$2:$F$11,$J58)-INDEX($F$2:$F$11,T$50),0,$F$13*SQRT(2),TRUE),1)</f>
        <v>1</v>
      </c>
    </row>
    <row r="59" spans="10:20" x14ac:dyDescent="0.35">
      <c r="J59" s="1">
        <v>9</v>
      </c>
      <c r="K59" s="1" cm="1">
        <f t="array" ref="K59">IF($F$14&gt;=K$50,_xlfn.NORM.DIST(INDEX($F$2:$F$11,$J59)-INDEX($F$2:$F$11,K$50),0,$F$13*SQRT(2),TRUE),1)</f>
        <v>0</v>
      </c>
      <c r="L59" s="1" cm="1">
        <f t="array" ref="L59">IF($F$14&gt;=L$50,_xlfn.NORM.DIST(INDEX($F$2:$F$11,$J59)-INDEX($F$2:$F$11,L$50),0,$F$13*SQRT(2),TRUE),1)</f>
        <v>1</v>
      </c>
      <c r="M59" s="1" cm="1">
        <f t="array" ref="M59">IF($F$14&gt;=M$50,_xlfn.NORM.DIST(INDEX($F$2:$F$11,$J59)-INDEX($F$2:$F$11,M$50),0,$F$13*SQRT(2),TRUE),1)</f>
        <v>1</v>
      </c>
      <c r="N59" s="1" cm="1">
        <f t="array" ref="N59">IF($F$14&gt;=N$50,_xlfn.NORM.DIST(INDEX($F$2:$F$11,$J59)-INDEX($F$2:$F$11,N$50),0,$F$13*SQRT(2),TRUE),1)</f>
        <v>1</v>
      </c>
      <c r="O59" s="1" cm="1">
        <f t="array" ref="O59">IF($F$14&gt;=O$50,_xlfn.NORM.DIST(INDEX($F$2:$F$11,$J59)-INDEX($F$2:$F$11,O$50),0,$F$13*SQRT(2),TRUE),1)</f>
        <v>1</v>
      </c>
      <c r="P59" s="1" cm="1">
        <f t="array" ref="P59">IF($F$14&gt;=P$50,_xlfn.NORM.DIST(INDEX($F$2:$F$11,$J59)-INDEX($F$2:$F$11,P$50),0,$F$13*SQRT(2),TRUE),1)</f>
        <v>1</v>
      </c>
      <c r="Q59" s="1" cm="1">
        <f t="array" ref="Q59">IF($F$14&gt;=Q$50,_xlfn.NORM.DIST(INDEX($F$2:$F$11,$J59)-INDEX($F$2:$F$11,Q$50),0,$F$13*SQRT(2),TRUE),1)</f>
        <v>1</v>
      </c>
      <c r="R59" s="1" cm="1">
        <f t="array" ref="R59">IF($F$14&gt;=R$50,_xlfn.NORM.DIST(INDEX($F$2:$F$11,$J59)-INDEX($F$2:$F$11,R$50),0,$F$13*SQRT(2),TRUE),1)</f>
        <v>1</v>
      </c>
      <c r="S59" s="1" cm="1">
        <f t="array" ref="S59">IF($F$14&gt;=S$50,_xlfn.NORM.DIST(INDEX($F$2:$F$11,$J59)-INDEX($F$2:$F$11,S$50),0,$F$13*SQRT(2),TRUE),1)</f>
        <v>1</v>
      </c>
      <c r="T59" s="1" cm="1">
        <f t="array" ref="T59">IF($F$14&gt;=T$50,_xlfn.NORM.DIST(INDEX($F$2:$F$11,$J59)-INDEX($F$2:$F$11,T$50),0,$F$13*SQRT(2),TRUE),1)</f>
        <v>1</v>
      </c>
    </row>
    <row r="60" spans="10:20" x14ac:dyDescent="0.35">
      <c r="J60" s="1">
        <v>10</v>
      </c>
      <c r="K60" s="1" cm="1">
        <f t="array" ref="K60">IF($F$14&gt;=K$50,_xlfn.NORM.DIST(INDEX($F$2:$F$11,$J60)-INDEX($F$2:$F$11,K$50),0,$F$13*SQRT(2),TRUE),1)</f>
        <v>0</v>
      </c>
      <c r="L60" s="1" cm="1">
        <f t="array" ref="L60">IF($F$14&gt;=L$50,_xlfn.NORM.DIST(INDEX($F$2:$F$11,$J60)-INDEX($F$2:$F$11,L$50),0,$F$13*SQRT(2),TRUE),1)</f>
        <v>1</v>
      </c>
      <c r="M60" s="1" cm="1">
        <f t="array" ref="M60">IF($F$14&gt;=M$50,_xlfn.NORM.DIST(INDEX($F$2:$F$11,$J60)-INDEX($F$2:$F$11,M$50),0,$F$13*SQRT(2),TRUE),1)</f>
        <v>1</v>
      </c>
      <c r="N60" s="1" cm="1">
        <f t="array" ref="N60">IF($F$14&gt;=N$50,_xlfn.NORM.DIST(INDEX($F$2:$F$11,$J60)-INDEX($F$2:$F$11,N$50),0,$F$13*SQRT(2),TRUE),1)</f>
        <v>1</v>
      </c>
      <c r="O60" s="1" cm="1">
        <f t="array" ref="O60">IF($F$14&gt;=O$50,_xlfn.NORM.DIST(INDEX($F$2:$F$11,$J60)-INDEX($F$2:$F$11,O$50),0,$F$13*SQRT(2),TRUE),1)</f>
        <v>1</v>
      </c>
      <c r="P60" s="1" cm="1">
        <f t="array" ref="P60">IF($F$14&gt;=P$50,_xlfn.NORM.DIST(INDEX($F$2:$F$11,$J60)-INDEX($F$2:$F$11,P$50),0,$F$13*SQRT(2),TRUE),1)</f>
        <v>1</v>
      </c>
      <c r="Q60" s="1" cm="1">
        <f t="array" ref="Q60">IF($F$14&gt;=Q$50,_xlfn.NORM.DIST(INDEX($F$2:$F$11,$J60)-INDEX($F$2:$F$11,Q$50),0,$F$13*SQRT(2),TRUE),1)</f>
        <v>1</v>
      </c>
      <c r="R60" s="1" cm="1">
        <f t="array" ref="R60">IF($F$14&gt;=R$50,_xlfn.NORM.DIST(INDEX($F$2:$F$11,$J60)-INDEX($F$2:$F$11,R$50),0,$F$13*SQRT(2),TRUE),1)</f>
        <v>1</v>
      </c>
      <c r="S60" s="1" cm="1">
        <f t="array" ref="S60">IF($F$14&gt;=S$50,_xlfn.NORM.DIST(INDEX($F$2:$F$11,$J60)-INDEX($F$2:$F$11,S$50),0,$F$13*SQRT(2),TRUE),1)</f>
        <v>1</v>
      </c>
      <c r="T60" s="1" cm="1">
        <f t="array" ref="T60">IF($F$14&gt;=T$50,_xlfn.NORM.DIST(INDEX($F$2:$F$11,$J60)-INDEX($F$2:$F$11,T$50),0,$F$13*SQRT(2),TRUE),1)</f>
        <v>1</v>
      </c>
    </row>
    <row r="62" spans="10:20" x14ac:dyDescent="0.35">
      <c r="J62" s="1" t="s">
        <v>9</v>
      </c>
      <c r="K62" s="1">
        <v>1</v>
      </c>
      <c r="L62" s="1">
        <v>2</v>
      </c>
      <c r="M62" s="1">
        <v>3</v>
      </c>
      <c r="N62" s="1">
        <v>4</v>
      </c>
      <c r="O62" s="1">
        <v>5</v>
      </c>
      <c r="P62" s="1">
        <v>6</v>
      </c>
      <c r="Q62" s="1">
        <v>7</v>
      </c>
      <c r="R62" s="1">
        <v>8</v>
      </c>
      <c r="S62" s="1">
        <v>9</v>
      </c>
      <c r="T62" s="1">
        <v>10</v>
      </c>
    </row>
    <row r="63" spans="10:20" x14ac:dyDescent="0.35">
      <c r="J63" s="1">
        <v>1</v>
      </c>
      <c r="K63" s="1" cm="1">
        <f t="array" ref="K63">IF($G$14&gt;=K$62,_xlfn.NORM.DIST(INDEX($G$2:$G$11,$J63)-INDEX($G$2:$G$11,K$62),0,$G$13*SQRT(2),TRUE),1)</f>
        <v>0.5</v>
      </c>
      <c r="L63" s="1" cm="1">
        <f t="array" ref="L63">IF($G$14&gt;=L$62,_xlfn.NORM.DIST(INDEX($G$2:$G$11,$J63)-INDEX($G$2:$G$11,L$62),0,$G$13*SQRT(2),TRUE),1)</f>
        <v>1</v>
      </c>
      <c r="M63" s="1" cm="1">
        <f t="array" ref="M63">IF($G$14&gt;=M$62,_xlfn.NORM.DIST(INDEX($G$2:$G$11,$J63)-INDEX($G$2:$G$11,M$62),0,$G$13*SQRT(2),TRUE),1)</f>
        <v>1</v>
      </c>
      <c r="N63" s="1" cm="1">
        <f t="array" ref="N63">IF($G$14&gt;=N$62,_xlfn.NORM.DIST(INDEX($G$2:$G$11,$J63)-INDEX($G$2:$G$11,N$62),0,$G$13*SQRT(2),TRUE),1)</f>
        <v>1</v>
      </c>
      <c r="O63" s="1" cm="1">
        <f t="array" ref="O63">IF($G$14&gt;=O$62,_xlfn.NORM.DIST(INDEX($G$2:$G$11,$J63)-INDEX($G$2:$G$11,O$62),0,$G$13*SQRT(2),TRUE),1)</f>
        <v>1</v>
      </c>
      <c r="P63" s="1" cm="1">
        <f t="array" ref="P63">IF($G$14&gt;=P$62,_xlfn.NORM.DIST(INDEX($G$2:$G$11,$J63)-INDEX($G$2:$G$11,P$62),0,$G$13*SQRT(2),TRUE),1)</f>
        <v>1</v>
      </c>
      <c r="Q63" s="1" cm="1">
        <f t="array" ref="Q63">IF($G$14&gt;=Q$62,_xlfn.NORM.DIST(INDEX($G$2:$G$11,$J63)-INDEX($G$2:$G$11,Q$62),0,$G$13*SQRT(2),TRUE),1)</f>
        <v>1</v>
      </c>
      <c r="R63" s="1" cm="1">
        <f t="array" ref="R63">IF($G$14&gt;=R$62,_xlfn.NORM.DIST(INDEX($G$2:$G$11,$J63)-INDEX($G$2:$G$11,R$62),0,$G$13*SQRT(2),TRUE),1)</f>
        <v>1</v>
      </c>
      <c r="S63" s="1" cm="1">
        <f t="array" ref="S63">IF($G$14&gt;=S$62,_xlfn.NORM.DIST(INDEX($G$2:$G$11,$J63)-INDEX($G$2:$G$11,S$62),0,$G$13*SQRT(2),TRUE),1)</f>
        <v>1</v>
      </c>
      <c r="T63" s="1" cm="1">
        <f t="array" ref="T63">IF($G$14&gt;=T$62,_xlfn.NORM.DIST(INDEX($G$2:$G$11,$J63)-INDEX($G$2:$G$11,T$62),0,$G$13*SQRT(2),TRUE),1)</f>
        <v>1</v>
      </c>
    </row>
    <row r="64" spans="10:20" x14ac:dyDescent="0.35">
      <c r="J64" s="1">
        <v>2</v>
      </c>
      <c r="K64" s="1" cm="1">
        <f t="array" ref="K64">IF($G$14&gt;=K$62,_xlfn.NORM.DIST(INDEX($G$2:$G$11,$J64)-INDEX($G$2:$G$11,K$62),0,$G$13*SQRT(2),TRUE),1)</f>
        <v>0.3745136162398004</v>
      </c>
      <c r="L64" s="1" cm="1">
        <f t="array" ref="L64">IF($G$14&gt;=L$62,_xlfn.NORM.DIST(INDEX($G$2:$G$11,$J64)-INDEX($G$2:$G$11,L$62),0,$G$13*SQRT(2),TRUE),1)</f>
        <v>1</v>
      </c>
      <c r="M64" s="1" cm="1">
        <f t="array" ref="M64">IF($G$14&gt;=M$62,_xlfn.NORM.DIST(INDEX($G$2:$G$11,$J64)-INDEX($G$2:$G$11,M$62),0,$G$13*SQRT(2),TRUE),1)</f>
        <v>1</v>
      </c>
      <c r="N64" s="1" cm="1">
        <f t="array" ref="N64">IF($G$14&gt;=N$62,_xlfn.NORM.DIST(INDEX($G$2:$G$11,$J64)-INDEX($G$2:$G$11,N$62),0,$G$13*SQRT(2),TRUE),1)</f>
        <v>1</v>
      </c>
      <c r="O64" s="1" cm="1">
        <f t="array" ref="O64">IF($G$14&gt;=O$62,_xlfn.NORM.DIST(INDEX($G$2:$G$11,$J64)-INDEX($G$2:$G$11,O$62),0,$G$13*SQRT(2),TRUE),1)</f>
        <v>1</v>
      </c>
      <c r="P64" s="1" cm="1">
        <f t="array" ref="P64">IF($G$14&gt;=P$62,_xlfn.NORM.DIST(INDEX($G$2:$G$11,$J64)-INDEX($G$2:$G$11,P$62),0,$G$13*SQRT(2),TRUE),1)</f>
        <v>1</v>
      </c>
      <c r="Q64" s="1" cm="1">
        <f t="array" ref="Q64">IF($G$14&gt;=Q$62,_xlfn.NORM.DIST(INDEX($G$2:$G$11,$J64)-INDEX($G$2:$G$11,Q$62),0,$G$13*SQRT(2),TRUE),1)</f>
        <v>1</v>
      </c>
      <c r="R64" s="1" cm="1">
        <f t="array" ref="R64">IF($G$14&gt;=R$62,_xlfn.NORM.DIST(INDEX($G$2:$G$11,$J64)-INDEX($G$2:$G$11,R$62),0,$G$13*SQRT(2),TRUE),1)</f>
        <v>1</v>
      </c>
      <c r="S64" s="1" cm="1">
        <f t="array" ref="S64">IF($G$14&gt;=S$62,_xlfn.NORM.DIST(INDEX($G$2:$G$11,$J64)-INDEX($G$2:$G$11,S$62),0,$G$13*SQRT(2),TRUE),1)</f>
        <v>1</v>
      </c>
      <c r="T64" s="1" cm="1">
        <f t="array" ref="T64">IF($G$14&gt;=T$62,_xlfn.NORM.DIST(INDEX($G$2:$G$11,$J64)-INDEX($G$2:$G$11,T$62),0,$G$13*SQRT(2),TRUE),1)</f>
        <v>1</v>
      </c>
    </row>
    <row r="65" spans="10:20" x14ac:dyDescent="0.35">
      <c r="J65" s="1">
        <v>3</v>
      </c>
      <c r="K65" s="1" cm="1">
        <f t="array" ref="K65">IF($G$14&gt;=K$62,_xlfn.NORM.DIST(INDEX($G$2:$G$11,$J65)-INDEX($G$2:$G$11,K$62),0,$G$13*SQRT(2),TRUE),1)</f>
        <v>0.25530270926053544</v>
      </c>
      <c r="L65" s="1" cm="1">
        <f t="array" ref="L65">IF($G$14&gt;=L$62,_xlfn.NORM.DIST(INDEX($G$2:$G$11,$J65)-INDEX($G$2:$G$11,L$62),0,$G$13*SQRT(2),TRUE),1)</f>
        <v>1</v>
      </c>
      <c r="M65" s="1" cm="1">
        <f t="array" ref="M65">IF($G$14&gt;=M$62,_xlfn.NORM.DIST(INDEX($G$2:$G$11,$J65)-INDEX($G$2:$G$11,M$62),0,$G$13*SQRT(2),TRUE),1)</f>
        <v>1</v>
      </c>
      <c r="N65" s="1" cm="1">
        <f t="array" ref="N65">IF($G$14&gt;=N$62,_xlfn.NORM.DIST(INDEX($G$2:$G$11,$J65)-INDEX($G$2:$G$11,N$62),0,$G$13*SQRT(2),TRUE),1)</f>
        <v>1</v>
      </c>
      <c r="O65" s="1" cm="1">
        <f t="array" ref="O65">IF($G$14&gt;=O$62,_xlfn.NORM.DIST(INDEX($G$2:$G$11,$J65)-INDEX($G$2:$G$11,O$62),0,$G$13*SQRT(2),TRUE),1)</f>
        <v>1</v>
      </c>
      <c r="P65" s="1" cm="1">
        <f t="array" ref="P65">IF($G$14&gt;=P$62,_xlfn.NORM.DIST(INDEX($G$2:$G$11,$J65)-INDEX($G$2:$G$11,P$62),0,$G$13*SQRT(2),TRUE),1)</f>
        <v>1</v>
      </c>
      <c r="Q65" s="1" cm="1">
        <f t="array" ref="Q65">IF($G$14&gt;=Q$62,_xlfn.NORM.DIST(INDEX($G$2:$G$11,$J65)-INDEX($G$2:$G$11,Q$62),0,$G$13*SQRT(2),TRUE),1)</f>
        <v>1</v>
      </c>
      <c r="R65" s="1" cm="1">
        <f t="array" ref="R65">IF($G$14&gt;=R$62,_xlfn.NORM.DIST(INDEX($G$2:$G$11,$J65)-INDEX($G$2:$G$11,R$62),0,$G$13*SQRT(2),TRUE),1)</f>
        <v>1</v>
      </c>
      <c r="S65" s="1" cm="1">
        <f t="array" ref="S65">IF($G$14&gt;=S$62,_xlfn.NORM.DIST(INDEX($G$2:$G$11,$J65)-INDEX($G$2:$G$11,S$62),0,$G$13*SQRT(2),TRUE),1)</f>
        <v>1</v>
      </c>
      <c r="T65" s="1" cm="1">
        <f t="array" ref="T65">IF($G$14&gt;=T$62,_xlfn.NORM.DIST(INDEX($G$2:$G$11,$J65)-INDEX($G$2:$G$11,T$62),0,$G$13*SQRT(2),TRUE),1)</f>
        <v>1</v>
      </c>
    </row>
    <row r="66" spans="10:20" x14ac:dyDescent="0.35">
      <c r="J66" s="1">
        <v>4</v>
      </c>
      <c r="K66" s="1" cm="1">
        <f t="array" ref="K66">IF($G$14&gt;=K$62,_xlfn.NORM.DIST(INDEX($G$2:$G$11,$J66)-INDEX($G$2:$G$11,K$62),0,$G$13*SQRT(2),TRUE),1)</f>
        <v>0.15790320689918386</v>
      </c>
      <c r="L66" s="1" cm="1">
        <f t="array" ref="L66">IF($G$14&gt;=L$62,_xlfn.NORM.DIST(INDEX($G$2:$G$11,$J66)-INDEX($G$2:$G$11,L$62),0,$G$13*SQRT(2),TRUE),1)</f>
        <v>1</v>
      </c>
      <c r="M66" s="1" cm="1">
        <f t="array" ref="M66">IF($G$14&gt;=M$62,_xlfn.NORM.DIST(INDEX($G$2:$G$11,$J66)-INDEX($G$2:$G$11,M$62),0,$G$13*SQRT(2),TRUE),1)</f>
        <v>1</v>
      </c>
      <c r="N66" s="1" cm="1">
        <f t="array" ref="N66">IF($G$14&gt;=N$62,_xlfn.NORM.DIST(INDEX($G$2:$G$11,$J66)-INDEX($G$2:$G$11,N$62),0,$G$13*SQRT(2),TRUE),1)</f>
        <v>1</v>
      </c>
      <c r="O66" s="1" cm="1">
        <f t="array" ref="O66">IF($G$14&gt;=O$62,_xlfn.NORM.DIST(INDEX($G$2:$G$11,$J66)-INDEX($G$2:$G$11,O$62),0,$G$13*SQRT(2),TRUE),1)</f>
        <v>1</v>
      </c>
      <c r="P66" s="1" cm="1">
        <f t="array" ref="P66">IF($G$14&gt;=P$62,_xlfn.NORM.DIST(INDEX($G$2:$G$11,$J66)-INDEX($G$2:$G$11,P$62),0,$G$13*SQRT(2),TRUE),1)</f>
        <v>1</v>
      </c>
      <c r="Q66" s="1" cm="1">
        <f t="array" ref="Q66">IF($G$14&gt;=Q$62,_xlfn.NORM.DIST(INDEX($G$2:$G$11,$J66)-INDEX($G$2:$G$11,Q$62),0,$G$13*SQRT(2),TRUE),1)</f>
        <v>1</v>
      </c>
      <c r="R66" s="1" cm="1">
        <f t="array" ref="R66">IF($G$14&gt;=R$62,_xlfn.NORM.DIST(INDEX($G$2:$G$11,$J66)-INDEX($G$2:$G$11,R$62),0,$G$13*SQRT(2),TRUE),1)</f>
        <v>1</v>
      </c>
      <c r="S66" s="1" cm="1">
        <f t="array" ref="S66">IF($G$14&gt;=S$62,_xlfn.NORM.DIST(INDEX($G$2:$G$11,$J66)-INDEX($G$2:$G$11,S$62),0,$G$13*SQRT(2),TRUE),1)</f>
        <v>1</v>
      </c>
      <c r="T66" s="1" cm="1">
        <f t="array" ref="T66">IF($G$14&gt;=T$62,_xlfn.NORM.DIST(INDEX($G$2:$G$11,$J66)-INDEX($G$2:$G$11,T$62),0,$G$13*SQRT(2),TRUE),1)</f>
        <v>1</v>
      </c>
    </row>
    <row r="67" spans="10:20" x14ac:dyDescent="0.35">
      <c r="J67" s="1">
        <v>5</v>
      </c>
      <c r="K67" s="1" cm="1">
        <f t="array" ref="K67">IF($G$14&gt;=K$62,_xlfn.NORM.DIST(INDEX($G$2:$G$11,$J67)-INDEX($G$2:$G$11,K$62),0,$G$13*SQRT(2),TRUE),1)</f>
        <v>7.3128452272204025E-4</v>
      </c>
      <c r="L67" s="1" cm="1">
        <f t="array" ref="L67">IF($G$14&gt;=L$62,_xlfn.NORM.DIST(INDEX($G$2:$G$11,$J67)-INDEX($G$2:$G$11,L$62),0,$G$13*SQRT(2),TRUE),1)</f>
        <v>1</v>
      </c>
      <c r="M67" s="1" cm="1">
        <f t="array" ref="M67">IF($G$14&gt;=M$62,_xlfn.NORM.DIST(INDEX($G$2:$G$11,$J67)-INDEX($G$2:$G$11,M$62),0,$G$13*SQRT(2),TRUE),1)</f>
        <v>1</v>
      </c>
      <c r="N67" s="1" cm="1">
        <f t="array" ref="N67">IF($G$14&gt;=N$62,_xlfn.NORM.DIST(INDEX($G$2:$G$11,$J67)-INDEX($G$2:$G$11,N$62),0,$G$13*SQRT(2),TRUE),1)</f>
        <v>1</v>
      </c>
      <c r="O67" s="1" cm="1">
        <f t="array" ref="O67">IF($G$14&gt;=O$62,_xlfn.NORM.DIST(INDEX($G$2:$G$11,$J67)-INDEX($G$2:$G$11,O$62),0,$G$13*SQRT(2),TRUE),1)</f>
        <v>1</v>
      </c>
      <c r="P67" s="1" cm="1">
        <f t="array" ref="P67">IF($G$14&gt;=P$62,_xlfn.NORM.DIST(INDEX($G$2:$G$11,$J67)-INDEX($G$2:$G$11,P$62),0,$G$13*SQRT(2),TRUE),1)</f>
        <v>1</v>
      </c>
      <c r="Q67" s="1" cm="1">
        <f t="array" ref="Q67">IF($G$14&gt;=Q$62,_xlfn.NORM.DIST(INDEX($G$2:$G$11,$J67)-INDEX($G$2:$G$11,Q$62),0,$G$13*SQRT(2),TRUE),1)</f>
        <v>1</v>
      </c>
      <c r="R67" s="1" cm="1">
        <f t="array" ref="R67">IF($G$14&gt;=R$62,_xlfn.NORM.DIST(INDEX($G$2:$G$11,$J67)-INDEX($G$2:$G$11,R$62),0,$G$13*SQRT(2),TRUE),1)</f>
        <v>1</v>
      </c>
      <c r="S67" s="1" cm="1">
        <f t="array" ref="S67">IF($G$14&gt;=S$62,_xlfn.NORM.DIST(INDEX($G$2:$G$11,$J67)-INDEX($G$2:$G$11,S$62),0,$G$13*SQRT(2),TRUE),1)</f>
        <v>1</v>
      </c>
      <c r="T67" s="1" cm="1">
        <f t="array" ref="T67">IF($G$14&gt;=T$62,_xlfn.NORM.DIST(INDEX($G$2:$G$11,$J67)-INDEX($G$2:$G$11,T$62),0,$G$13*SQRT(2),TRUE),1)</f>
        <v>1</v>
      </c>
    </row>
    <row r="68" spans="10:20" x14ac:dyDescent="0.35">
      <c r="J68" s="1">
        <v>6</v>
      </c>
      <c r="K68" s="1" cm="1">
        <f t="array" ref="K68">IF($G$14&gt;=K$62,_xlfn.NORM.DIST(INDEX($G$2:$G$11,$J68)-INDEX($G$2:$G$11,K$62),0,$G$13*SQRT(2),TRUE),1)</f>
        <v>1.2640976729589196E-51</v>
      </c>
      <c r="L68" s="1" cm="1">
        <f t="array" ref="L68">IF($G$14&gt;=L$62,_xlfn.NORM.DIST(INDEX($G$2:$G$11,$J68)-INDEX($G$2:$G$11,L$62),0,$G$13*SQRT(2),TRUE),1)</f>
        <v>1</v>
      </c>
      <c r="M68" s="1" cm="1">
        <f t="array" ref="M68">IF($G$14&gt;=M$62,_xlfn.NORM.DIST(INDEX($G$2:$G$11,$J68)-INDEX($G$2:$G$11,M$62),0,$G$13*SQRT(2),TRUE),1)</f>
        <v>1</v>
      </c>
      <c r="N68" s="1" cm="1">
        <f t="array" ref="N68">IF($G$14&gt;=N$62,_xlfn.NORM.DIST(INDEX($G$2:$G$11,$J68)-INDEX($G$2:$G$11,N$62),0,$G$13*SQRT(2),TRUE),1)</f>
        <v>1</v>
      </c>
      <c r="O68" s="1" cm="1">
        <f t="array" ref="O68">IF($G$14&gt;=O$62,_xlfn.NORM.DIST(INDEX($G$2:$G$11,$J68)-INDEX($G$2:$G$11,O$62),0,$G$13*SQRT(2),TRUE),1)</f>
        <v>1</v>
      </c>
      <c r="P68" s="1" cm="1">
        <f t="array" ref="P68">IF($G$14&gt;=P$62,_xlfn.NORM.DIST(INDEX($G$2:$G$11,$J68)-INDEX($G$2:$G$11,P$62),0,$G$13*SQRT(2),TRUE),1)</f>
        <v>1</v>
      </c>
      <c r="Q68" s="1" cm="1">
        <f t="array" ref="Q68">IF($G$14&gt;=Q$62,_xlfn.NORM.DIST(INDEX($G$2:$G$11,$J68)-INDEX($G$2:$G$11,Q$62),0,$G$13*SQRT(2),TRUE),1)</f>
        <v>1</v>
      </c>
      <c r="R68" s="1" cm="1">
        <f t="array" ref="R68">IF($G$14&gt;=R$62,_xlfn.NORM.DIST(INDEX($G$2:$G$11,$J68)-INDEX($G$2:$G$11,R$62),0,$G$13*SQRT(2),TRUE),1)</f>
        <v>1</v>
      </c>
      <c r="S68" s="1" cm="1">
        <f t="array" ref="S68">IF($G$14&gt;=S$62,_xlfn.NORM.DIST(INDEX($G$2:$G$11,$J68)-INDEX($G$2:$G$11,S$62),0,$G$13*SQRT(2),TRUE),1)</f>
        <v>1</v>
      </c>
      <c r="T68" s="1" cm="1">
        <f t="array" ref="T68">IF($G$14&gt;=T$62,_xlfn.NORM.DIST(INDEX($G$2:$G$11,$J68)-INDEX($G$2:$G$11,T$62),0,$G$13*SQRT(2),TRUE),1)</f>
        <v>1</v>
      </c>
    </row>
    <row r="69" spans="10:20" x14ac:dyDescent="0.35">
      <c r="J69" s="1">
        <v>7</v>
      </c>
      <c r="K69" s="1" cm="1">
        <f t="array" ref="K69">IF($G$14&gt;=K$62,_xlfn.NORM.DIST(INDEX($G$2:$G$11,$J69)-INDEX($G$2:$G$11,K$62),0,$G$13*SQRT(2),TRUE),1)</f>
        <v>0</v>
      </c>
      <c r="L69" s="1" cm="1">
        <f t="array" ref="L69">IF($G$14&gt;=L$62,_xlfn.NORM.DIST(INDEX($G$2:$G$11,$J69)-INDEX($G$2:$G$11,L$62),0,$G$13*SQRT(2),TRUE),1)</f>
        <v>1</v>
      </c>
      <c r="M69" s="1" cm="1">
        <f t="array" ref="M69">IF($G$14&gt;=M$62,_xlfn.NORM.DIST(INDEX($G$2:$G$11,$J69)-INDEX($G$2:$G$11,M$62),0,$G$13*SQRT(2),TRUE),1)</f>
        <v>1</v>
      </c>
      <c r="N69" s="1" cm="1">
        <f t="array" ref="N69">IF($G$14&gt;=N$62,_xlfn.NORM.DIST(INDEX($G$2:$G$11,$J69)-INDEX($G$2:$G$11,N$62),0,$G$13*SQRT(2),TRUE),1)</f>
        <v>1</v>
      </c>
      <c r="O69" s="1" cm="1">
        <f t="array" ref="O69">IF($G$14&gt;=O$62,_xlfn.NORM.DIST(INDEX($G$2:$G$11,$J69)-INDEX($G$2:$G$11,O$62),0,$G$13*SQRT(2),TRUE),1)</f>
        <v>1</v>
      </c>
      <c r="P69" s="1" cm="1">
        <f t="array" ref="P69">IF($G$14&gt;=P$62,_xlfn.NORM.DIST(INDEX($G$2:$G$11,$J69)-INDEX($G$2:$G$11,P$62),0,$G$13*SQRT(2),TRUE),1)</f>
        <v>1</v>
      </c>
      <c r="Q69" s="1" cm="1">
        <f t="array" ref="Q69">IF($G$14&gt;=Q$62,_xlfn.NORM.DIST(INDEX($G$2:$G$11,$J69)-INDEX($G$2:$G$11,Q$62),0,$G$13*SQRT(2),TRUE),1)</f>
        <v>1</v>
      </c>
      <c r="R69" s="1" cm="1">
        <f t="array" ref="R69">IF($G$14&gt;=R$62,_xlfn.NORM.DIST(INDEX($G$2:$G$11,$J69)-INDEX($G$2:$G$11,R$62),0,$G$13*SQRT(2),TRUE),1)</f>
        <v>1</v>
      </c>
      <c r="S69" s="1" cm="1">
        <f t="array" ref="S69">IF($G$14&gt;=S$62,_xlfn.NORM.DIST(INDEX($G$2:$G$11,$J69)-INDEX($G$2:$G$11,S$62),0,$G$13*SQRT(2),TRUE),1)</f>
        <v>1</v>
      </c>
      <c r="T69" s="1" cm="1">
        <f t="array" ref="T69">IF($G$14&gt;=T$62,_xlfn.NORM.DIST(INDEX($G$2:$G$11,$J69)-INDEX($G$2:$G$11,T$62),0,$G$13*SQRT(2),TRUE),1)</f>
        <v>1</v>
      </c>
    </row>
    <row r="70" spans="10:20" x14ac:dyDescent="0.35">
      <c r="J70" s="1">
        <v>8</v>
      </c>
      <c r="K70" s="1" cm="1">
        <f t="array" ref="K70">IF($G$14&gt;=K$62,_xlfn.NORM.DIST(INDEX($G$2:$G$11,$J70)-INDEX($G$2:$G$11,K$62),0,$G$13*SQRT(2),TRUE),1)</f>
        <v>0</v>
      </c>
      <c r="L70" s="1" cm="1">
        <f t="array" ref="L70">IF($G$14&gt;=L$62,_xlfn.NORM.DIST(INDEX($G$2:$G$11,$J70)-INDEX($G$2:$G$11,L$62),0,$G$13*SQRT(2),TRUE),1)</f>
        <v>1</v>
      </c>
      <c r="M70" s="1" cm="1">
        <f t="array" ref="M70">IF($G$14&gt;=M$62,_xlfn.NORM.DIST(INDEX($G$2:$G$11,$J70)-INDEX($G$2:$G$11,M$62),0,$G$13*SQRT(2),TRUE),1)</f>
        <v>1</v>
      </c>
      <c r="N70" s="1" cm="1">
        <f t="array" ref="N70">IF($G$14&gt;=N$62,_xlfn.NORM.DIST(INDEX($G$2:$G$11,$J70)-INDEX($G$2:$G$11,N$62),0,$G$13*SQRT(2),TRUE),1)</f>
        <v>1</v>
      </c>
      <c r="O70" s="1" cm="1">
        <f t="array" ref="O70">IF($G$14&gt;=O$62,_xlfn.NORM.DIST(INDEX($G$2:$G$11,$J70)-INDEX($G$2:$G$11,O$62),0,$G$13*SQRT(2),TRUE),1)</f>
        <v>1</v>
      </c>
      <c r="P70" s="1" cm="1">
        <f t="array" ref="P70">IF($G$14&gt;=P$62,_xlfn.NORM.DIST(INDEX($G$2:$G$11,$J70)-INDEX($G$2:$G$11,P$62),0,$G$13*SQRT(2),TRUE),1)</f>
        <v>1</v>
      </c>
      <c r="Q70" s="1" cm="1">
        <f t="array" ref="Q70">IF($G$14&gt;=Q$62,_xlfn.NORM.DIST(INDEX($G$2:$G$11,$J70)-INDEX($G$2:$G$11,Q$62),0,$G$13*SQRT(2),TRUE),1)</f>
        <v>1</v>
      </c>
      <c r="R70" s="1" cm="1">
        <f t="array" ref="R70">IF($G$14&gt;=R$62,_xlfn.NORM.DIST(INDEX($G$2:$G$11,$J70)-INDEX($G$2:$G$11,R$62),0,$G$13*SQRT(2),TRUE),1)</f>
        <v>1</v>
      </c>
      <c r="S70" s="1" cm="1">
        <f t="array" ref="S70">IF($G$14&gt;=S$62,_xlfn.NORM.DIST(INDEX($G$2:$G$11,$J70)-INDEX($G$2:$G$11,S$62),0,$G$13*SQRT(2),TRUE),1)</f>
        <v>1</v>
      </c>
      <c r="T70" s="1" cm="1">
        <f t="array" ref="T70">IF($G$14&gt;=T$62,_xlfn.NORM.DIST(INDEX($G$2:$G$11,$J70)-INDEX($G$2:$G$11,T$62),0,$G$13*SQRT(2),TRUE),1)</f>
        <v>1</v>
      </c>
    </row>
    <row r="71" spans="10:20" x14ac:dyDescent="0.35">
      <c r="J71" s="1">
        <v>9</v>
      </c>
      <c r="K71" s="1" cm="1">
        <f t="array" ref="K71">IF($G$14&gt;=K$62,_xlfn.NORM.DIST(INDEX($G$2:$G$11,$J71)-INDEX($G$2:$G$11,K$62),0,$G$13*SQRT(2),TRUE),1)</f>
        <v>0</v>
      </c>
      <c r="L71" s="1" cm="1">
        <f t="array" ref="L71">IF($G$14&gt;=L$62,_xlfn.NORM.DIST(INDEX($G$2:$G$11,$J71)-INDEX($G$2:$G$11,L$62),0,$G$13*SQRT(2),TRUE),1)</f>
        <v>1</v>
      </c>
      <c r="M71" s="1" cm="1">
        <f t="array" ref="M71">IF($G$14&gt;=M$62,_xlfn.NORM.DIST(INDEX($G$2:$G$11,$J71)-INDEX($G$2:$G$11,M$62),0,$G$13*SQRT(2),TRUE),1)</f>
        <v>1</v>
      </c>
      <c r="N71" s="1" cm="1">
        <f t="array" ref="N71">IF($G$14&gt;=N$62,_xlfn.NORM.DIST(INDEX($G$2:$G$11,$J71)-INDEX($G$2:$G$11,N$62),0,$G$13*SQRT(2),TRUE),1)</f>
        <v>1</v>
      </c>
      <c r="O71" s="1" cm="1">
        <f t="array" ref="O71">IF($G$14&gt;=O$62,_xlfn.NORM.DIST(INDEX($G$2:$G$11,$J71)-INDEX($G$2:$G$11,O$62),0,$G$13*SQRT(2),TRUE),1)</f>
        <v>1</v>
      </c>
      <c r="P71" s="1" cm="1">
        <f t="array" ref="P71">IF($G$14&gt;=P$62,_xlfn.NORM.DIST(INDEX($G$2:$G$11,$J71)-INDEX($G$2:$G$11,P$62),0,$G$13*SQRT(2),TRUE),1)</f>
        <v>1</v>
      </c>
      <c r="Q71" s="1" cm="1">
        <f t="array" ref="Q71">IF($G$14&gt;=Q$62,_xlfn.NORM.DIST(INDEX($G$2:$G$11,$J71)-INDEX($G$2:$G$11,Q$62),0,$G$13*SQRT(2),TRUE),1)</f>
        <v>1</v>
      </c>
      <c r="R71" s="1" cm="1">
        <f t="array" ref="R71">IF($G$14&gt;=R$62,_xlfn.NORM.DIST(INDEX($G$2:$G$11,$J71)-INDEX($G$2:$G$11,R$62),0,$G$13*SQRT(2),TRUE),1)</f>
        <v>1</v>
      </c>
      <c r="S71" s="1" cm="1">
        <f t="array" ref="S71">IF($G$14&gt;=S$62,_xlfn.NORM.DIST(INDEX($G$2:$G$11,$J71)-INDEX($G$2:$G$11,S$62),0,$G$13*SQRT(2),TRUE),1)</f>
        <v>1</v>
      </c>
      <c r="T71" s="1" cm="1">
        <f t="array" ref="T71">IF($G$14&gt;=T$62,_xlfn.NORM.DIST(INDEX($G$2:$G$11,$J71)-INDEX($G$2:$G$11,T$62),0,$G$13*SQRT(2),TRUE),1)</f>
        <v>1</v>
      </c>
    </row>
    <row r="72" spans="10:20" x14ac:dyDescent="0.35">
      <c r="J72" s="1">
        <v>10</v>
      </c>
      <c r="K72" s="1" cm="1">
        <f t="array" ref="K72">IF($G$14&gt;=K$62,_xlfn.NORM.DIST(INDEX($G$2:$G$11,$J72)-INDEX($G$2:$G$11,K$62),0,$G$13*SQRT(2),TRUE),1)</f>
        <v>0</v>
      </c>
      <c r="L72" s="1" cm="1">
        <f t="array" ref="L72">IF($G$14&gt;=L$62,_xlfn.NORM.DIST(INDEX($G$2:$G$11,$J72)-INDEX($G$2:$G$11,L$62),0,$G$13*SQRT(2),TRUE),1)</f>
        <v>1</v>
      </c>
      <c r="M72" s="1" cm="1">
        <f t="array" ref="M72">IF($G$14&gt;=M$62,_xlfn.NORM.DIST(INDEX($G$2:$G$11,$J72)-INDEX($G$2:$G$11,M$62),0,$G$13*SQRT(2),TRUE),1)</f>
        <v>1</v>
      </c>
      <c r="N72" s="1" cm="1">
        <f t="array" ref="N72">IF($G$14&gt;=N$62,_xlfn.NORM.DIST(INDEX($G$2:$G$11,$J72)-INDEX($G$2:$G$11,N$62),0,$G$13*SQRT(2),TRUE),1)</f>
        <v>1</v>
      </c>
      <c r="O72" s="1" cm="1">
        <f t="array" ref="O72">IF($G$14&gt;=O$62,_xlfn.NORM.DIST(INDEX($G$2:$G$11,$J72)-INDEX($G$2:$G$11,O$62),0,$G$13*SQRT(2),TRUE),1)</f>
        <v>1</v>
      </c>
      <c r="P72" s="1" cm="1">
        <f t="array" ref="P72">IF($G$14&gt;=P$62,_xlfn.NORM.DIST(INDEX($G$2:$G$11,$J72)-INDEX($G$2:$G$11,P$62),0,$G$13*SQRT(2),TRUE),1)</f>
        <v>1</v>
      </c>
      <c r="Q72" s="1" cm="1">
        <f t="array" ref="Q72">IF($G$14&gt;=Q$62,_xlfn.NORM.DIST(INDEX($G$2:$G$11,$J72)-INDEX($G$2:$G$11,Q$62),0,$G$13*SQRT(2),TRUE),1)</f>
        <v>1</v>
      </c>
      <c r="R72" s="1" cm="1">
        <f t="array" ref="R72">IF($G$14&gt;=R$62,_xlfn.NORM.DIST(INDEX($G$2:$G$11,$J72)-INDEX($G$2:$G$11,R$62),0,$G$13*SQRT(2),TRUE),1)</f>
        <v>1</v>
      </c>
      <c r="S72" s="1" cm="1">
        <f t="array" ref="S72">IF($G$14&gt;=S$62,_xlfn.NORM.DIST(INDEX($G$2:$G$11,$J72)-INDEX($G$2:$G$11,S$62),0,$G$13*SQRT(2),TRUE),1)</f>
        <v>1</v>
      </c>
      <c r="T72" s="1" cm="1">
        <f t="array" ref="T72">IF($G$14&gt;=T$62,_xlfn.NORM.DIST(INDEX($G$2:$G$11,$J72)-INDEX($G$2:$G$11,T$62),0,$G$13*SQRT(2),TRUE),1)</f>
        <v>1</v>
      </c>
    </row>
  </sheetData>
  <mergeCells count="2">
    <mergeCell ref="J1:O1"/>
    <mergeCell ref="V1:Y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71E51B-8260-468F-9CCE-983C547EBE14}">
  <sheetPr codeName="Sheet6"/>
  <dimension ref="B1:AD332"/>
  <sheetViews>
    <sheetView zoomScale="80" zoomScaleNormal="80" workbookViewId="0">
      <selection activeCell="N2" sqref="N2"/>
    </sheetView>
  </sheetViews>
  <sheetFormatPr defaultRowHeight="14.5" x14ac:dyDescent="0.35"/>
  <cols>
    <col min="1" max="1" width="1.36328125" style="1" bestFit="1" customWidth="1" collapsed="1"/>
    <col min="2" max="2" width="3.26953125" style="1" bestFit="1" customWidth="1" collapsed="1"/>
    <col min="3" max="3" width="20.90625" style="1" bestFit="1" customWidth="1" collapsed="1"/>
    <col min="4" max="4" width="4.7265625" style="1" bestFit="1" customWidth="1" collapsed="1"/>
    <col min="5" max="5" width="5.6328125" style="1" bestFit="1" customWidth="1" collapsed="1"/>
    <col min="6" max="6" width="1.453125" style="1" bestFit="1" customWidth="1" collapsed="1"/>
    <col min="7" max="7" width="3" style="1" bestFit="1" customWidth="1" collapsed="1"/>
    <col min="8" max="8" width="22.81640625" style="1" bestFit="1" customWidth="1" collapsed="1"/>
    <col min="9" max="9" width="4.36328125" style="1" customWidth="1" collapsed="1"/>
    <col min="10" max="10" width="5.6328125" style="1" bestFit="1" customWidth="1" collapsed="1"/>
    <col min="11" max="11" width="1.453125" style="1" bestFit="1" customWidth="1" collapsed="1"/>
    <col min="12" max="12" width="3.7265625" style="1" bestFit="1" customWidth="1" collapsed="1"/>
    <col min="13" max="13" width="20.36328125" style="1" bestFit="1" customWidth="1" collapsed="1"/>
    <col min="14" max="14" width="4.36328125" style="1" bestFit="1" customWidth="1" collapsed="1"/>
    <col min="15" max="15" width="5.6328125" style="1" bestFit="1" customWidth="1" collapsed="1"/>
    <col min="16" max="16" width="1.453125" style="1" bestFit="1" customWidth="1" collapsed="1"/>
    <col min="17" max="17" width="2.81640625" style="1" bestFit="1" customWidth="1" collapsed="1"/>
    <col min="18" max="18" width="18.453125" style="1" bestFit="1" customWidth="1" collapsed="1"/>
    <col min="19" max="19" width="4.36328125" style="1" bestFit="1" customWidth="1" collapsed="1"/>
    <col min="20" max="20" width="5.6328125" style="1" bestFit="1" customWidth="1" collapsed="1"/>
    <col min="21" max="21" width="1.453125" style="1" bestFit="1" customWidth="1" collapsed="1"/>
    <col min="22" max="22" width="4" style="1" bestFit="1" customWidth="1" collapsed="1"/>
    <col min="23" max="23" width="16.36328125" style="1" bestFit="1" customWidth="1" collapsed="1"/>
    <col min="24" max="24" width="4.26953125" style="1" bestFit="1" customWidth="1" collapsed="1"/>
    <col min="25" max="25" width="5.6328125" style="1" bestFit="1" customWidth="1" collapsed="1"/>
    <col min="26" max="26" width="1.453125" style="1" bestFit="1" customWidth="1" collapsed="1"/>
    <col min="27" max="27" width="2.81640625" style="1" bestFit="1" customWidth="1" collapsed="1"/>
    <col min="28" max="28" width="20.453125" style="1" bestFit="1" customWidth="1" collapsed="1"/>
    <col min="29" max="29" width="4.26953125" style="1" bestFit="1" customWidth="1" collapsed="1"/>
    <col min="30" max="30" width="5.6328125" style="1" bestFit="1" customWidth="1" collapsed="1"/>
    <col min="31" max="31" width="4.36328125" style="1" bestFit="1" customWidth="1" collapsed="1"/>
    <col min="32" max="33" width="2.81640625" style="1" bestFit="1" customWidth="1" collapsed="1"/>
    <col min="34" max="34" width="20.453125" style="1" bestFit="1" customWidth="1" collapsed="1"/>
    <col min="35" max="35" width="4.08984375" style="1" bestFit="1" customWidth="1" collapsed="1"/>
    <col min="36" max="36" width="4.36328125" style="1" bestFit="1" customWidth="1" collapsed="1"/>
    <col min="37" max="37" width="8.7265625" style="1" collapsed="1"/>
    <col min="38" max="38" width="8.7265625" style="1" customWidth="1" collapsed="1"/>
    <col min="39" max="39" width="8.7265625" style="1" collapsed="1"/>
    <col min="40" max="40" width="8.7265625" style="1" customWidth="1" collapsed="1"/>
    <col min="41" max="16384" width="8.7265625" style="1" collapsed="1"/>
  </cols>
  <sheetData>
    <row r="1" spans="2:30" ht="15" thickBot="1" x14ac:dyDescent="0.4"/>
    <row r="2" spans="2:30" ht="15" thickBot="1" x14ac:dyDescent="0.4">
      <c r="B2" s="197" t="s">
        <v>829</v>
      </c>
      <c r="C2" s="198"/>
      <c r="D2" s="79">
        <f ca="1">INDEX('League Settings'!B25:B30,'League Settings'!F17+1)/SUM(OFFSET('League Settings'!$B$25,0,0,'League Settings'!F4*2))</f>
        <v>1.111111111111111E-2</v>
      </c>
      <c r="E2" s="76" t="s">
        <v>1016</v>
      </c>
      <c r="I2" s="75">
        <f>INDEX('League Settings'!H36:H41,'League Settings'!F18+1)</f>
        <v>0.1</v>
      </c>
      <c r="J2" s="76" t="s">
        <v>1016</v>
      </c>
      <c r="N2" s="77">
        <f>INDEX('League Settings'!H36:H41,'League Settings'!F19+1)</f>
        <v>0</v>
      </c>
      <c r="O2" s="76" t="s">
        <v>1016</v>
      </c>
      <c r="S2" s="75">
        <f ca="1">INDEX('League Settings'!E25:E30,'League Settings'!F20+1)/SUM(OFFSET('League Settings'!$E$25,0,0,'League Settings'!F7*2))</f>
        <v>1.111111111111111E-2</v>
      </c>
      <c r="T2" s="78" t="s">
        <v>1016</v>
      </c>
      <c r="X2" s="75">
        <f ca="1">INDEX('League Settings'!E25:E30,'League Settings'!F21+1)/SUM(OFFSET('League Settings'!$E$25,0,0,'League Settings'!F8*2))</f>
        <v>9.9999999999999992E-2</v>
      </c>
      <c r="Y2" s="78" t="s">
        <v>1016</v>
      </c>
      <c r="AC2" s="75">
        <f ca="1">INDEX('League Settings'!E25:E30,'League Settings'!F22+1)/SUM(OFFSET('League Settings'!$E$25,0,0,'League Settings'!F9*2))</f>
        <v>9.9999999999999992E-2</v>
      </c>
      <c r="AD2" s="78" t="s">
        <v>1016</v>
      </c>
    </row>
    <row r="3" spans="2:30" ht="14.5" customHeight="1" x14ac:dyDescent="0.35">
      <c r="B3" s="14" t="s">
        <v>3</v>
      </c>
      <c r="C3" s="19" t="s">
        <v>814</v>
      </c>
      <c r="D3" s="19" t="s">
        <v>1217</v>
      </c>
      <c r="E3" s="15" t="s">
        <v>813</v>
      </c>
      <c r="G3" s="14" t="s">
        <v>4</v>
      </c>
      <c r="H3" s="19" t="s">
        <v>814</v>
      </c>
      <c r="I3" s="19" t="s">
        <v>1217</v>
      </c>
      <c r="J3" s="15" t="s">
        <v>813</v>
      </c>
      <c r="L3" s="14" t="s">
        <v>5</v>
      </c>
      <c r="M3" s="19" t="s">
        <v>814</v>
      </c>
      <c r="N3" s="19" t="s">
        <v>1217</v>
      </c>
      <c r="O3" s="15" t="s">
        <v>813</v>
      </c>
      <c r="Q3" s="14" t="s">
        <v>7</v>
      </c>
      <c r="R3" s="19" t="s">
        <v>814</v>
      </c>
      <c r="S3" s="19" t="s">
        <v>1217</v>
      </c>
      <c r="T3" s="74" t="s">
        <v>813</v>
      </c>
      <c r="V3" s="14" t="s">
        <v>8</v>
      </c>
      <c r="W3" s="19" t="s">
        <v>814</v>
      </c>
      <c r="X3" s="19" t="s">
        <v>1217</v>
      </c>
      <c r="Y3" s="15" t="s">
        <v>813</v>
      </c>
      <c r="AA3" s="14" t="s">
        <v>9</v>
      </c>
      <c r="AB3" s="19" t="s">
        <v>814</v>
      </c>
      <c r="AC3" s="19" t="s">
        <v>1217</v>
      </c>
      <c r="AD3" s="15" t="s">
        <v>813</v>
      </c>
    </row>
    <row r="4" spans="2:30" x14ac:dyDescent="0.35">
      <c r="B4" s="12">
        <v>1</v>
      </c>
      <c r="C4" s="34" t="str">
        <f>IF(ISBLANK('Personal Rankings'!C3),"",'Personal Rankings'!C3)</f>
        <v>Patrick Mahomes KC</v>
      </c>
      <c r="D4" s="62">
        <f ca="1">IF(ISBLANK('Personal Rankings'!C3),"",([1]QB!$AL$4*B4^5+[1]QB!$AM$4*B4^4+[1]QB!$AN$4*B4^3+[1]QB!$AO$4*B4^2+[1]QB!$AP$4*B4+[1]QB!$AQ$4-'Player Availability'!$BW$4)*D$2)</f>
        <v>4.3033321532228337</v>
      </c>
      <c r="E4" s="35">
        <f>IF(ISBLANK('Personal Rankings'!C3),"",'Personal Rankings'!D3)</f>
        <v>35</v>
      </c>
      <c r="G4" s="12">
        <v>1</v>
      </c>
      <c r="H4" s="34" t="str">
        <f>IF(ISBLANK('Personal Rankings'!H3),"",'Personal Rankings'!H3)</f>
        <v>Christian McCaffrey CAR</v>
      </c>
      <c r="I4" s="62">
        <f ca="1">IF(ISBLANK('Personal Rankings'!H3),"",([1]RB!$AL$4*G4^5+[1]RB!$AM$4*G4^4+[1]RB!$AN$4*G4^3+[1]RB!$AO$4*G4^2+[1]RB!$AP$4*G4+[1]RB!$AQ$4-'Player Availability'!$BW$5)*I$2)</f>
        <v>39.053741839062468</v>
      </c>
      <c r="J4" s="35">
        <f>IF(ISBLANK('Personal Rankings'!H3),"",'Personal Rankings'!I3)</f>
        <v>1</v>
      </c>
      <c r="L4" s="12">
        <v>1</v>
      </c>
      <c r="M4" s="34" t="str">
        <f>IF(ISBLANK('Personal Rankings'!M3),"",'Personal Rankings'!M3)</f>
        <v>Michael Thomas NO</v>
      </c>
      <c r="N4" s="62">
        <f ca="1">IF(ISBLANK('Personal Rankings'!M3),"",([1]WR!$AL$4*L4^5+[1]WR!$AM$4*L4^4+[1]WR!$AN$4*L4^3+[1]WR!$AO$4*L4^2+[1]WR!$AP$4*L4+[1]WR!$AQ$4-'Player Availability'!$BW$6)*N$2)</f>
        <v>0</v>
      </c>
      <c r="O4" s="35">
        <f>IF(ISBLANK('Personal Rankings'!M3),"",'Personal Rankings'!N3)</f>
        <v>6</v>
      </c>
      <c r="Q4" s="12">
        <v>1</v>
      </c>
      <c r="R4" s="34" t="str">
        <f>IF(ISBLANK('Personal Rankings'!R3),"",'Personal Rankings'!R3)</f>
        <v>Travis Kelce KC</v>
      </c>
      <c r="S4" s="62">
        <f ca="1">IF(ISBLANK('Personal Rankings'!R3),"",([1]TE!$AL$4*Q4^5+[1]TE!$AM$4*Q4^4+[1]TE!$AN$4*Q4^3+[1]TE!$AO$4*Q4^2+[1]TE!$AP$4*Q4+[1]TE!$AQ$4-'Player Availability'!$BW$7)*S$2)</f>
        <v>2.9614056341501258</v>
      </c>
      <c r="T4" s="35">
        <f>IF(ISBLANK('Personal Rankings'!R3),"",'Personal Rankings'!S3)</f>
        <v>20</v>
      </c>
      <c r="V4" s="12">
        <v>1</v>
      </c>
      <c r="W4" s="34" t="str">
        <f>IF(ISBLANK('Personal Rankings'!W3),"",'Personal Rankings'!W3)</f>
        <v xml:space="preserve">49ers D/ST </v>
      </c>
      <c r="X4" s="62">
        <f ca="1">IF(ISBLANK('Personal Rankings'!W3),"",([1]DST!$R$4*V4^5+[1]DST!$S$4*V4^4+[1]DST!$T$4*V4^3+[1]DST!$U$4*V4^2+[1]DST!$V$4*V4+[1]DST!$W$4-'Player Availability'!$BW$8)*X$2)</f>
        <v>15.863586283460144</v>
      </c>
      <c r="Y4" s="35">
        <f>IF(ISBLANK('Personal Rankings'!W3),"",'Personal Rankings'!X3)</f>
        <v>172</v>
      </c>
      <c r="AA4" s="12">
        <v>1</v>
      </c>
      <c r="AB4" s="34" t="str">
        <f>IF(ISBLANK('Personal Rankings'!AB3),"",'Personal Rankings'!AB3)</f>
        <v>Harrison Butker KC</v>
      </c>
      <c r="AC4" s="62">
        <f ca="1">IF(ISBLANK('Personal Rankings'!AB3),"",([1]K!$AG$4*AA4^5+[1]K!$AH$4*AA4^4+[1]K!$AI$4*AA4^3+[1]K!$AJ$4*AA4^2+[1]K!$AK$4*AA4+[1]K!$AL$4-'Player Availability'!$BW$9)*AC$2)</f>
        <v>18.22467846758202</v>
      </c>
      <c r="AD4" s="35">
        <f>IF(ISBLANK('Personal Rankings'!AB3),"",'Personal Rankings'!AC3)</f>
        <v>183</v>
      </c>
    </row>
    <row r="5" spans="2:30" x14ac:dyDescent="0.35">
      <c r="B5" s="12">
        <f>B4+1</f>
        <v>2</v>
      </c>
      <c r="C5" s="34" t="str">
        <f>IF(ISBLANK('Personal Rankings'!C4),"",'Personal Rankings'!C4)</f>
        <v>Lamar Jackson BAL</v>
      </c>
      <c r="D5" s="62">
        <f ca="1">IF(ISBLANK('Personal Rankings'!C4),"",([1]QB!$AL$4*B5^5+[1]QB!$AM$4*B5^4+[1]QB!$AN$4*B5^3+[1]QB!$AO$4*B5^2+[1]QB!$AP$4*B5+[1]QB!$AQ$4-'Player Availability'!$BW$4)*D$2)</f>
        <v>4.0005307613124161</v>
      </c>
      <c r="E5" s="35">
        <f>IF(ISBLANK('Personal Rankings'!C4),"",'Personal Rankings'!D4)</f>
        <v>34</v>
      </c>
      <c r="G5" s="12">
        <f>G4+1</f>
        <v>2</v>
      </c>
      <c r="H5" s="34" t="str">
        <f>IF(ISBLANK('Personal Rankings'!H4),"",'Personal Rankings'!H4)</f>
        <v>Saquon Barkley NYG</v>
      </c>
      <c r="I5" s="62">
        <f ca="1">IF(ISBLANK('Personal Rankings'!H4),"",([1]RB!$AL$4*G5^5+[1]RB!$AM$4*G5^4+[1]RB!$AN$4*G5^3+[1]RB!$AO$4*G5^2+[1]RB!$AP$4*G5+[1]RB!$AQ$4-'Player Availability'!$BW$5)*I$2)</f>
        <v>37.113159712069105</v>
      </c>
      <c r="J5" s="35">
        <f>IF(ISBLANK('Personal Rankings'!H4),"",'Personal Rankings'!I4)</f>
        <v>2</v>
      </c>
      <c r="L5" s="12">
        <f>L4+1</f>
        <v>2</v>
      </c>
      <c r="M5" s="34" t="str">
        <f>IF(ISBLANK('Personal Rankings'!M4),"",'Personal Rankings'!M4)</f>
        <v>Tyreek Hill KC</v>
      </c>
      <c r="N5" s="62">
        <f ca="1">IF(ISBLANK('Personal Rankings'!M4),"",([1]WR!$AL$4*L5^5+[1]WR!$AM$4*L5^4+[1]WR!$AN$4*L5^3+[1]WR!$AO$4*L5^2+[1]WR!$AP$4*L5+[1]WR!$AQ$4-'Player Availability'!$BW$6)*N$2)</f>
        <v>0</v>
      </c>
      <c r="O5" s="35">
        <f>IF(ISBLANK('Personal Rankings'!M4),"",'Personal Rankings'!N4)</f>
        <v>17</v>
      </c>
      <c r="Q5" s="12">
        <f>Q4+1</f>
        <v>2</v>
      </c>
      <c r="R5" s="34" t="str">
        <f>IF(ISBLANK('Personal Rankings'!R4),"",'Personal Rankings'!R4)</f>
        <v>George Kittle SF</v>
      </c>
      <c r="S5" s="62">
        <f ca="1">IF(ISBLANK('Personal Rankings'!R4),"",([1]TE!$AL$4*Q5^5+[1]TE!$AM$4*Q5^4+[1]TE!$AN$4*Q5^3+[1]TE!$AO$4*Q5^2+[1]TE!$AP$4*Q5+[1]TE!$AQ$4-'Player Availability'!$BW$7)*S$2)</f>
        <v>2.7905913432286735</v>
      </c>
      <c r="T5" s="35">
        <f>IF(ISBLANK('Personal Rankings'!R4),"",'Personal Rankings'!S4)</f>
        <v>23</v>
      </c>
      <c r="V5" s="12">
        <f>V4+1</f>
        <v>2</v>
      </c>
      <c r="W5" s="34" t="str">
        <f>IF(ISBLANK('Personal Rankings'!W4),"",'Personal Rankings'!W4)</f>
        <v xml:space="preserve">Steelers D/ST </v>
      </c>
      <c r="X5" s="62">
        <f ca="1">IF(ISBLANK('Personal Rankings'!W4),"",([1]DST!$R$4*V5^5+[1]DST!$S$4*V5^4+[1]DST!$T$4*V5^3+[1]DST!$U$4*V5^2+[1]DST!$V$4*V5+[1]DST!$W$4-'Player Availability'!$BW$8)*X$2)</f>
        <v>14.866384198957697</v>
      </c>
      <c r="Y5" s="35">
        <f>IF(ISBLANK('Personal Rankings'!W4),"",'Personal Rankings'!X4)</f>
        <v>170</v>
      </c>
      <c r="AA5" s="12">
        <f>AA4+1</f>
        <v>2</v>
      </c>
      <c r="AB5" s="34" t="str">
        <f>IF(ISBLANK('Personal Rankings'!AB4),"",'Personal Rankings'!AB4)</f>
        <v>Justin Tucker BAL</v>
      </c>
      <c r="AC5" s="62">
        <f ca="1">IF(ISBLANK('Personal Rankings'!AB4),"",([1]K!$AG$4*AA5^5+[1]K!$AH$4*AA5^4+[1]K!$AI$4*AA5^3+[1]K!$AJ$4*AA5^2+[1]K!$AK$4*AA5+[1]K!$AL$4-'Player Availability'!$BW$9)*AC$2)</f>
        <v>16.891407335541075</v>
      </c>
      <c r="AD5" s="35">
        <f>IF(ISBLANK('Personal Rankings'!AB4),"",'Personal Rankings'!AC4)</f>
        <v>182</v>
      </c>
    </row>
    <row r="6" spans="2:30" x14ac:dyDescent="0.35">
      <c r="B6" s="12">
        <f t="shared" ref="B6:B33" si="0">B5+1</f>
        <v>3</v>
      </c>
      <c r="C6" s="34" t="str">
        <f>IF(ISBLANK('Personal Rankings'!C5),"",'Personal Rankings'!C5)</f>
        <v>Dak Prescott DAL</v>
      </c>
      <c r="D6" s="62">
        <f ca="1">IF(ISBLANK('Personal Rankings'!C5),"",([1]QB!$AL$4*B6^5+[1]QB!$AM$4*B6^4+[1]QB!$AN$4*B6^3+[1]QB!$AO$4*B6^2+[1]QB!$AP$4*B6+[1]QB!$AQ$4-'Player Availability'!$BW$4)*D$2)</f>
        <v>3.7728547085649837</v>
      </c>
      <c r="E6" s="35">
        <f>IF(ISBLANK('Personal Rankings'!C5),"",'Personal Rankings'!D5)</f>
        <v>75</v>
      </c>
      <c r="G6" s="12">
        <f t="shared" ref="G6:G69" si="1">G5+1</f>
        <v>3</v>
      </c>
      <c r="H6" s="34" t="str">
        <f>IF(ISBLANK('Personal Rankings'!H5),"",'Personal Rankings'!H5)</f>
        <v>Ezekiel Elliott DAL</v>
      </c>
      <c r="I6" s="62">
        <f ca="1">IF(ISBLANK('Personal Rankings'!H5),"",([1]RB!$AL$4*G6^5+[1]RB!$AM$4*G6^4+[1]RB!$AN$4*G6^3+[1]RB!$AO$4*G6^2+[1]RB!$AP$4*G6+[1]RB!$AQ$4-'Player Availability'!$BW$5)*I$2)</f>
        <v>35.323787938590037</v>
      </c>
      <c r="J6" s="35">
        <f>IF(ISBLANK('Personal Rankings'!H5),"",'Personal Rankings'!I5)</f>
        <v>3</v>
      </c>
      <c r="L6" s="12">
        <f t="shared" ref="L6:L69" si="2">L5+1</f>
        <v>3</v>
      </c>
      <c r="M6" s="34" t="str">
        <f>IF(ISBLANK('Personal Rankings'!M5),"",'Personal Rankings'!M5)</f>
        <v>Davante Adams GB</v>
      </c>
      <c r="N6" s="62">
        <f ca="1">IF(ISBLANK('Personal Rankings'!M5),"",([1]WR!$AL$4*L6^5+[1]WR!$AM$4*L6^4+[1]WR!$AN$4*L6^3+[1]WR!$AO$4*L6^2+[1]WR!$AP$4*L6+[1]WR!$AQ$4-'Player Availability'!$BW$6)*N$2)</f>
        <v>0</v>
      </c>
      <c r="O6" s="35">
        <f>IF(ISBLANK('Personal Rankings'!M5),"",'Personal Rankings'!N5)</f>
        <v>16</v>
      </c>
      <c r="Q6" s="12">
        <f t="shared" ref="Q6:Q33" si="3">Q5+1</f>
        <v>3</v>
      </c>
      <c r="R6" s="34" t="str">
        <f>IF(ISBLANK('Personal Rankings'!R5),"",'Personal Rankings'!R5)</f>
        <v>Mark Andrews BAL</v>
      </c>
      <c r="S6" s="62">
        <f ca="1">IF(ISBLANK('Personal Rankings'!R5),"",([1]TE!$AL$4*Q6^5+[1]TE!$AM$4*Q6^4+[1]TE!$AN$4*Q6^3+[1]TE!$AO$4*Q6^2+[1]TE!$AP$4*Q6+[1]TE!$AQ$4-'Player Availability'!$BW$7)*S$2)</f>
        <v>2.63402717117815</v>
      </c>
      <c r="T6" s="35">
        <f>IF(ISBLANK('Personal Rankings'!R5),"",'Personal Rankings'!S5)</f>
        <v>41</v>
      </c>
      <c r="V6" s="12">
        <f t="shared" ref="V6:V23" si="4">V5+1</f>
        <v>3</v>
      </c>
      <c r="W6" s="34" t="str">
        <f>IF(ISBLANK('Personal Rankings'!W5),"",'Personal Rankings'!W5)</f>
        <v xml:space="preserve">Ravens D/ST </v>
      </c>
      <c r="X6" s="62">
        <f ca="1">IF(ISBLANK('Personal Rankings'!W5),"",([1]DST!$R$4*V6^5+[1]DST!$S$4*V6^4+[1]DST!$T$4*V6^3+[1]DST!$U$4*V6^2+[1]DST!$V$4*V6+[1]DST!$W$4-'Player Availability'!$BW$8)*X$2)</f>
        <v>14.053276404777682</v>
      </c>
      <c r="Y6" s="35">
        <f>IF(ISBLANK('Personal Rankings'!W5),"",'Personal Rankings'!X5)</f>
        <v>173</v>
      </c>
      <c r="AA6" s="12">
        <f t="shared" ref="AA6:AA23" si="5">AA5+1</f>
        <v>3</v>
      </c>
      <c r="AB6" s="34" t="str">
        <f>IF(ISBLANK('Personal Rankings'!AB5),"",'Personal Rankings'!AB5)</f>
        <v>Greg Zuerlein DAL</v>
      </c>
      <c r="AC6" s="62">
        <f ca="1">IF(ISBLANK('Personal Rankings'!AB5),"",([1]K!$AG$4*AA6^5+[1]K!$AH$4*AA6^4+[1]K!$AI$4*AA6^3+[1]K!$AJ$4*AA6^2+[1]K!$AK$4*AA6+[1]K!$AL$4-'Player Availability'!$BW$9)*AC$2)</f>
        <v>15.899141120256477</v>
      </c>
      <c r="AD6" s="35">
        <f>IF(ISBLANK('Personal Rankings'!AB5),"",'Personal Rankings'!AC5)</f>
        <v>187</v>
      </c>
    </row>
    <row r="7" spans="2:30" x14ac:dyDescent="0.35">
      <c r="B7" s="12">
        <f t="shared" si="0"/>
        <v>4</v>
      </c>
      <c r="C7" s="34" t="str">
        <f>IF(ISBLANK('Personal Rankings'!C6),"",'Personal Rankings'!C6)</f>
        <v>Russell Wilson SEA</v>
      </c>
      <c r="D7" s="62">
        <f ca="1">IF(ISBLANK('Personal Rankings'!C6),"",([1]QB!$AL$4*B7^5+[1]QB!$AM$4*B7^4+[1]QB!$AN$4*B7^3+[1]QB!$AO$4*B7^2+[1]QB!$AP$4*B7+[1]QB!$AQ$4-'Player Availability'!$BW$4)*D$2)</f>
        <v>3.6040773920630857</v>
      </c>
      <c r="E7" s="35">
        <f>IF(ISBLANK('Personal Rankings'!C6),"",'Personal Rankings'!D6)</f>
        <v>76</v>
      </c>
      <c r="G7" s="12">
        <f t="shared" si="1"/>
        <v>4</v>
      </c>
      <c r="H7" s="34" t="str">
        <f>IF(ISBLANK('Personal Rankings'!H6),"",'Personal Rankings'!H6)</f>
        <v>Alvin Kamara NO</v>
      </c>
      <c r="I7" s="62">
        <f ca="1">IF(ISBLANK('Personal Rankings'!H6),"",([1]RB!$AL$4*G7^5+[1]RB!$AM$4*G7^4+[1]RB!$AN$4*G7^3+[1]RB!$AO$4*G7^2+[1]RB!$AP$4*G7+[1]RB!$AQ$4-'Player Availability'!$BW$5)*I$2)</f>
        <v>33.675656229457147</v>
      </c>
      <c r="J7" s="35">
        <f>IF(ISBLANK('Personal Rankings'!H6),"",'Personal Rankings'!I6)</f>
        <v>5</v>
      </c>
      <c r="L7" s="12">
        <f t="shared" si="2"/>
        <v>4</v>
      </c>
      <c r="M7" s="34" t="str">
        <f>IF(ISBLANK('Personal Rankings'!M6),"",'Personal Rankings'!M6)</f>
        <v>Julio Jones ATL</v>
      </c>
      <c r="N7" s="62">
        <f ca="1">IF(ISBLANK('Personal Rankings'!M6),"",([1]WR!$AL$4*L7^5+[1]WR!$AM$4*L7^4+[1]WR!$AN$4*L7^3+[1]WR!$AO$4*L7^2+[1]WR!$AP$4*L7+[1]WR!$AQ$4-'Player Availability'!$BW$6)*N$2)</f>
        <v>0</v>
      </c>
      <c r="O7" s="35">
        <f>IF(ISBLANK('Personal Rankings'!M6),"",'Personal Rankings'!N6)</f>
        <v>18</v>
      </c>
      <c r="Q7" s="12">
        <f t="shared" si="3"/>
        <v>4</v>
      </c>
      <c r="R7" s="34" t="str">
        <f>IF(ISBLANK('Personal Rankings'!R6),"",'Personal Rankings'!R6)</f>
        <v>Zach Ertz PHI</v>
      </c>
      <c r="S7" s="62">
        <f ca="1">IF(ISBLANK('Personal Rankings'!R6),"",([1]TE!$AL$4*Q7^5+[1]TE!$AM$4*Q7^4+[1]TE!$AN$4*Q7^3+[1]TE!$AO$4*Q7^2+[1]TE!$AP$4*Q7+[1]TE!$AQ$4-'Player Availability'!$BW$7)*S$2)</f>
        <v>2.4905201462142936</v>
      </c>
      <c r="T7" s="35">
        <f>IF(ISBLANK('Personal Rankings'!R6),"",'Personal Rankings'!S6)</f>
        <v>42</v>
      </c>
      <c r="V7" s="12">
        <f t="shared" si="4"/>
        <v>4</v>
      </c>
      <c r="W7" s="34" t="str">
        <f>IF(ISBLANK('Personal Rankings'!W6),"",'Personal Rankings'!W6)</f>
        <v xml:space="preserve">Bills D/ST </v>
      </c>
      <c r="X7" s="62">
        <f ca="1">IF(ISBLANK('Personal Rankings'!W6),"",([1]DST!$R$4*V7^5+[1]DST!$S$4*V7^4+[1]DST!$T$4*V7^3+[1]DST!$U$4*V7^2+[1]DST!$V$4*V7+[1]DST!$W$4-'Player Availability'!$BW$8)*X$2)</f>
        <v>13.387487767429382</v>
      </c>
      <c r="Y7" s="35">
        <f>IF(ISBLANK('Personal Rankings'!W6),"",'Personal Rankings'!X6)</f>
        <v>171</v>
      </c>
      <c r="AA7" s="12">
        <f t="shared" si="5"/>
        <v>4</v>
      </c>
      <c r="AB7" s="34" t="str">
        <f>IF(ISBLANK('Personal Rankings'!AB6),"",'Personal Rankings'!AB6)</f>
        <v>Wil Lutz NO</v>
      </c>
      <c r="AC7" s="62">
        <f ca="1">IF(ISBLANK('Personal Rankings'!AB6),"",([1]K!$AG$4*AA7^5+[1]K!$AH$4*AA7^4+[1]K!$AI$4*AA7^3+[1]K!$AJ$4*AA7^2+[1]K!$AK$4*AA7+[1]K!$AL$4-'Player Availability'!$BW$9)*AC$2)</f>
        <v>15.171982597216509</v>
      </c>
      <c r="AD7" s="35">
        <f>IF(ISBLANK('Personal Rankings'!AB6),"",'Personal Rankings'!AC6)</f>
        <v>184</v>
      </c>
    </row>
    <row r="8" spans="2:30" x14ac:dyDescent="0.35">
      <c r="B8" s="12">
        <f t="shared" si="0"/>
        <v>5</v>
      </c>
      <c r="C8" s="34" t="str">
        <f>IF(ISBLANK('Personal Rankings'!C7),"",'Personal Rankings'!C7)</f>
        <v>Kyler Murray ARI</v>
      </c>
      <c r="D8" s="62">
        <f ca="1">IF(ISBLANK('Personal Rankings'!C7),"",([1]QB!$AL$4*B8^5+[1]QB!$AM$4*B8^4+[1]QB!$AN$4*B8^3+[1]QB!$AO$4*B8^2+[1]QB!$AP$4*B8+[1]QB!$AQ$4-'Player Availability'!$BW$4)*D$2)</f>
        <v>3.4802959997071206</v>
      </c>
      <c r="E8" s="35">
        <f>IF(ISBLANK('Personal Rankings'!C7),"",'Personal Rankings'!D7)</f>
        <v>74</v>
      </c>
      <c r="G8" s="12">
        <f t="shared" si="1"/>
        <v>5</v>
      </c>
      <c r="H8" s="34" t="str">
        <f>IF(ISBLANK('Personal Rankings'!H7),"",'Personal Rankings'!H7)</f>
        <v>Dalvin Cook MIN</v>
      </c>
      <c r="I8" s="62">
        <f ca="1">IF(ISBLANK('Personal Rankings'!H7),"",([1]RB!$AL$4*G8^5+[1]RB!$AM$4*G8^4+[1]RB!$AN$4*G8^3+[1]RB!$AO$4*G8^2+[1]RB!$AP$4*G8+[1]RB!$AQ$4-'Player Availability'!$BW$5)*I$2)</f>
        <v>32.159221935300756</v>
      </c>
      <c r="J8" s="35">
        <f>IF(ISBLANK('Personal Rankings'!H7),"",'Personal Rankings'!I7)</f>
        <v>4</v>
      </c>
      <c r="L8" s="12">
        <f t="shared" si="2"/>
        <v>5</v>
      </c>
      <c r="M8" s="34" t="str">
        <f>IF(ISBLANK('Personal Rankings'!M7),"",'Personal Rankings'!M7)</f>
        <v>Chris Godwin TB</v>
      </c>
      <c r="N8" s="62">
        <f ca="1">IF(ISBLANK('Personal Rankings'!M7),"",([1]WR!$AL$4*L8^5+[1]WR!$AM$4*L8^4+[1]WR!$AN$4*L8^3+[1]WR!$AO$4*L8^2+[1]WR!$AP$4*L8+[1]WR!$AQ$4-'Player Availability'!$BW$6)*N$2)</f>
        <v>0</v>
      </c>
      <c r="O8" s="35">
        <f>IF(ISBLANK('Personal Rankings'!M7),"",'Personal Rankings'!N7)</f>
        <v>21</v>
      </c>
      <c r="Q8" s="12">
        <f t="shared" si="3"/>
        <v>5</v>
      </c>
      <c r="R8" s="34" t="str">
        <f>IF(ISBLANK('Personal Rankings'!R7),"",'Personal Rankings'!R7)</f>
        <v>Darren Waller LV</v>
      </c>
      <c r="S8" s="62">
        <f ca="1">IF(ISBLANK('Personal Rankings'!R7),"",([1]TE!$AL$4*Q8^5+[1]TE!$AM$4*Q8^4+[1]TE!$AN$4*Q8^3+[1]TE!$AO$4*Q8^2+[1]TE!$AP$4*Q8+[1]TE!$AQ$4-'Player Availability'!$BW$7)*S$2)</f>
        <v>2.3589617056483156</v>
      </c>
      <c r="T8" s="35">
        <f>IF(ISBLANK('Personal Rankings'!R7),"",'Personal Rankings'!S7)</f>
        <v>69</v>
      </c>
      <c r="V8" s="12">
        <f t="shared" si="4"/>
        <v>5</v>
      </c>
      <c r="W8" s="34" t="str">
        <f>IF(ISBLANK('Personal Rankings'!W7),"",'Personal Rankings'!W7)</f>
        <v xml:space="preserve">Saints D/ST </v>
      </c>
      <c r="X8" s="62">
        <f ca="1">IF(ISBLANK('Personal Rankings'!W7),"",([1]DST!$R$4*V8^5+[1]DST!$S$4*V8^4+[1]DST!$T$4*V8^3+[1]DST!$U$4*V8^2+[1]DST!$V$4*V8+[1]DST!$W$4-'Player Availability'!$BW$8)*X$2)</f>
        <v>12.837565260783604</v>
      </c>
      <c r="Y8" s="35">
        <f>IF(ISBLANK('Personal Rankings'!W7),"",'Personal Rankings'!X7)</f>
        <v>179</v>
      </c>
      <c r="AA8" s="12">
        <f t="shared" si="5"/>
        <v>5</v>
      </c>
      <c r="AB8" s="34" t="str">
        <f>IF(ISBLANK('Personal Rankings'!AB7),"",'Personal Rankings'!AB7)</f>
        <v>Robbie Gould SF</v>
      </c>
      <c r="AC8" s="62">
        <f ca="1">IF(ISBLANK('Personal Rankings'!AB7),"",([1]K!$AG$4*AA8^5+[1]K!$AH$4*AA8^4+[1]K!$AI$4*AA8^3+[1]K!$AJ$4*AA8^2+[1]K!$AK$4*AA8+[1]K!$AL$4-'Player Availability'!$BW$9)*AC$2)</f>
        <v>14.644984632306494</v>
      </c>
      <c r="AD8" s="35">
        <f>IF(ISBLANK('Personal Rankings'!AB7),"",'Personal Rankings'!AC7)</f>
        <v>188</v>
      </c>
    </row>
    <row r="9" spans="2:30" x14ac:dyDescent="0.35">
      <c r="B9" s="12">
        <f t="shared" si="0"/>
        <v>6</v>
      </c>
      <c r="C9" s="34" t="str">
        <f>IF(ISBLANK('Personal Rankings'!C8),"",'Personal Rankings'!C8)</f>
        <v>Deshaun Watson HOU</v>
      </c>
      <c r="D9" s="62">
        <f ca="1">IF(ISBLANK('Personal Rankings'!C8),"",([1]QB!$AL$4*B9^5+[1]QB!$AM$4*B9^4+[1]QB!$AN$4*B9^3+[1]QB!$AO$4*B9^2+[1]QB!$AP$4*B9+[1]QB!$AQ$4-'Player Availability'!$BW$4)*D$2)</f>
        <v>3.3897634509231347</v>
      </c>
      <c r="E9" s="35">
        <f>IF(ISBLANK('Personal Rankings'!C8),"",'Personal Rankings'!D8)</f>
        <v>73</v>
      </c>
      <c r="G9" s="12">
        <f t="shared" si="1"/>
        <v>6</v>
      </c>
      <c r="H9" s="34" t="str">
        <f>IF(ISBLANK('Personal Rankings'!H8),"",'Personal Rankings'!H8)</f>
        <v>Derrick Henry TEN</v>
      </c>
      <c r="I9" s="62">
        <f ca="1">IF(ISBLANK('Personal Rankings'!H8),"",([1]RB!$AL$4*G9^5+[1]RB!$AM$4*G9^4+[1]RB!$AN$4*G9^3+[1]RB!$AO$4*G9^2+[1]RB!$AP$4*G9+[1]RB!$AQ$4-'Player Availability'!$BW$5)*I$2)</f>
        <v>30.765361140484824</v>
      </c>
      <c r="J9" s="35">
        <f>IF(ISBLANK('Personal Rankings'!H8),"",'Personal Rankings'!I8)</f>
        <v>7</v>
      </c>
      <c r="L9" s="12">
        <f t="shared" si="2"/>
        <v>6</v>
      </c>
      <c r="M9" s="34" t="str">
        <f>IF(ISBLANK('Personal Rankings'!M8),"",'Personal Rankings'!M8)</f>
        <v>DeAndre Hopkins ARI</v>
      </c>
      <c r="N9" s="62">
        <f ca="1">IF(ISBLANK('Personal Rankings'!M8),"",([1]WR!$AL$4*L9^5+[1]WR!$AM$4*L9^4+[1]WR!$AN$4*L9^3+[1]WR!$AO$4*L9^2+[1]WR!$AP$4*L9+[1]WR!$AQ$4-'Player Availability'!$BW$6)*N$2)</f>
        <v>0</v>
      </c>
      <c r="O9" s="35">
        <f>IF(ISBLANK('Personal Rankings'!M8),"",'Personal Rankings'!N8)</f>
        <v>19</v>
      </c>
      <c r="Q9" s="12">
        <f t="shared" si="3"/>
        <v>6</v>
      </c>
      <c r="R9" s="34" t="str">
        <f>IF(ISBLANK('Personal Rankings'!R8),"",'Personal Rankings'!R8)</f>
        <v>Tyler Higbee LAR</v>
      </c>
      <c r="S9" s="62">
        <f ca="1">IF(ISBLANK('Personal Rankings'!R8),"",([1]TE!$AL$4*Q9^5+[1]TE!$AM$4*Q9^4+[1]TE!$AN$4*Q9^3+[1]TE!$AO$4*Q9^2+[1]TE!$AP$4*Q9+[1]TE!$AQ$4-'Player Availability'!$BW$7)*S$2)</f>
        <v>2.2383229198594914</v>
      </c>
      <c r="T9" s="35">
        <f>IF(ISBLANK('Personal Rankings'!R8),"",'Personal Rankings'!S8)</f>
        <v>83</v>
      </c>
      <c r="V9" s="12">
        <f t="shared" si="4"/>
        <v>6</v>
      </c>
      <c r="W9" s="34" t="str">
        <f>IF(ISBLANK('Personal Rankings'!W8),"",'Personal Rankings'!W8)</f>
        <v xml:space="preserve">Bears D/ST </v>
      </c>
      <c r="X9" s="62">
        <f ca="1">IF(ISBLANK('Personal Rankings'!W8),"",([1]DST!$R$4*V9^5+[1]DST!$S$4*V9^4+[1]DST!$T$4*V9^3+[1]DST!$U$4*V9^2+[1]DST!$V$4*V9+[1]DST!$W$4-'Player Availability'!$BW$8)*X$2)</f>
        <v>12.376985156899618</v>
      </c>
      <c r="Y9" s="35">
        <f>IF(ISBLANK('Personal Rankings'!W8),"",'Personal Rankings'!X8)</f>
        <v>176</v>
      </c>
      <c r="AA9" s="12">
        <f t="shared" si="5"/>
        <v>6</v>
      </c>
      <c r="AB9" s="34" t="str">
        <f>IF(ISBLANK('Personal Rankings'!AB8),"",'Personal Rankings'!AB8)</f>
        <v>Matt Prater DET</v>
      </c>
      <c r="AC9" s="62">
        <f ca="1">IF(ISBLANK('Personal Rankings'!AB8),"",([1]K!$AG$4*AA9^5+[1]K!$AH$4*AA9^4+[1]K!$AI$4*AA9^3+[1]K!$AJ$4*AA9^2+[1]K!$AK$4*AA9+[1]K!$AL$4-'Player Availability'!$BW$9)*AC$2)</f>
        <v>14.263368632131124</v>
      </c>
      <c r="AD9" s="35">
        <f>IF(ISBLANK('Personal Rankings'!AB8),"",'Personal Rankings'!AC8)</f>
        <v>185</v>
      </c>
    </row>
    <row r="10" spans="2:30" x14ac:dyDescent="0.35">
      <c r="B10" s="12">
        <f t="shared" si="0"/>
        <v>7</v>
      </c>
      <c r="C10" s="34" t="str">
        <f>IF(ISBLANK('Personal Rankings'!C9),"",'Personal Rankings'!C9)</f>
        <v>Matt Ryan ATL</v>
      </c>
      <c r="D10" s="62">
        <f ca="1">IF(ISBLANK('Personal Rankings'!C9),"",([1]QB!$AL$4*B10^5+[1]QB!$AM$4*B10^4+[1]QB!$AN$4*B10^3+[1]QB!$AO$4*B10^2+[1]QB!$AP$4*B10+[1]QB!$AQ$4-'Player Availability'!$BW$4)*D$2)</f>
        <v>3.3227203373706207</v>
      </c>
      <c r="E10" s="35">
        <f>IF(ISBLANK('Personal Rankings'!C9),"",'Personal Rankings'!D9)</f>
        <v>116</v>
      </c>
      <c r="G10" s="12">
        <f t="shared" si="1"/>
        <v>7</v>
      </c>
      <c r="H10" s="34" t="str">
        <f>IF(ISBLANK('Personal Rankings'!H9),"",'Personal Rankings'!H9)</f>
        <v>Clyde Edwards-Helaire KC</v>
      </c>
      <c r="I10" s="62">
        <f ca="1">IF(ISBLANK('Personal Rankings'!H9),"",([1]RB!$AL$4*G10^5+[1]RB!$AM$4*G10^4+[1]RB!$AN$4*G10^3+[1]RB!$AO$4*G10^2+[1]RB!$AP$4*G10+[1]RB!$AQ$4-'Player Availability'!$BW$5)*I$2)</f>
        <v>29.485359757042204</v>
      </c>
      <c r="J10" s="35">
        <f>IF(ISBLANK('Personal Rankings'!H9),"",'Personal Rankings'!I9)</f>
        <v>8</v>
      </c>
      <c r="L10" s="12">
        <f t="shared" si="2"/>
        <v>7</v>
      </c>
      <c r="M10" s="34" t="str">
        <f>IF(ISBLANK('Personal Rankings'!M9),"",'Personal Rankings'!M9)</f>
        <v>Kenny Golladay DET</v>
      </c>
      <c r="N10" s="62">
        <f ca="1">IF(ISBLANK('Personal Rankings'!M9),"",([1]WR!$AL$4*L10^5+[1]WR!$AM$4*L10^4+[1]WR!$AN$4*L10^3+[1]WR!$AO$4*L10^2+[1]WR!$AP$4*L10+[1]WR!$AQ$4-'Player Availability'!$BW$6)*N$2)</f>
        <v>0</v>
      </c>
      <c r="O10" s="35">
        <f>IF(ISBLANK('Personal Rankings'!M9),"",'Personal Rankings'!N9)</f>
        <v>24</v>
      </c>
      <c r="Q10" s="12">
        <f t="shared" si="3"/>
        <v>7</v>
      </c>
      <c r="R10" s="34" t="str">
        <f>IF(ISBLANK('Personal Rankings'!R9),"",'Personal Rankings'!R9)</f>
        <v>Hayden Hurst ATL</v>
      </c>
      <c r="S10" s="62">
        <f ca="1">IF(ISBLANK('Personal Rankings'!R9),"",([1]TE!$AL$4*Q10^5+[1]TE!$AM$4*Q10^4+[1]TE!$AN$4*Q10^3+[1]TE!$AO$4*Q10^2+[1]TE!$AP$4*Q10+[1]TE!$AQ$4-'Player Availability'!$BW$7)*S$2)</f>
        <v>2.127649716267757</v>
      </c>
      <c r="T10" s="35">
        <f>IF(ISBLANK('Personal Rankings'!R9),"",'Personal Rankings'!S9)</f>
        <v>114</v>
      </c>
      <c r="V10" s="12">
        <f t="shared" si="4"/>
        <v>7</v>
      </c>
      <c r="W10" s="34" t="str">
        <f>IF(ISBLANK('Personal Rankings'!W9),"",'Personal Rankings'!W9)</f>
        <v xml:space="preserve">Patriots D/ST </v>
      </c>
      <c r="X10" s="62">
        <f ca="1">IF(ISBLANK('Personal Rankings'!W9),"",([1]DST!$R$4*V10^5+[1]DST!$S$4*V10^4+[1]DST!$T$4*V10^3+[1]DST!$U$4*V10^2+[1]DST!$V$4*V10+[1]DST!$W$4-'Player Availability'!$BW$8)*X$2)</f>
        <v>11.983760216852112</v>
      </c>
      <c r="Y10" s="35">
        <f>IF(ISBLANK('Personal Rankings'!W9),"",'Personal Rankings'!X9)</f>
        <v>174</v>
      </c>
      <c r="AA10" s="12">
        <f t="shared" si="5"/>
        <v>7</v>
      </c>
      <c r="AB10" s="34" t="str">
        <f>IF(ISBLANK('Personal Rankings'!AB9),"",'Personal Rankings'!AB9)</f>
        <v>Zane Gonzalez ARI</v>
      </c>
      <c r="AC10" s="62">
        <f ca="1">IF(ISBLANK('Personal Rankings'!AB9),"",([1]K!$AG$4*AA10^5+[1]K!$AH$4*AA10^4+[1]K!$AI$4*AA10^3+[1]K!$AJ$4*AA10^2+[1]K!$AK$4*AA10+[1]K!$AL$4-'Player Availability'!$BW$9)*AC$2)</f>
        <v>13.981742994336726</v>
      </c>
      <c r="AD10" s="35">
        <f>IF(ISBLANK('Personal Rankings'!AB9),"",'Personal Rankings'!AC9)</f>
        <v>189</v>
      </c>
    </row>
    <row r="11" spans="2:30" x14ac:dyDescent="0.35">
      <c r="B11" s="12">
        <f t="shared" si="0"/>
        <v>8</v>
      </c>
      <c r="C11" s="34" t="str">
        <f>IF(ISBLANK('Personal Rankings'!C10),"",'Personal Rankings'!C10)</f>
        <v>Tom Brady TB</v>
      </c>
      <c r="D11" s="62">
        <f ca="1">IF(ISBLANK('Personal Rankings'!C10),"",([1]QB!$AL$4*B11^5+[1]QB!$AM$4*B11^4+[1]QB!$AN$4*B11^3+[1]QB!$AO$4*B11^2+[1]QB!$AP$4*B11+[1]QB!$AQ$4-'Player Availability'!$BW$4)*D$2)</f>
        <v>3.2712268636503188</v>
      </c>
      <c r="E11" s="35">
        <f>IF(ISBLANK('Personal Rankings'!C10),"",'Personal Rankings'!D10)</f>
        <v>117</v>
      </c>
      <c r="G11" s="12">
        <f t="shared" si="1"/>
        <v>8</v>
      </c>
      <c r="H11" s="34" t="str">
        <f>IF(ISBLANK('Personal Rankings'!H10),"",'Personal Rankings'!H10)</f>
        <v>Joe Mixon CIN</v>
      </c>
      <c r="I11" s="62">
        <f ca="1">IF(ISBLANK('Personal Rankings'!H10),"",([1]RB!$AL$4*G11^5+[1]RB!$AM$4*G11^4+[1]RB!$AN$4*G11^3+[1]RB!$AO$4*G11^2+[1]RB!$AP$4*G11+[1]RB!$AQ$4-'Player Availability'!$BW$5)*I$2)</f>
        <v>28.310904618609925</v>
      </c>
      <c r="J11" s="35">
        <f>IF(ISBLANK('Personal Rankings'!H10),"",'Personal Rankings'!I10)</f>
        <v>12</v>
      </c>
      <c r="L11" s="12">
        <f t="shared" si="2"/>
        <v>8</v>
      </c>
      <c r="M11" s="34" t="str">
        <f>IF(ISBLANK('Personal Rankings'!M10),"",'Personal Rankings'!M10)</f>
        <v>Allen Robinson II CHI</v>
      </c>
      <c r="N11" s="62">
        <f ca="1">IF(ISBLANK('Personal Rankings'!M10),"",([1]WR!$AL$4*L11^5+[1]WR!$AM$4*L11^4+[1]WR!$AN$4*L11^3+[1]WR!$AO$4*L11^2+[1]WR!$AP$4*L11+[1]WR!$AQ$4-'Player Availability'!$BW$6)*N$2)</f>
        <v>0</v>
      </c>
      <c r="O11" s="35">
        <f>IF(ISBLANK('Personal Rankings'!M10),"",'Personal Rankings'!N10)</f>
        <v>28</v>
      </c>
      <c r="Q11" s="12">
        <f t="shared" si="3"/>
        <v>8</v>
      </c>
      <c r="R11" s="34" t="str">
        <f>IF(ISBLANK('Personal Rankings'!R10),"",'Personal Rankings'!R10)</f>
        <v>Hunter Henry LAC</v>
      </c>
      <c r="S11" s="62">
        <f ca="1">IF(ISBLANK('Personal Rankings'!R10),"",([1]TE!$AL$4*Q11^5+[1]TE!$AM$4*Q11^4+[1]TE!$AN$4*Q11^3+[1]TE!$AO$4*Q11^2+[1]TE!$AP$4*Q11+[1]TE!$AQ$4-'Player Availability'!$BW$7)*S$2)</f>
        <v>2.0260581033063016</v>
      </c>
      <c r="T11" s="35">
        <f>IF(ISBLANK('Personal Rankings'!R10),"",'Personal Rankings'!S10)</f>
        <v>110</v>
      </c>
      <c r="V11" s="12">
        <f t="shared" si="4"/>
        <v>8</v>
      </c>
      <c r="W11" s="34" t="str">
        <f>IF(ISBLANK('Personal Rankings'!W10),"",'Personal Rankings'!W10)</f>
        <v xml:space="preserve">Chiefs D/ST </v>
      </c>
      <c r="X11" s="62">
        <f ca="1">IF(ISBLANK('Personal Rankings'!W10),"",([1]DST!$R$4*V11^5+[1]DST!$S$4*V11^4+[1]DST!$T$4*V11^3+[1]DST!$U$4*V11^2+[1]DST!$V$4*V11+[1]DST!$W$4-'Player Availability'!$BW$8)*X$2)</f>
        <v>11.640046881558144</v>
      </c>
      <c r="Y11" s="35">
        <f>IF(ISBLANK('Personal Rankings'!W10),"",'Personal Rankings'!X10)</f>
        <v>296</v>
      </c>
      <c r="AA11" s="12">
        <f t="shared" si="5"/>
        <v>8</v>
      </c>
      <c r="AB11" s="34" t="str">
        <f>IF(ISBLANK('Personal Rankings'!AB10),"",'Personal Rankings'!AB10)</f>
        <v/>
      </c>
      <c r="AC11" s="62" t="str">
        <f>IF(ISBLANK('Personal Rankings'!AB10),"",([1]K!$AG$4*AA11^5+[1]K!$AH$4*AA11^4+[1]K!$AI$4*AA11^3+[1]K!$AJ$4*AA11^2+[1]K!$AK$4*AA11+[1]K!$AL$4-'Player Availability'!$BW$9)*AC$2)</f>
        <v/>
      </c>
      <c r="AD11" s="35" t="str">
        <f>IF(ISBLANK('Personal Rankings'!AB10),"",'Personal Rankings'!AC10)</f>
        <v/>
      </c>
    </row>
    <row r="12" spans="2:30" x14ac:dyDescent="0.35">
      <c r="B12" s="12">
        <f t="shared" si="0"/>
        <v>9</v>
      </c>
      <c r="C12" s="34" t="str">
        <f>IF(ISBLANK('Personal Rankings'!C11),"",'Personal Rankings'!C11)</f>
        <v>Drew Brees NO</v>
      </c>
      <c r="D12" s="62">
        <f ca="1">IF(ISBLANK('Personal Rankings'!C11),"",([1]QB!$AL$4*B12^5+[1]QB!$AM$4*B12^4+[1]QB!$AN$4*B12^3+[1]QB!$AO$4*B12^2+[1]QB!$AP$4*B12+[1]QB!$AQ$4-'Player Availability'!$BW$4)*D$2)</f>
        <v>3.2289947880120127</v>
      </c>
      <c r="E12" s="35">
        <f>IF(ISBLANK('Personal Rankings'!C11),"",'Personal Rankings'!D11)</f>
        <v>120</v>
      </c>
      <c r="G12" s="12">
        <f t="shared" si="1"/>
        <v>9</v>
      </c>
      <c r="H12" s="34" t="str">
        <f>IF(ISBLANK('Personal Rankings'!H11),"",'Personal Rankings'!H11)</f>
        <v>Josh Jacobs LV</v>
      </c>
      <c r="I12" s="62">
        <f ca="1">IF(ISBLANK('Personal Rankings'!H11),"",([1]RB!$AL$4*G12^5+[1]RB!$AM$4*G12^4+[1]RB!$AN$4*G12^3+[1]RB!$AO$4*G12^2+[1]RB!$AP$4*G12+[1]RB!$AQ$4-'Player Availability'!$BW$5)*I$2)</f>
        <v>27.234074574364367</v>
      </c>
      <c r="J12" s="35">
        <f>IF(ISBLANK('Personal Rankings'!H11),"",'Personal Rankings'!I11)</f>
        <v>10</v>
      </c>
      <c r="L12" s="12">
        <f t="shared" si="2"/>
        <v>9</v>
      </c>
      <c r="M12" s="34" t="str">
        <f>IF(ISBLANK('Personal Rankings'!M11),"",'Personal Rankings'!M11)</f>
        <v>Mike Evans TB</v>
      </c>
      <c r="N12" s="62">
        <f ca="1">IF(ISBLANK('Personal Rankings'!M11),"",([1]WR!$AL$4*L12^5+[1]WR!$AM$4*L12^4+[1]WR!$AN$4*L12^3+[1]WR!$AO$4*L12^2+[1]WR!$AP$4*L12+[1]WR!$AQ$4-'Player Availability'!$BW$6)*N$2)</f>
        <v>0</v>
      </c>
      <c r="O12" s="35">
        <f>IF(ISBLANK('Personal Rankings'!M11),"",'Personal Rankings'!N11)</f>
        <v>22</v>
      </c>
      <c r="Q12" s="12">
        <f t="shared" si="3"/>
        <v>9</v>
      </c>
      <c r="R12" s="34" t="str">
        <f>IF(ISBLANK('Personal Rankings'!R11),"",'Personal Rankings'!R11)</f>
        <v>Evan Engram NYG</v>
      </c>
      <c r="S12" s="62">
        <f ca="1">IF(ISBLANK('Personal Rankings'!R11),"",([1]TE!$AL$4*Q12^5+[1]TE!$AM$4*Q12^4+[1]TE!$AN$4*Q12^3+[1]TE!$AO$4*Q12^2+[1]TE!$AP$4*Q12+[1]TE!$AQ$4-'Player Availability'!$BW$7)*S$2)</f>
        <v>1.9327293943941639</v>
      </c>
      <c r="T12" s="35">
        <f>IF(ISBLANK('Personal Rankings'!R11),"",'Personal Rankings'!S11)</f>
        <v>82</v>
      </c>
      <c r="V12" s="12">
        <f t="shared" si="4"/>
        <v>9</v>
      </c>
      <c r="W12" s="34" t="str">
        <f>IF(ISBLANK('Personal Rankings'!W11),"",'Personal Rankings'!W11)</f>
        <v xml:space="preserve">Broncos D/ST </v>
      </c>
      <c r="X12" s="62">
        <f ca="1">IF(ISBLANK('Personal Rankings'!W11),"",([1]DST!$R$4*V12^5+[1]DST!$S$4*V12^4+[1]DST!$T$4*V12^3+[1]DST!$U$4*V12^2+[1]DST!$V$4*V12+[1]DST!$W$4-'Player Availability'!$BW$8)*X$2)</f>
        <v>11.331752462604092</v>
      </c>
      <c r="Y12" s="35">
        <f>IF(ISBLANK('Personal Rankings'!W11),"",'Personal Rankings'!X11)</f>
        <v>178</v>
      </c>
      <c r="AA12" s="12">
        <f t="shared" si="5"/>
        <v>9</v>
      </c>
      <c r="AB12" s="34" t="str">
        <f>IF(ISBLANK('Personal Rankings'!AB11),"",'Personal Rankings'!AB11)</f>
        <v>Younghoe Koo ATL</v>
      </c>
      <c r="AC12" s="62">
        <f ca="1">IF(ISBLANK('Personal Rankings'!AB11),"",([1]K!$AG$4*AA12^5+[1]K!$AH$4*AA12^4+[1]K!$AI$4*AA12^3+[1]K!$AJ$4*AA12^2+[1]K!$AK$4*AA12+[1]K!$AL$4-'Player Availability'!$BW$9)*AC$2)</f>
        <v>13.57914205361838</v>
      </c>
      <c r="AD12" s="35">
        <f>IF(ISBLANK('Personal Rankings'!AB11),"",'Personal Rankings'!AC11)</f>
        <v>226</v>
      </c>
    </row>
    <row r="13" spans="2:30" x14ac:dyDescent="0.35">
      <c r="B13" s="12">
        <f t="shared" si="0"/>
        <v>10</v>
      </c>
      <c r="C13" s="34" t="str">
        <f>IF(ISBLANK('Personal Rankings'!C12),"",'Personal Rankings'!C12)</f>
        <v>Matthew Stafford DET</v>
      </c>
      <c r="D13" s="62">
        <f ca="1">IF(ISBLANK('Personal Rankings'!C12),"",([1]QB!$AL$4*B13^5+[1]QB!$AM$4*B13^4+[1]QB!$AN$4*B13^3+[1]QB!$AO$4*B13^2+[1]QB!$AP$4*B13+[1]QB!$AQ$4-'Player Availability'!$BW$4)*D$2)</f>
        <v>3.191219363062332</v>
      </c>
      <c r="E13" s="35">
        <f>IF(ISBLANK('Personal Rankings'!C12),"",'Personal Rankings'!D12)</f>
        <v>121</v>
      </c>
      <c r="G13" s="12">
        <f t="shared" si="1"/>
        <v>10</v>
      </c>
      <c r="H13" s="34" t="str">
        <f>IF(ISBLANK('Personal Rankings'!H12),"",'Personal Rankings'!H12)</f>
        <v>Nick Chubb CLE</v>
      </c>
      <c r="I13" s="62">
        <f ca="1">IF(ISBLANK('Personal Rankings'!H12),"",([1]RB!$AL$4*G13^5+[1]RB!$AM$4*G13^4+[1]RB!$AN$4*G13^3+[1]RB!$AO$4*G13^2+[1]RB!$AP$4*G13+[1]RB!$AQ$4-'Player Availability'!$BW$5)*I$2)</f>
        <v>26.247331582956544</v>
      </c>
      <c r="J13" s="35">
        <f>IF(ISBLANK('Personal Rankings'!H12),"",'Personal Rankings'!I12)</f>
        <v>11</v>
      </c>
      <c r="L13" s="12">
        <f t="shared" si="2"/>
        <v>10</v>
      </c>
      <c r="M13" s="34" t="str">
        <f>IF(ISBLANK('Personal Rankings'!M12),"",'Personal Rankings'!M12)</f>
        <v>JuJu Smith-Schuster PIT</v>
      </c>
      <c r="N13" s="62">
        <f ca="1">IF(ISBLANK('Personal Rankings'!M12),"",([1]WR!$AL$4*L13^5+[1]WR!$AM$4*L13^4+[1]WR!$AN$4*L13^3+[1]WR!$AO$4*L13^2+[1]WR!$AP$4*L13+[1]WR!$AQ$4-'Player Availability'!$BW$6)*N$2)</f>
        <v>0</v>
      </c>
      <c r="O13" s="35">
        <f>IF(ISBLANK('Personal Rankings'!M12),"",'Personal Rankings'!N12)</f>
        <v>30</v>
      </c>
      <c r="Q13" s="12">
        <f t="shared" si="3"/>
        <v>10</v>
      </c>
      <c r="R13" s="34" t="str">
        <f>IF(ISBLANK('Personal Rankings'!R12),"",'Personal Rankings'!R12)</f>
        <v>Jared Cook NO</v>
      </c>
      <c r="S13" s="62">
        <f ca="1">IF(ISBLANK('Personal Rankings'!R12),"",([1]TE!$AL$4*Q13^5+[1]TE!$AM$4*Q13^4+[1]TE!$AN$4*Q13^3+[1]TE!$AO$4*Q13^2+[1]TE!$AP$4*Q13+[1]TE!$AQ$4-'Player Availability'!$BW$7)*S$2)</f>
        <v>1.8469054319088236</v>
      </c>
      <c r="T13" s="35">
        <f>IF(ISBLANK('Personal Rankings'!R12),"",'Personal Rankings'!S12)</f>
        <v>111</v>
      </c>
      <c r="V13" s="12">
        <f t="shared" si="4"/>
        <v>10</v>
      </c>
      <c r="W13" s="34" t="str">
        <f>IF(ISBLANK('Personal Rankings'!W12),"",'Personal Rankings'!W12)</f>
        <v xml:space="preserve">Chargers D/ST </v>
      </c>
      <c r="X13" s="62">
        <f ca="1">IF(ISBLANK('Personal Rankings'!W12),"",([1]DST!$R$4*V13^5+[1]DST!$S$4*V13^4+[1]DST!$T$4*V13^3+[1]DST!$U$4*V13^2+[1]DST!$V$4*V13+[1]DST!$W$4-'Player Availability'!$BW$8)*X$2)</f>
        <v>11.04814233307261</v>
      </c>
      <c r="Y13" s="35">
        <f>IF(ISBLANK('Personal Rankings'!W12),"",'Personal Rankings'!X12)</f>
        <v>181</v>
      </c>
      <c r="AA13" s="12">
        <f t="shared" si="5"/>
        <v>10</v>
      </c>
      <c r="AB13" s="34" t="str">
        <f>IF(ISBLANK('Personal Rankings'!AB12),"",'Personal Rankings'!AB12)</f>
        <v>Jake Elliott PHI</v>
      </c>
      <c r="AC13" s="62">
        <f ca="1">IF(ISBLANK('Personal Rankings'!AB12),"",([1]K!$AG$4*AA13^5+[1]K!$AH$4*AA13^4+[1]K!$AI$4*AA13^3+[1]K!$AJ$4*AA13^2+[1]K!$AK$4*AA13+[1]K!$AL$4-'Player Availability'!$BW$9)*AC$2)</f>
        <v>13.407284554096181</v>
      </c>
      <c r="AD13" s="35">
        <f>IF(ISBLANK('Personal Rankings'!AB12),"",'Personal Rankings'!AC12)</f>
        <v>190</v>
      </c>
    </row>
    <row r="14" spans="2:30" x14ac:dyDescent="0.35">
      <c r="B14" s="12">
        <f t="shared" si="0"/>
        <v>11</v>
      </c>
      <c r="C14" s="34" t="str">
        <f>IF(ISBLANK('Personal Rankings'!C13),"",'Personal Rankings'!C13)</f>
        <v>Carson Wentz PHI</v>
      </c>
      <c r="D14" s="62">
        <f ca="1">IF(ISBLANK('Personal Rankings'!C13),"",([1]QB!$AL$4*B14^5+[1]QB!$AM$4*B14^4+[1]QB!$AN$4*B14^3+[1]QB!$AO$4*B14^2+[1]QB!$AP$4*B14+[1]QB!$AQ$4-'Player Availability'!$BW$4)*D$2)</f>
        <v>3.1544112764725485</v>
      </c>
      <c r="E14" s="35">
        <f>IF(ISBLANK('Personal Rankings'!C13),"",'Personal Rankings'!D13)</f>
        <v>118</v>
      </c>
      <c r="G14" s="12">
        <f t="shared" si="1"/>
        <v>11</v>
      </c>
      <c r="H14" s="34" t="str">
        <f>IF(ISBLANK('Personal Rankings'!H13),"",'Personal Rankings'!H13)</f>
        <v>Austin Ekeler LAC</v>
      </c>
      <c r="I14" s="62">
        <f ca="1">IF(ISBLANK('Personal Rankings'!H13),"",([1]RB!$AL$4*G14^5+[1]RB!$AM$4*G14^4+[1]RB!$AN$4*G14^3+[1]RB!$AO$4*G14^2+[1]RB!$AP$4*G14+[1]RB!$AQ$4-'Player Availability'!$BW$5)*I$2)</f>
        <v>25.343511806447356</v>
      </c>
      <c r="J14" s="35">
        <f>IF(ISBLANK('Personal Rankings'!H13),"",'Personal Rankings'!I13)</f>
        <v>15</v>
      </c>
      <c r="L14" s="12">
        <f t="shared" si="2"/>
        <v>11</v>
      </c>
      <c r="M14" s="34" t="str">
        <f>IF(ISBLANK('Personal Rankings'!M13),"",'Personal Rankings'!M13)</f>
        <v>DJ Moore CAR</v>
      </c>
      <c r="N14" s="62">
        <f ca="1">IF(ISBLANK('Personal Rankings'!M13),"",([1]WR!$AL$4*L14^5+[1]WR!$AM$4*L14^4+[1]WR!$AN$4*L14^3+[1]WR!$AO$4*L14^2+[1]WR!$AP$4*L14+[1]WR!$AQ$4-'Player Availability'!$BW$6)*N$2)</f>
        <v>0</v>
      </c>
      <c r="O14" s="35">
        <f>IF(ISBLANK('Personal Rankings'!M13),"",'Personal Rankings'!N13)</f>
        <v>25</v>
      </c>
      <c r="Q14" s="12">
        <f t="shared" si="3"/>
        <v>11</v>
      </c>
      <c r="R14" s="34" t="str">
        <f>IF(ISBLANK('Personal Rankings'!R13),"",'Personal Rankings'!R13)</f>
        <v>Rob Gronkowski TB</v>
      </c>
      <c r="S14" s="62">
        <f ca="1">IF(ISBLANK('Personal Rankings'!R13),"",([1]TE!$AL$4*Q14^5+[1]TE!$AM$4*Q14^4+[1]TE!$AN$4*Q14^3+[1]TE!$AO$4*Q14^2+[1]TE!$AP$4*Q14+[1]TE!$AQ$4-'Player Availability'!$BW$7)*S$2)</f>
        <v>1.7678838111587984</v>
      </c>
      <c r="T14" s="35">
        <f>IF(ISBLANK('Personal Rankings'!R13),"",'Personal Rankings'!S13)</f>
        <v>112</v>
      </c>
      <c r="V14" s="12">
        <f t="shared" si="4"/>
        <v>11</v>
      </c>
      <c r="W14" s="34" t="str">
        <f>IF(ISBLANK('Personal Rankings'!W13),"",'Personal Rankings'!W13)</f>
        <v/>
      </c>
      <c r="X14" s="62" t="str">
        <f>IF(ISBLANK('Personal Rankings'!W13),"",([1]DST!$R$4*V14^5+[1]DST!$S$4*V14^4+[1]DST!$T$4*V14^3+[1]DST!$U$4*V14^2+[1]DST!$V$4*V14+[1]DST!$W$4-'Player Availability'!$BW$8)*X$2)</f>
        <v/>
      </c>
      <c r="Y14" s="35" t="str">
        <f>IF(ISBLANK('Personal Rankings'!W13),"",'Personal Rankings'!X13)</f>
        <v/>
      </c>
      <c r="AA14" s="12">
        <f t="shared" si="5"/>
        <v>11</v>
      </c>
      <c r="AB14" s="34" t="str">
        <f>IF(ISBLANK('Personal Rankings'!AB13),"",'Personal Rankings'!AB13)</f>
        <v/>
      </c>
      <c r="AC14" s="62" t="str">
        <f>IF(ISBLANK('Personal Rankings'!AB13),"",([1]K!$AG$4*AA14^5+[1]K!$AH$4*AA14^4+[1]K!$AI$4*AA14^3+[1]K!$AJ$4*AA14^2+[1]K!$AK$4*AA14+[1]K!$AL$4-'Player Availability'!$BW$9)*AC$2)</f>
        <v/>
      </c>
      <c r="AD14" s="35" t="str">
        <f>IF(ISBLANK('Personal Rankings'!AB13),"",'Personal Rankings'!AC13)</f>
        <v/>
      </c>
    </row>
    <row r="15" spans="2:30" x14ac:dyDescent="0.35">
      <c r="B15" s="12">
        <f t="shared" si="0"/>
        <v>12</v>
      </c>
      <c r="C15" s="34" t="str">
        <f>IF(ISBLANK('Personal Rankings'!C14),"",'Personal Rankings'!C14)</f>
        <v>Josh Allen BUF</v>
      </c>
      <c r="D15" s="62">
        <f ca="1">IF(ISBLANK('Personal Rankings'!C14),"",([1]QB!$AL$4*B15^5+[1]QB!$AM$4*B15^4+[1]QB!$AN$4*B15^3+[1]QB!$AO$4*B15^2+[1]QB!$AP$4*B15+[1]QB!$AQ$4-'Player Availability'!$BW$4)*D$2)</f>
        <v>3.1162285916863812</v>
      </c>
      <c r="E15" s="35">
        <f>IF(ISBLANK('Personal Rankings'!C14),"",'Personal Rankings'!D14)</f>
        <v>119</v>
      </c>
      <c r="G15" s="12">
        <f t="shared" si="1"/>
        <v>12</v>
      </c>
      <c r="H15" s="34" t="str">
        <f>IF(ISBLANK('Personal Rankings'!H14),"",'Personal Rankings'!H14)</f>
        <v>Kenyan Drake ARI</v>
      </c>
      <c r="I15" s="62">
        <f ca="1">IF(ISBLANK('Personal Rankings'!H14),"",([1]RB!$AL$4*G15^5+[1]RB!$AM$4*G15^4+[1]RB!$AN$4*G15^3+[1]RB!$AO$4*G15^2+[1]RB!$AP$4*G15+[1]RB!$AQ$4-'Player Availability'!$BW$5)*I$2)</f>
        <v>24.515816704242816</v>
      </c>
      <c r="J15" s="35">
        <f>IF(ISBLANK('Personal Rankings'!H14),"",'Personal Rankings'!I14)</f>
        <v>13</v>
      </c>
      <c r="L15" s="12">
        <f t="shared" si="2"/>
        <v>12</v>
      </c>
      <c r="M15" s="34" t="str">
        <f>IF(ISBLANK('Personal Rankings'!M14),"",'Personal Rankings'!M14)</f>
        <v>Adam Thielen MIN</v>
      </c>
      <c r="N15" s="62">
        <f ca="1">IF(ISBLANK('Personal Rankings'!M14),"",([1]WR!$AL$4*L15^5+[1]WR!$AM$4*L15^4+[1]WR!$AN$4*L15^3+[1]WR!$AO$4*L15^2+[1]WR!$AP$4*L15+[1]WR!$AQ$4-'Player Availability'!$BW$6)*N$2)</f>
        <v>0</v>
      </c>
      <c r="O15" s="35">
        <f>IF(ISBLANK('Personal Rankings'!M14),"",'Personal Rankings'!N14)</f>
        <v>26</v>
      </c>
      <c r="Q15" s="12">
        <f t="shared" si="3"/>
        <v>12</v>
      </c>
      <c r="R15" s="34" t="str">
        <f>IF(ISBLANK('Personal Rankings'!R14),"",'Personal Rankings'!R14)</f>
        <v>Mike Gesicki MIA</v>
      </c>
      <c r="S15" s="62">
        <f ca="1">IF(ISBLANK('Personal Rankings'!R14),"",([1]TE!$AL$4*Q15^5+[1]TE!$AM$4*Q15^4+[1]TE!$AN$4*Q15^3+[1]TE!$AO$4*Q15^2+[1]TE!$AP$4*Q15+[1]TE!$AQ$4-'Player Availability'!$BW$7)*S$2)</f>
        <v>1.6950131043562362</v>
      </c>
      <c r="T15" s="35">
        <f>IF(ISBLANK('Personal Rankings'!R14),"",'Personal Rankings'!S14)</f>
        <v>134</v>
      </c>
      <c r="V15" s="12">
        <f t="shared" si="4"/>
        <v>12</v>
      </c>
      <c r="W15" s="34" t="str">
        <f>IF(ISBLANK('Personal Rankings'!W14),"",'Personal Rankings'!W14)</f>
        <v/>
      </c>
      <c r="X15" s="62" t="str">
        <f>IF(ISBLANK('Personal Rankings'!W14),"",([1]DST!$R$4*V15^5+[1]DST!$S$4*V15^4+[1]DST!$T$4*V15^3+[1]DST!$U$4*V15^2+[1]DST!$V$4*V15+[1]DST!$W$4-'Player Availability'!$BW$8)*X$2)</f>
        <v/>
      </c>
      <c r="Y15" s="35" t="str">
        <f>IF(ISBLANK('Personal Rankings'!W14),"",'Personal Rankings'!X14)</f>
        <v/>
      </c>
      <c r="AA15" s="12">
        <f t="shared" si="5"/>
        <v>12</v>
      </c>
      <c r="AB15" s="34" t="str">
        <f>IF(ISBLANK('Personal Rankings'!AB14),"",'Personal Rankings'!AB14)</f>
        <v/>
      </c>
      <c r="AC15" s="62" t="str">
        <f>IF(ISBLANK('Personal Rankings'!AB14),"",([1]K!$AG$4*AA15^5+[1]K!$AH$4*AA15^4+[1]K!$AI$4*AA15^3+[1]K!$AJ$4*AA15^2+[1]K!$AK$4*AA15+[1]K!$AL$4-'Player Availability'!$BW$9)*AC$2)</f>
        <v/>
      </c>
      <c r="AD15" s="35" t="str">
        <f>IF(ISBLANK('Personal Rankings'!AB14),"",'Personal Rankings'!AC14)</f>
        <v/>
      </c>
    </row>
    <row r="16" spans="2:30" x14ac:dyDescent="0.35">
      <c r="B16" s="12">
        <f t="shared" si="0"/>
        <v>13</v>
      </c>
      <c r="C16" s="34" t="str">
        <f>IF(ISBLANK('Personal Rankings'!C15),"",'Personal Rankings'!C15)</f>
        <v>Joe Burrow CIN</v>
      </c>
      <c r="D16" s="62">
        <f ca="1">IF(ISBLANK('Personal Rankings'!C15),"",([1]QB!$AL$4*B16^5+[1]QB!$AM$4*B16^4+[1]QB!$AN$4*B16^3+[1]QB!$AO$4*B16^2+[1]QB!$AP$4*B16+[1]QB!$AQ$4-'Player Availability'!$BW$4)*D$2)</f>
        <v>3.0753086886277865</v>
      </c>
      <c r="E16" s="35">
        <f>IF(ISBLANK('Personal Rankings'!C15),"",'Personal Rankings'!D15)</f>
        <v>221</v>
      </c>
      <c r="G16" s="12">
        <f t="shared" si="1"/>
        <v>13</v>
      </c>
      <c r="H16" s="34" t="str">
        <f>IF(ISBLANK('Personal Rankings'!H15),"",'Personal Rankings'!H15)</f>
        <v>Miles Sanders PHI</v>
      </c>
      <c r="I16" s="62">
        <f ca="1">IF(ISBLANK('Personal Rankings'!H15),"",([1]RB!$AL$4*G16^5+[1]RB!$AM$4*G16^4+[1]RB!$AN$4*G16^3+[1]RB!$AO$4*G16^2+[1]RB!$AP$4*G16+[1]RB!$AQ$4-'Player Availability'!$BW$5)*I$2)</f>
        <v>23.757804127029285</v>
      </c>
      <c r="J16" s="35">
        <f>IF(ISBLANK('Personal Rankings'!H15),"",'Personal Rankings'!I15)</f>
        <v>9</v>
      </c>
      <c r="L16" s="12">
        <f t="shared" si="2"/>
        <v>13</v>
      </c>
      <c r="M16" s="34" t="str">
        <f>IF(ISBLANK('Personal Rankings'!M15),"",'Personal Rankings'!M15)</f>
        <v>Amari Cooper DAL</v>
      </c>
      <c r="N16" s="62">
        <f ca="1">IF(ISBLANK('Personal Rankings'!M15),"",([1]WR!$AL$4*L16^5+[1]WR!$AM$4*L16^4+[1]WR!$AN$4*L16^3+[1]WR!$AO$4*L16^2+[1]WR!$AP$4*L16+[1]WR!$AQ$4-'Player Availability'!$BW$6)*N$2)</f>
        <v>0</v>
      </c>
      <c r="O16" s="35">
        <f>IF(ISBLANK('Personal Rankings'!M15),"",'Personal Rankings'!N15)</f>
        <v>27</v>
      </c>
      <c r="Q16" s="12">
        <f t="shared" si="3"/>
        <v>13</v>
      </c>
      <c r="R16" s="34" t="str">
        <f>IF(ISBLANK('Personal Rankings'!R15),"",'Personal Rankings'!R15)</f>
        <v>Blake Jarwin DAL</v>
      </c>
      <c r="S16" s="62">
        <f ca="1">IF(ISBLANK('Personal Rankings'!R15),"",([1]TE!$AL$4*Q16^5+[1]TE!$AM$4*Q16^4+[1]TE!$AN$4*Q16^3+[1]TE!$AO$4*Q16^2+[1]TE!$AP$4*Q16+[1]TE!$AQ$4-'Player Availability'!$BW$7)*S$2)</f>
        <v>1.6276880845895096</v>
      </c>
      <c r="T16" s="35">
        <f>IF(ISBLANK('Personal Rankings'!R15),"",'Personal Rankings'!S15)</f>
        <v>212</v>
      </c>
      <c r="V16" s="12">
        <f t="shared" si="4"/>
        <v>13</v>
      </c>
      <c r="W16" s="34" t="str">
        <f>IF(ISBLANK('Personal Rankings'!W15),"",'Personal Rankings'!W15)</f>
        <v/>
      </c>
      <c r="X16" s="62" t="str">
        <f>IF(ISBLANK('Personal Rankings'!W15),"",([1]DST!$R$4*V16^5+[1]DST!$S$4*V16^4+[1]DST!$T$4*V16^3+[1]DST!$U$4*V16^2+[1]DST!$V$4*V16+[1]DST!$W$4-'Player Availability'!$BW$8)*X$2)</f>
        <v/>
      </c>
      <c r="Y16" s="35" t="str">
        <f>IF(ISBLANK('Personal Rankings'!W15),"",'Personal Rankings'!X15)</f>
        <v/>
      </c>
      <c r="AA16" s="12">
        <f t="shared" si="5"/>
        <v>13</v>
      </c>
      <c r="AB16" s="34" t="str">
        <f>IF(ISBLANK('Personal Rankings'!AB15),"",'Personal Rankings'!AB15)</f>
        <v/>
      </c>
      <c r="AC16" s="62" t="str">
        <f>IF(ISBLANK('Personal Rankings'!AB15),"",([1]K!$AG$4*AA16^5+[1]K!$AH$4*AA16^4+[1]K!$AI$4*AA16^3+[1]K!$AJ$4*AA16^2+[1]K!$AK$4*AA16+[1]K!$AL$4-'Player Availability'!$BW$9)*AC$2)</f>
        <v/>
      </c>
      <c r="AD16" s="35" t="str">
        <f>IF(ISBLANK('Personal Rankings'!AB15),"",'Personal Rankings'!AC15)</f>
        <v/>
      </c>
    </row>
    <row r="17" spans="2:30" x14ac:dyDescent="0.35">
      <c r="B17" s="12">
        <f t="shared" si="0"/>
        <v>14</v>
      </c>
      <c r="C17" s="34" t="str">
        <f>IF(ISBLANK('Personal Rankings'!C16),"",'Personal Rankings'!C16)</f>
        <v>Ben Roethlisberger PIT</v>
      </c>
      <c r="D17" s="62">
        <f ca="1">IF(ISBLANK('Personal Rankings'!C16),"",([1]QB!$AL$4*B17^5+[1]QB!$AM$4*B17^4+[1]QB!$AN$4*B17^3+[1]QB!$AO$4*B17^2+[1]QB!$AP$4*B17+[1]QB!$AQ$4-'Player Availability'!$BW$4)*D$2)</f>
        <v>3.0311002044087658</v>
      </c>
      <c r="E17" s="35">
        <f>IF(ISBLANK('Personal Rankings'!C16),"",'Personal Rankings'!D16)</f>
        <v>165</v>
      </c>
      <c r="G17" s="12">
        <f t="shared" si="1"/>
        <v>14</v>
      </c>
      <c r="H17" s="34" t="str">
        <f>IF(ISBLANK('Personal Rankings'!H16),"",'Personal Rankings'!H16)</f>
        <v>Aaron Jones GB</v>
      </c>
      <c r="I17" s="62">
        <f ca="1">IF(ISBLANK('Personal Rankings'!H16),"",([1]RB!$AL$4*G17^5+[1]RB!$AM$4*G17^4+[1]RB!$AN$4*G17^3+[1]RB!$AO$4*G17^2+[1]RB!$AP$4*G17+[1]RB!$AQ$4-'Player Availability'!$BW$5)*I$2)</f>
        <v>23.063379410708723</v>
      </c>
      <c r="J17" s="35">
        <f>IF(ISBLANK('Personal Rankings'!H16),"",'Personal Rankings'!I16)</f>
        <v>14</v>
      </c>
      <c r="L17" s="12">
        <f t="shared" si="2"/>
        <v>14</v>
      </c>
      <c r="M17" s="34" t="str">
        <f>IF(ISBLANK('Personal Rankings'!M16),"",'Personal Rankings'!M16)</f>
        <v>Odell Beckham Jr. CLE</v>
      </c>
      <c r="N17" s="62">
        <f ca="1">IF(ISBLANK('Personal Rankings'!M16),"",([1]WR!$AL$4*L17^5+[1]WR!$AM$4*L17^4+[1]WR!$AN$4*L17^3+[1]WR!$AO$4*L17^2+[1]WR!$AP$4*L17+[1]WR!$AQ$4-'Player Availability'!$BW$6)*N$2)</f>
        <v>0</v>
      </c>
      <c r="O17" s="35">
        <f>IF(ISBLANK('Personal Rankings'!M16),"",'Personal Rankings'!N16)</f>
        <v>29</v>
      </c>
      <c r="Q17" s="12">
        <f t="shared" si="3"/>
        <v>14</v>
      </c>
      <c r="R17" s="34" t="str">
        <f>IF(ISBLANK('Personal Rankings'!R16),"",'Personal Rankings'!R16)</f>
        <v>T.J. Hockenson DET</v>
      </c>
      <c r="S17" s="62">
        <f ca="1">IF(ISBLANK('Personal Rankings'!R16),"",([1]TE!$AL$4*Q17^5+[1]TE!$AM$4*Q17^4+[1]TE!$AN$4*Q17^3+[1]TE!$AO$4*Q17^2+[1]TE!$AP$4*Q17+[1]TE!$AQ$4-'Player Availability'!$BW$7)*S$2)</f>
        <v>1.5653449497958116</v>
      </c>
      <c r="T17" s="35">
        <f>IF(ISBLANK('Personal Rankings'!R16),"",'Personal Rankings'!S16)</f>
        <v>115</v>
      </c>
      <c r="V17" s="12">
        <f t="shared" si="4"/>
        <v>14</v>
      </c>
      <c r="W17" s="34" t="str">
        <f>IF(ISBLANK('Personal Rankings'!W16),"",'Personal Rankings'!W16)</f>
        <v/>
      </c>
      <c r="X17" s="62" t="str">
        <f>IF(ISBLANK('Personal Rankings'!W16),"",([1]DST!$R$4*V17^5+[1]DST!$S$4*V17^4+[1]DST!$T$4*V17^3+[1]DST!$U$4*V17^2+[1]DST!$V$4*V17+[1]DST!$W$4-'Player Availability'!$BW$8)*X$2)</f>
        <v/>
      </c>
      <c r="Y17" s="35" t="str">
        <f>IF(ISBLANK('Personal Rankings'!W16),"",'Personal Rankings'!X16)</f>
        <v/>
      </c>
      <c r="AA17" s="12">
        <f t="shared" si="5"/>
        <v>14</v>
      </c>
      <c r="AB17" s="34" t="str">
        <f>IF(ISBLANK('Personal Rankings'!AB16),"",'Personal Rankings'!AB16)</f>
        <v/>
      </c>
      <c r="AC17" s="62" t="str">
        <f>IF(ISBLANK('Personal Rankings'!AB16),"",([1]K!$AG$4*AA17^5+[1]K!$AH$4*AA17^4+[1]K!$AI$4*AA17^3+[1]K!$AJ$4*AA17^2+[1]K!$AK$4*AA17+[1]K!$AL$4-'Player Availability'!$BW$9)*AC$2)</f>
        <v/>
      </c>
      <c r="AD17" s="35" t="str">
        <f>IF(ISBLANK('Personal Rankings'!AB16),"",'Personal Rankings'!AC16)</f>
        <v/>
      </c>
    </row>
    <row r="18" spans="2:30" x14ac:dyDescent="0.35">
      <c r="B18" s="12">
        <f t="shared" si="0"/>
        <v>15</v>
      </c>
      <c r="C18" s="34" t="str">
        <f>IF(ISBLANK('Personal Rankings'!C17),"",'Personal Rankings'!C17)</f>
        <v>Cam Newton NE</v>
      </c>
      <c r="D18" s="62">
        <f ca="1">IF(ISBLANK('Personal Rankings'!C17),"",([1]QB!$AL$4*B18^5+[1]QB!$AM$4*B18^4+[1]QB!$AN$4*B18^3+[1]QB!$AO$4*B18^2+[1]QB!$AP$4*B18+[1]QB!$AQ$4-'Player Availability'!$BW$4)*D$2)</f>
        <v>2.9836949740371588</v>
      </c>
      <c r="E18" s="35">
        <f>IF(ISBLANK('Personal Rankings'!C17),"",'Personal Rankings'!D17)</f>
        <v>138</v>
      </c>
      <c r="G18" s="12">
        <f t="shared" si="1"/>
        <v>15</v>
      </c>
      <c r="H18" s="34" t="str">
        <f>IF(ISBLANK('Personal Rankings'!H17),"",'Personal Rankings'!H17)</f>
        <v>Todd Gurley II ATL</v>
      </c>
      <c r="I18" s="62">
        <f ca="1">IF(ISBLANK('Personal Rankings'!H17),"",([1]RB!$AL$4*G18^5+[1]RB!$AM$4*G18^4+[1]RB!$AN$4*G18^3+[1]RB!$AO$4*G18^2+[1]RB!$AP$4*G18+[1]RB!$AQ$4-'Player Availability'!$BW$5)*I$2)</f>
        <v>22.426786470333962</v>
      </c>
      <c r="J18" s="35">
        <f>IF(ISBLANK('Personal Rankings'!H17),"",'Personal Rankings'!I17)</f>
        <v>43</v>
      </c>
      <c r="L18" s="12">
        <f t="shared" si="2"/>
        <v>15</v>
      </c>
      <c r="M18" s="34" t="str">
        <f>IF(ISBLANK('Personal Rankings'!M17),"",'Personal Rankings'!M17)</f>
        <v>Calvin Ridley ATL</v>
      </c>
      <c r="N18" s="62">
        <f ca="1">IF(ISBLANK('Personal Rankings'!M17),"",([1]WR!$AL$4*L18^5+[1]WR!$AM$4*L18^4+[1]WR!$AN$4*L18^3+[1]WR!$AO$4*L18^2+[1]WR!$AP$4*L18+[1]WR!$AQ$4-'Player Availability'!$BW$6)*N$2)</f>
        <v>0</v>
      </c>
      <c r="O18" s="35">
        <f>IF(ISBLANK('Personal Rankings'!M17),"",'Personal Rankings'!N17)</f>
        <v>33</v>
      </c>
      <c r="Q18" s="12">
        <f t="shared" si="3"/>
        <v>15</v>
      </c>
      <c r="R18" s="34" t="str">
        <f>IF(ISBLANK('Personal Rankings'!R17),"",'Personal Rankings'!R17)</f>
        <v>Austin Hooper CLE</v>
      </c>
      <c r="S18" s="62">
        <f ca="1">IF(ISBLANK('Personal Rankings'!R17),"",([1]TE!$AL$4*Q18^5+[1]TE!$AM$4*Q18^4+[1]TE!$AN$4*Q18^3+[1]TE!$AO$4*Q18^2+[1]TE!$AP$4*Q18+[1]TE!$AQ$4-'Player Availability'!$BW$7)*S$2)</f>
        <v>1.507456546733748</v>
      </c>
      <c r="T18" s="35">
        <f>IF(ISBLANK('Personal Rankings'!R17),"",'Personal Rankings'!S17)</f>
        <v>136</v>
      </c>
      <c r="V18" s="12">
        <f t="shared" si="4"/>
        <v>15</v>
      </c>
      <c r="W18" s="34" t="str">
        <f>IF(ISBLANK('Personal Rankings'!W17),"",'Personal Rankings'!W17)</f>
        <v/>
      </c>
      <c r="X18" s="62" t="str">
        <f>IF(ISBLANK('Personal Rankings'!W17),"",([1]DST!$R$4*V18^5+[1]DST!$S$4*V18^4+[1]DST!$T$4*V18^3+[1]DST!$U$4*V18^2+[1]DST!$V$4*V18+[1]DST!$W$4-'Player Availability'!$BW$8)*X$2)</f>
        <v/>
      </c>
      <c r="Y18" s="35" t="str">
        <f>IF(ISBLANK('Personal Rankings'!W17),"",'Personal Rankings'!X17)</f>
        <v/>
      </c>
      <c r="AA18" s="12">
        <f t="shared" si="5"/>
        <v>15</v>
      </c>
      <c r="AB18" s="34" t="str">
        <f>IF(ISBLANK('Personal Rankings'!AB17),"",'Personal Rankings'!AB17)</f>
        <v/>
      </c>
      <c r="AC18" s="62" t="str">
        <f>IF(ISBLANK('Personal Rankings'!AB17),"",([1]K!$AG$4*AA18^5+[1]K!$AH$4*AA18^4+[1]K!$AI$4*AA18^3+[1]K!$AJ$4*AA18^2+[1]K!$AK$4*AA18+[1]K!$AL$4-'Player Availability'!$BW$9)*AC$2)</f>
        <v/>
      </c>
      <c r="AD18" s="35" t="str">
        <f>IF(ISBLANK('Personal Rankings'!AB17),"",'Personal Rankings'!AC17)</f>
        <v/>
      </c>
    </row>
    <row r="19" spans="2:30" x14ac:dyDescent="0.35">
      <c r="B19" s="12">
        <f t="shared" si="0"/>
        <v>16</v>
      </c>
      <c r="C19" s="34" t="str">
        <f>IF(ISBLANK('Personal Rankings'!C18),"",'Personal Rankings'!C18)</f>
        <v>Aaron Rodgers GB</v>
      </c>
      <c r="D19" s="62">
        <f ca="1">IF(ISBLANK('Personal Rankings'!C18),"",([1]QB!$AL$4*B19^5+[1]QB!$AM$4*B19^4+[1]QB!$AN$4*B19^3+[1]QB!$AO$4*B19^2+[1]QB!$AP$4*B19+[1]QB!$AQ$4-'Player Availability'!$BW$4)*D$2)</f>
        <v>2.9336599711244524</v>
      </c>
      <c r="E19" s="35">
        <f>IF(ISBLANK('Personal Rankings'!C18),"",'Personal Rankings'!D18)</f>
        <v>122</v>
      </c>
      <c r="G19" s="12">
        <f t="shared" si="1"/>
        <v>16</v>
      </c>
      <c r="H19" s="34" t="str">
        <f>IF(ISBLANK('Personal Rankings'!H18),"",'Personal Rankings'!H18)</f>
        <v>James Conner PIT</v>
      </c>
      <c r="I19" s="62">
        <f ca="1">IF(ISBLANK('Personal Rankings'!H18),"",([1]RB!$AL$4*G19^5+[1]RB!$AM$4*G19^4+[1]RB!$AN$4*G19^3+[1]RB!$AO$4*G19^2+[1]RB!$AP$4*G19+[1]RB!$AQ$4-'Player Availability'!$BW$5)*I$2)</f>
        <v>21.842598894043888</v>
      </c>
      <c r="J19" s="35">
        <f>IF(ISBLANK('Personal Rankings'!H18),"",'Personal Rankings'!I18)</f>
        <v>44</v>
      </c>
      <c r="L19" s="12">
        <f t="shared" si="2"/>
        <v>16</v>
      </c>
      <c r="M19" s="34" t="str">
        <f>IF(ISBLANK('Personal Rankings'!M18),"",'Personal Rankings'!M18)</f>
        <v>A.J. Brown TEN</v>
      </c>
      <c r="N19" s="62">
        <f ca="1">IF(ISBLANK('Personal Rankings'!M18),"",([1]WR!$AL$4*L19^5+[1]WR!$AM$4*L19^4+[1]WR!$AN$4*L19^3+[1]WR!$AO$4*L19^2+[1]WR!$AP$4*L19+[1]WR!$AQ$4-'Player Availability'!$BW$6)*N$2)</f>
        <v>0</v>
      </c>
      <c r="O19" s="35">
        <f>IF(ISBLANK('Personal Rankings'!M18),"",'Personal Rankings'!N18)</f>
        <v>32</v>
      </c>
      <c r="Q19" s="12">
        <f t="shared" si="3"/>
        <v>16</v>
      </c>
      <c r="R19" s="34" t="str">
        <f>IF(ISBLANK('Personal Rankings'!R18),"",'Personal Rankings'!R18)</f>
        <v>Dallas Goedert PHI</v>
      </c>
      <c r="S19" s="62">
        <f ca="1">IF(ISBLANK('Personal Rankings'!R18),"",([1]TE!$AL$4*Q19^5+[1]TE!$AM$4*Q19^4+[1]TE!$AN$4*Q19^3+[1]TE!$AO$4*Q19^2+[1]TE!$AP$4*Q19+[1]TE!$AQ$4-'Player Availability'!$BW$7)*S$2)</f>
        <v>1.4535275949559316</v>
      </c>
      <c r="T19" s="35">
        <f>IF(ISBLANK('Personal Rankings'!R18),"",'Personal Rankings'!S18)</f>
        <v>211</v>
      </c>
      <c r="V19" s="12">
        <f t="shared" si="4"/>
        <v>16</v>
      </c>
      <c r="W19" s="34" t="str">
        <f>IF(ISBLANK('Personal Rankings'!W18),"",'Personal Rankings'!W18)</f>
        <v/>
      </c>
      <c r="X19" s="62" t="str">
        <f>IF(ISBLANK('Personal Rankings'!W18),"",([1]DST!$R$4*V19^5+[1]DST!$S$4*V19^4+[1]DST!$T$4*V19^3+[1]DST!$U$4*V19^2+[1]DST!$V$4*V19+[1]DST!$W$4-'Player Availability'!$BW$8)*X$2)</f>
        <v/>
      </c>
      <c r="Y19" s="35" t="str">
        <f>IF(ISBLANK('Personal Rankings'!W18),"",'Personal Rankings'!X18)</f>
        <v/>
      </c>
      <c r="AA19" s="12">
        <f t="shared" si="5"/>
        <v>16</v>
      </c>
      <c r="AB19" s="34" t="str">
        <f>IF(ISBLANK('Personal Rankings'!AB18),"",'Personal Rankings'!AB18)</f>
        <v/>
      </c>
      <c r="AC19" s="62" t="str">
        <f>IF(ISBLANK('Personal Rankings'!AB18),"",([1]K!$AG$4*AA19^5+[1]K!$AH$4*AA19^4+[1]K!$AI$4*AA19^3+[1]K!$AJ$4*AA19^2+[1]K!$AK$4*AA19+[1]K!$AL$4-'Player Availability'!$BW$9)*AC$2)</f>
        <v/>
      </c>
      <c r="AD19" s="35" t="str">
        <f>IF(ISBLANK('Personal Rankings'!AB18),"",'Personal Rankings'!AC18)</f>
        <v/>
      </c>
    </row>
    <row r="20" spans="2:30" x14ac:dyDescent="0.35">
      <c r="B20" s="12">
        <f t="shared" si="0"/>
        <v>17</v>
      </c>
      <c r="C20" s="34" t="str">
        <f>IF(ISBLANK('Personal Rankings'!C19),"",'Personal Rankings'!C19)</f>
        <v>Jared Goff LAR</v>
      </c>
      <c r="D20" s="62">
        <f ca="1">IF(ISBLANK('Personal Rankings'!C19),"",([1]QB!$AL$4*B20^5+[1]QB!$AM$4*B20^4+[1]QB!$AN$4*B20^3+[1]QB!$AO$4*B20^2+[1]QB!$AP$4*B20+[1]QB!$AQ$4-'Player Availability'!$BW$4)*D$2)</f>
        <v>2.8818692485935644</v>
      </c>
      <c r="E20" s="35">
        <f>IF(ISBLANK('Personal Rankings'!C19),"",'Personal Rankings'!D19)</f>
        <v>167</v>
      </c>
      <c r="G20" s="12">
        <f t="shared" si="1"/>
        <v>17</v>
      </c>
      <c r="H20" s="34" t="str">
        <f>IF(ISBLANK('Personal Rankings'!H19),"",'Personal Rankings'!H19)</f>
        <v>Chris Carson SEA</v>
      </c>
      <c r="I20" s="62">
        <f ca="1">IF(ISBLANK('Personal Rankings'!H19),"",([1]RB!$AL$4*G20^5+[1]RB!$AM$4*G20^4+[1]RB!$AN$4*G20^3+[1]RB!$AO$4*G20^2+[1]RB!$AP$4*G20+[1]RB!$AQ$4-'Player Availability'!$BW$5)*I$2)</f>
        <v>21.305711036998733</v>
      </c>
      <c r="J20" s="35">
        <f>IF(ISBLANK('Personal Rankings'!H19),"",'Personal Rankings'!I19)</f>
        <v>39</v>
      </c>
      <c r="L20" s="12">
        <f t="shared" si="2"/>
        <v>17</v>
      </c>
      <c r="M20" s="34" t="str">
        <f>IF(ISBLANK('Personal Rankings'!M19),"",'Personal Rankings'!M19)</f>
        <v>Terry McLaurin WAS</v>
      </c>
      <c r="N20" s="62">
        <f ca="1">IF(ISBLANK('Personal Rankings'!M19),"",([1]WR!$AL$4*L20^5+[1]WR!$AM$4*L20^4+[1]WR!$AN$4*L20^3+[1]WR!$AO$4*L20^2+[1]WR!$AP$4*L20+[1]WR!$AQ$4-'Player Availability'!$BW$6)*N$2)</f>
        <v>0</v>
      </c>
      <c r="O20" s="35">
        <f>IF(ISBLANK('Personal Rankings'!M19),"",'Personal Rankings'!N19)</f>
        <v>50</v>
      </c>
      <c r="Q20" s="12">
        <f t="shared" si="3"/>
        <v>17</v>
      </c>
      <c r="R20" s="34" t="str">
        <f>IF(ISBLANK('Personal Rankings'!R19),"",'Personal Rankings'!R19)</f>
        <v>Chris Herndon NYJ</v>
      </c>
      <c r="S20" s="62">
        <f ca="1">IF(ISBLANK('Personal Rankings'!R19),"",([1]TE!$AL$4*Q20^5+[1]TE!$AM$4*Q20^4+[1]TE!$AN$4*Q20^3+[1]TE!$AO$4*Q20^2+[1]TE!$AP$4*Q20+[1]TE!$AQ$4-'Player Availability'!$BW$7)*S$2)</f>
        <v>1.4030899107815789</v>
      </c>
      <c r="T20" s="35">
        <f>IF(ISBLANK('Personal Rankings'!R19),"",'Personal Rankings'!S19)</f>
        <v>135</v>
      </c>
      <c r="V20" s="12">
        <f t="shared" si="4"/>
        <v>17</v>
      </c>
      <c r="W20" s="34" t="str">
        <f>IF(ISBLANK('Personal Rankings'!W19),"",'Personal Rankings'!W19)</f>
        <v/>
      </c>
      <c r="X20" s="62" t="str">
        <f>IF(ISBLANK('Personal Rankings'!W19),"",([1]DST!$R$4*V20^5+[1]DST!$S$4*V20^4+[1]DST!$T$4*V20^3+[1]DST!$U$4*V20^2+[1]DST!$V$4*V20+[1]DST!$W$4-'Player Availability'!$BW$8)*X$2)</f>
        <v/>
      </c>
      <c r="Y20" s="35" t="str">
        <f>IF(ISBLANK('Personal Rankings'!W19),"",'Personal Rankings'!X19)</f>
        <v/>
      </c>
      <c r="AA20" s="12">
        <f t="shared" si="5"/>
        <v>17</v>
      </c>
      <c r="AB20" s="34" t="str">
        <f>IF(ISBLANK('Personal Rankings'!AB19),"",'Personal Rankings'!AB19)</f>
        <v/>
      </c>
      <c r="AC20" s="62" t="str">
        <f>IF(ISBLANK('Personal Rankings'!AB19),"",([1]K!$AG$4*AA20^5+[1]K!$AH$4*AA20^4+[1]K!$AI$4*AA20^3+[1]K!$AJ$4*AA20^2+[1]K!$AK$4*AA20+[1]K!$AL$4-'Player Availability'!$BW$9)*AC$2)</f>
        <v/>
      </c>
      <c r="AD20" s="35" t="str">
        <f>IF(ISBLANK('Personal Rankings'!AB19),"",'Personal Rankings'!AC19)</f>
        <v/>
      </c>
    </row>
    <row r="21" spans="2:30" x14ac:dyDescent="0.35">
      <c r="B21" s="12">
        <f t="shared" si="0"/>
        <v>18</v>
      </c>
      <c r="C21" s="34" t="str">
        <f>IF(ISBLANK('Personal Rankings'!C20),"",'Personal Rankings'!C20)</f>
        <v>Gardner Minshew II JAC</v>
      </c>
      <c r="D21" s="62">
        <f ca="1">IF(ISBLANK('Personal Rankings'!C20),"",([1]QB!$AL$4*B21^5+[1]QB!$AM$4*B21^4+[1]QB!$AN$4*B21^3+[1]QB!$AO$4*B21^2+[1]QB!$AP$4*B21+[1]QB!$AQ$4-'Player Availability'!$BW$4)*D$2)</f>
        <v>2.8293358793866545</v>
      </c>
      <c r="E21" s="35">
        <f>IF(ISBLANK('Personal Rankings'!C20),"",'Personal Rankings'!D20)</f>
        <v>220</v>
      </c>
      <c r="G21" s="12">
        <f t="shared" si="1"/>
        <v>18</v>
      </c>
      <c r="H21" s="34" t="str">
        <f>IF(ISBLANK('Personal Rankings'!H20),"",'Personal Rankings'!H20)</f>
        <v>Jonathan Taylor IND</v>
      </c>
      <c r="I21" s="62">
        <f ca="1">IF(ISBLANK('Personal Rankings'!H20),"",([1]RB!$AL$4*G21^5+[1]RB!$AM$4*G21^4+[1]RB!$AN$4*G21^3+[1]RB!$AO$4*G21^2+[1]RB!$AP$4*G21+[1]RB!$AQ$4-'Player Availability'!$BW$5)*I$2)</f>
        <v>20.81132911531531</v>
      </c>
      <c r="J21" s="35">
        <f>IF(ISBLANK('Personal Rankings'!H20),"",'Personal Rankings'!I20)</f>
        <v>45</v>
      </c>
      <c r="L21" s="12">
        <f t="shared" si="2"/>
        <v>18</v>
      </c>
      <c r="M21" s="34" t="str">
        <f>IF(ISBLANK('Personal Rankings'!M20),"",'Personal Rankings'!M20)</f>
        <v>Robert Woods LAR</v>
      </c>
      <c r="N21" s="62">
        <f ca="1">IF(ISBLANK('Personal Rankings'!M20),"",([1]WR!$AL$4*L21^5+[1]WR!$AM$4*L21^4+[1]WR!$AN$4*L21^3+[1]WR!$AO$4*L21^2+[1]WR!$AP$4*L21+[1]WR!$AQ$4-'Player Availability'!$BW$6)*N$2)</f>
        <v>0</v>
      </c>
      <c r="O21" s="35">
        <f>IF(ISBLANK('Personal Rankings'!M20),"",'Personal Rankings'!N20)</f>
        <v>37</v>
      </c>
      <c r="Q21" s="12">
        <f t="shared" si="3"/>
        <v>18</v>
      </c>
      <c r="R21" s="34" t="str">
        <f>IF(ISBLANK('Personal Rankings'!R20),"",'Personal Rankings'!R20)</f>
        <v>Jack Doyle IND</v>
      </c>
      <c r="S21" s="62">
        <f ca="1">IF(ISBLANK('Personal Rankings'!R20),"",([1]TE!$AL$4*Q21^5+[1]TE!$AM$4*Q21^4+[1]TE!$AN$4*Q21^3+[1]TE!$AO$4*Q21^2+[1]TE!$AP$4*Q21+[1]TE!$AQ$4-'Player Availability'!$BW$7)*S$2)</f>
        <v>1.355697631269102</v>
      </c>
      <c r="T21" s="35">
        <f>IF(ISBLANK('Personal Rankings'!R20),"",'Personal Rankings'!S20)</f>
        <v>162</v>
      </c>
      <c r="V21" s="12">
        <f t="shared" si="4"/>
        <v>18</v>
      </c>
      <c r="W21" s="34" t="str">
        <f>IF(ISBLANK('Personal Rankings'!W20),"",'Personal Rankings'!W20)</f>
        <v/>
      </c>
      <c r="X21" s="62" t="str">
        <f>IF(ISBLANK('Personal Rankings'!W20),"",([1]DST!$R$4*V21^5+[1]DST!$S$4*V21^4+[1]DST!$T$4*V21^3+[1]DST!$U$4*V21^2+[1]DST!$V$4*V21+[1]DST!$W$4-'Player Availability'!$BW$8)*X$2)</f>
        <v/>
      </c>
      <c r="Y21" s="35" t="str">
        <f>IF(ISBLANK('Personal Rankings'!W20),"",'Personal Rankings'!X20)</f>
        <v/>
      </c>
      <c r="AA21" s="12">
        <f t="shared" si="5"/>
        <v>18</v>
      </c>
      <c r="AB21" s="34" t="str">
        <f>IF(ISBLANK('Personal Rankings'!AB20),"",'Personal Rankings'!AB20)</f>
        <v/>
      </c>
      <c r="AC21" s="62" t="str">
        <f>IF(ISBLANK('Personal Rankings'!AB20),"",([1]K!$AG$4*AA21^5+[1]K!$AH$4*AA21^4+[1]K!$AI$4*AA21^3+[1]K!$AJ$4*AA21^2+[1]K!$AK$4*AA21+[1]K!$AL$4-'Player Availability'!$BW$9)*AC$2)</f>
        <v/>
      </c>
      <c r="AD21" s="35" t="str">
        <f>IF(ISBLANK('Personal Rankings'!AB20),"",'Personal Rankings'!AC20)</f>
        <v/>
      </c>
    </row>
    <row r="22" spans="2:30" x14ac:dyDescent="0.35">
      <c r="B22" s="12">
        <f t="shared" si="0"/>
        <v>19</v>
      </c>
      <c r="C22" s="34" t="str">
        <f>IF(ISBLANK('Personal Rankings'!C21),"",'Personal Rankings'!C21)</f>
        <v>Ryan Tannehill TEN</v>
      </c>
      <c r="D22" s="62">
        <f ca="1">IF(ISBLANK('Personal Rankings'!C21),"",([1]QB!$AL$4*B22^5+[1]QB!$AM$4*B22^4+[1]QB!$AN$4*B22^3+[1]QB!$AO$4*B22^2+[1]QB!$AP$4*B22+[1]QB!$AQ$4-'Player Availability'!$BW$4)*D$2)</f>
        <v>2.7770438971729186</v>
      </c>
      <c r="E22" s="35">
        <f>IF(ISBLANK('Personal Rankings'!C21),"",'Personal Rankings'!D21)</f>
        <v>166</v>
      </c>
      <c r="G22" s="12">
        <f t="shared" si="1"/>
        <v>19</v>
      </c>
      <c r="H22" s="34" t="str">
        <f>IF(ISBLANK('Personal Rankings'!H21),"",'Personal Rankings'!H21)</f>
        <v>Melvin Gordon DEN</v>
      </c>
      <c r="I22" s="62">
        <f ca="1">IF(ISBLANK('Personal Rankings'!H21),"",([1]RB!$AL$4*G22^5+[1]RB!$AM$4*G22^4+[1]RB!$AN$4*G22^3+[1]RB!$AO$4*G22^2+[1]RB!$AP$4*G22+[1]RB!$AQ$4-'Player Availability'!$BW$5)*I$2)</f>
        <v>20.354962300002217</v>
      </c>
      <c r="J22" s="35">
        <f>IF(ISBLANK('Personal Rankings'!H21),"",'Personal Rankings'!I21)</f>
        <v>46</v>
      </c>
      <c r="L22" s="12">
        <f t="shared" si="2"/>
        <v>19</v>
      </c>
      <c r="M22" s="34" t="str">
        <f>IF(ISBLANK('Personal Rankings'!M21),"",'Personal Rankings'!M21)</f>
        <v>Cooper Kupp LAR</v>
      </c>
      <c r="N22" s="62">
        <f ca="1">IF(ISBLANK('Personal Rankings'!M21),"",([1]WR!$AL$4*L22^5+[1]WR!$AM$4*L22^4+[1]WR!$AN$4*L22^3+[1]WR!$AO$4*L22^2+[1]WR!$AP$4*L22+[1]WR!$AQ$4-'Player Availability'!$BW$6)*N$2)</f>
        <v>0</v>
      </c>
      <c r="O22" s="35">
        <f>IF(ISBLANK('Personal Rankings'!M21),"",'Personal Rankings'!N21)</f>
        <v>38</v>
      </c>
      <c r="Q22" s="12">
        <f t="shared" si="3"/>
        <v>19</v>
      </c>
      <c r="R22" s="34" t="str">
        <f>IF(ISBLANK('Personal Rankings'!R21),"",'Personal Rankings'!R21)</f>
        <v>Jonnu Smith TEN</v>
      </c>
      <c r="S22" s="62">
        <f ca="1">IF(ISBLANK('Personal Rankings'!R21),"",([1]TE!$AL$4*Q22^5+[1]TE!$AM$4*Q22^4+[1]TE!$AN$4*Q22^3+[1]TE!$AO$4*Q22^2+[1]TE!$AP$4*Q22+[1]TE!$AQ$4-'Player Availability'!$BW$7)*S$2)</f>
        <v>1.3109224381887024</v>
      </c>
      <c r="T22" s="35">
        <f>IF(ISBLANK('Personal Rankings'!R21),"",'Personal Rankings'!S21)</f>
        <v>164</v>
      </c>
      <c r="V22" s="12">
        <f t="shared" si="4"/>
        <v>19</v>
      </c>
      <c r="W22" s="34" t="str">
        <f>IF(ISBLANK('Personal Rankings'!W21),"",'Personal Rankings'!W21)</f>
        <v/>
      </c>
      <c r="X22" s="62" t="str">
        <f>IF(ISBLANK('Personal Rankings'!W21),"",([1]DST!$R$4*V22^5+[1]DST!$S$4*V22^4+[1]DST!$T$4*V22^3+[1]DST!$U$4*V22^2+[1]DST!$V$4*V22+[1]DST!$W$4-'Player Availability'!$BW$8)*X$2)</f>
        <v/>
      </c>
      <c r="Y22" s="35" t="str">
        <f>IF(ISBLANK('Personal Rankings'!W21),"",'Personal Rankings'!X21)</f>
        <v/>
      </c>
      <c r="AA22" s="12">
        <f t="shared" si="5"/>
        <v>19</v>
      </c>
      <c r="AB22" s="34" t="str">
        <f>IF(ISBLANK('Personal Rankings'!AB21),"",'Personal Rankings'!AB21)</f>
        <v/>
      </c>
      <c r="AC22" s="62" t="str">
        <f>IF(ISBLANK('Personal Rankings'!AB21),"",([1]K!$AG$4*AA22^5+[1]K!$AH$4*AA22^4+[1]K!$AI$4*AA22^3+[1]K!$AJ$4*AA22^2+[1]K!$AK$4*AA22+[1]K!$AL$4-'Player Availability'!$BW$9)*AC$2)</f>
        <v/>
      </c>
      <c r="AD22" s="35" t="str">
        <f>IF(ISBLANK('Personal Rankings'!AB21),"",'Personal Rankings'!AC21)</f>
        <v/>
      </c>
    </row>
    <row r="23" spans="2:30" ht="15" thickBot="1" x14ac:dyDescent="0.4">
      <c r="B23" s="12">
        <f t="shared" si="0"/>
        <v>20</v>
      </c>
      <c r="C23" s="34" t="str">
        <f>IF(ISBLANK('Personal Rankings'!C22),"",'Personal Rankings'!C22)</f>
        <v>Daniel Jones NYG</v>
      </c>
      <c r="D23" s="62">
        <f ca="1">IF(ISBLANK('Personal Rankings'!C22),"",([1]QB!$AL$4*B23^5+[1]QB!$AM$4*B23^4+[1]QB!$AN$4*B23^3+[1]QB!$AO$4*B23^2+[1]QB!$AP$4*B23+[1]QB!$AQ$4-'Player Availability'!$BW$4)*D$2)</f>
        <v>2.7257802370564019</v>
      </c>
      <c r="E23" s="35">
        <f>IF(ISBLANK('Personal Rankings'!C22),"",'Personal Rankings'!D22)</f>
        <v>137</v>
      </c>
      <c r="G23" s="12">
        <f t="shared" si="1"/>
        <v>20</v>
      </c>
      <c r="H23" s="34" t="str">
        <f>IF(ISBLANK('Personal Rankings'!H22),"",'Personal Rankings'!H22)</f>
        <v>Le'Veon Bell NYJ</v>
      </c>
      <c r="I23" s="62">
        <f ca="1">IF(ISBLANK('Personal Rankings'!H22),"",([1]RB!$AL$4*G23^5+[1]RB!$AM$4*G23^4+[1]RB!$AN$4*G23^3+[1]RB!$AO$4*G23^2+[1]RB!$AP$4*G23+[1]RB!$AQ$4-'Player Availability'!$BW$5)*I$2)</f>
        <v>19.93241381089517</v>
      </c>
      <c r="J23" s="35">
        <f>IF(ISBLANK('Personal Rankings'!H22),"",'Personal Rankings'!I22)</f>
        <v>47</v>
      </c>
      <c r="L23" s="12">
        <f t="shared" si="2"/>
        <v>20</v>
      </c>
      <c r="M23" s="34" t="str">
        <f>IF(ISBLANK('Personal Rankings'!M22),"",'Personal Rankings'!M22)</f>
        <v>DK Metcalf SEA</v>
      </c>
      <c r="N23" s="62">
        <f ca="1">IF(ISBLANK('Personal Rankings'!M22),"",([1]WR!$AL$4*L23^5+[1]WR!$AM$4*L23^4+[1]WR!$AN$4*L23^3+[1]WR!$AO$4*L23^2+[1]WR!$AP$4*L23+[1]WR!$AQ$4-'Player Availability'!$BW$6)*N$2)</f>
        <v>0</v>
      </c>
      <c r="O23" s="35">
        <f>IF(ISBLANK('Personal Rankings'!M22),"",'Personal Rankings'!N22)</f>
        <v>53</v>
      </c>
      <c r="Q23" s="12">
        <f t="shared" si="3"/>
        <v>20</v>
      </c>
      <c r="R23" s="34" t="str">
        <f>IF(ISBLANK('Personal Rankings'!R22),"",'Personal Rankings'!R22)</f>
        <v>Noah Fant DEN</v>
      </c>
      <c r="S23" s="62">
        <f ca="1">IF(ISBLANK('Personal Rankings'!R22),"",([1]TE!$AL$4*Q23^5+[1]TE!$AM$4*Q23^4+[1]TE!$AN$4*Q23^3+[1]TE!$AO$4*Q23^2+[1]TE!$AP$4*Q23+[1]TE!$AQ$4-'Player Availability'!$BW$7)*S$2)</f>
        <v>1.2683487819949661</v>
      </c>
      <c r="T23" s="35">
        <f>IF(ISBLANK('Personal Rankings'!R22),"",'Personal Rankings'!S22)</f>
        <v>113</v>
      </c>
      <c r="V23" s="13">
        <f t="shared" si="4"/>
        <v>20</v>
      </c>
      <c r="W23" s="36" t="str">
        <f>IF(ISBLANK('Personal Rankings'!W22),"",'Personal Rankings'!W22)</f>
        <v/>
      </c>
      <c r="X23" s="62" t="str">
        <f>IF(ISBLANK('Personal Rankings'!W22),"",([1]DST!$R$4*V23^5+[1]DST!$S$4*V23^4+[1]DST!$T$4*V23^3+[1]DST!$U$4*V23^2+[1]DST!$V$4*V23+[1]DST!$W$4-'Player Availability'!$BW$8)*X$2)</f>
        <v/>
      </c>
      <c r="Y23" s="35" t="str">
        <f>IF(ISBLANK('Personal Rankings'!W22),"",'Personal Rankings'!X22)</f>
        <v/>
      </c>
      <c r="AA23" s="13">
        <f t="shared" si="5"/>
        <v>20</v>
      </c>
      <c r="AB23" s="36" t="str">
        <f>IF(ISBLANK('Personal Rankings'!AB22),"",'Personal Rankings'!AB22)</f>
        <v/>
      </c>
      <c r="AC23" s="62" t="str">
        <f>IF(ISBLANK('Personal Rankings'!AB22),"",([1]K!$AG$4*AA23^5+[1]K!$AH$4*AA23^4+[1]K!$AI$4*AA23^3+[1]K!$AJ$4*AA23^2+[1]K!$AK$4*AA23+[1]K!$AL$4-'Player Availability'!$BW$9)*AC$2)</f>
        <v/>
      </c>
      <c r="AD23" s="35" t="str">
        <f>IF(ISBLANK('Personal Rankings'!AB22),"",'Personal Rankings'!AC22)</f>
        <v/>
      </c>
    </row>
    <row r="24" spans="2:30" x14ac:dyDescent="0.35">
      <c r="B24" s="12">
        <f t="shared" si="0"/>
        <v>21</v>
      </c>
      <c r="C24" s="34" t="str">
        <f>IF(ISBLANK('Personal Rankings'!C23),"",'Personal Rankings'!C23)</f>
        <v>Kirk Cousins MIN</v>
      </c>
      <c r="D24" s="62">
        <f ca="1">IF(ISBLANK('Personal Rankings'!C23),"",([1]QB!$AL$4*B24^5+[1]QB!$AM$4*B24^4+[1]QB!$AN$4*B24^3+[1]QB!$AO$4*B24^2+[1]QB!$AP$4*B24+[1]QB!$AQ$4-'Player Availability'!$BW$4)*D$2)</f>
        <v>2.6759666762837666</v>
      </c>
      <c r="E24" s="35">
        <f>IF(ISBLANK('Personal Rankings'!C23),"",'Personal Rankings'!D23)</f>
        <v>213</v>
      </c>
      <c r="G24" s="12">
        <f t="shared" si="1"/>
        <v>21</v>
      </c>
      <c r="H24" s="34" t="str">
        <f>IF(ISBLANK('Personal Rankings'!H23),"",'Personal Rankings'!H23)</f>
        <v>David Johnson HOU</v>
      </c>
      <c r="I24" s="62">
        <f ca="1">IF(ISBLANK('Personal Rankings'!H23),"",([1]RB!$AL$4*G24^5+[1]RB!$AM$4*G24^4+[1]RB!$AN$4*G24^3+[1]RB!$AO$4*G24^2+[1]RB!$AP$4*G24+[1]RB!$AQ$4-'Player Availability'!$BW$5)*I$2)</f>
        <v>19.539772010592127</v>
      </c>
      <c r="J24" s="35">
        <f>IF(ISBLANK('Personal Rankings'!H23),"",'Personal Rankings'!I23)</f>
        <v>40</v>
      </c>
      <c r="L24" s="12">
        <f t="shared" si="2"/>
        <v>21</v>
      </c>
      <c r="M24" s="34" t="str">
        <f>IF(ISBLANK('Personal Rankings'!M23),"",'Personal Rankings'!M23)</f>
        <v>Tyler Lockett SEA</v>
      </c>
      <c r="N24" s="62">
        <f ca="1">IF(ISBLANK('Personal Rankings'!M23),"",([1]WR!$AL$4*L24^5+[1]WR!$AM$4*L24^4+[1]WR!$AN$4*L24^3+[1]WR!$AO$4*L24^2+[1]WR!$AP$4*L24+[1]WR!$AQ$4-'Player Availability'!$BW$6)*N$2)</f>
        <v>0</v>
      </c>
      <c r="O24" s="35">
        <f>IF(ISBLANK('Personal Rankings'!M23),"",'Personal Rankings'!N23)</f>
        <v>36</v>
      </c>
      <c r="Q24" s="12">
        <f t="shared" si="3"/>
        <v>21</v>
      </c>
      <c r="R24" s="34" t="str">
        <f>IF(ISBLANK('Personal Rankings'!R23),"",'Personal Rankings'!R23)</f>
        <v>Eric Ebron PIT</v>
      </c>
      <c r="S24" s="62">
        <f ca="1">IF(ISBLANK('Personal Rankings'!R23),"",([1]TE!$AL$4*Q24^5+[1]TE!$AM$4*Q24^4+[1]TE!$AN$4*Q24^3+[1]TE!$AO$4*Q24^2+[1]TE!$AP$4*Q24+[1]TE!$AQ$4-'Player Availability'!$BW$7)*S$2)</f>
        <v>1.22756910579946</v>
      </c>
      <c r="T24" s="35">
        <f>IF(ISBLANK('Personal Rankings'!R23),"",'Personal Rankings'!S23)</f>
        <v>163</v>
      </c>
    </row>
    <row r="25" spans="2:30" x14ac:dyDescent="0.35">
      <c r="B25" s="12">
        <f t="shared" si="0"/>
        <v>22</v>
      </c>
      <c r="C25" s="34" t="str">
        <f>IF(ISBLANK('Personal Rankings'!C24),"",'Personal Rankings'!C24)</f>
        <v>Jimmy Garoppolo SF</v>
      </c>
      <c r="D25" s="62">
        <f ca="1">IF(ISBLANK('Personal Rankings'!C24),"",([1]QB!$AL$4*B25^5+[1]QB!$AM$4*B25^4+[1]QB!$AN$4*B25^3+[1]QB!$AO$4*B25^2+[1]QB!$AP$4*B25+[1]QB!$AQ$4-'Player Availability'!$BW$4)*D$2)</f>
        <v>2.627491774952126</v>
      </c>
      <c r="E25" s="35">
        <f>IF(ISBLANK('Personal Rankings'!C24),"",'Personal Rankings'!D24)</f>
        <v>169</v>
      </c>
      <c r="G25" s="12">
        <f t="shared" si="1"/>
        <v>22</v>
      </c>
      <c r="H25" s="34" t="str">
        <f>IF(ISBLANK('Personal Rankings'!H24),"",'Personal Rankings'!H24)</f>
        <v>Kareem Hunt CLE</v>
      </c>
      <c r="I25" s="62">
        <f ca="1">IF(ISBLANK('Personal Rankings'!H24),"",([1]RB!$AL$4*G25^5+[1]RB!$AM$4*G25^4+[1]RB!$AN$4*G25^3+[1]RB!$AO$4*G25^2+[1]RB!$AP$4*G25+[1]RB!$AQ$4-'Player Availability'!$BW$5)*I$2)</f>
        <v>19.173401498388621</v>
      </c>
      <c r="J25" s="35">
        <f>IF(ISBLANK('Personal Rankings'!H24),"",'Personal Rankings'!I24)</f>
        <v>59</v>
      </c>
      <c r="L25" s="12">
        <f t="shared" si="2"/>
        <v>22</v>
      </c>
      <c r="M25" s="34" t="str">
        <f>IF(ISBLANK('Personal Rankings'!M24),"",'Personal Rankings'!M24)</f>
        <v>DJ Chark Jr. JAC</v>
      </c>
      <c r="N25" s="62">
        <f ca="1">IF(ISBLANK('Personal Rankings'!M24),"",([1]WR!$AL$4*L25^5+[1]WR!$AM$4*L25^4+[1]WR!$AN$4*L25^3+[1]WR!$AO$4*L25^2+[1]WR!$AP$4*L25+[1]WR!$AQ$4-'Player Availability'!$BW$6)*N$2)</f>
        <v>0</v>
      </c>
      <c r="O25" s="35">
        <f>IF(ISBLANK('Personal Rankings'!M24),"",'Personal Rankings'!N24)</f>
        <v>55</v>
      </c>
      <c r="Q25" s="12">
        <f t="shared" si="3"/>
        <v>22</v>
      </c>
      <c r="R25" s="34" t="str">
        <f>IF(ISBLANK('Personal Rankings'!R24),"",'Personal Rankings'!R24)</f>
        <v/>
      </c>
      <c r="S25" s="62" t="str">
        <f>IF(ISBLANK('Personal Rankings'!R24),"",([1]TE!$AL$4*Q25^5+[1]TE!$AM$4*Q25^4+[1]TE!$AN$4*Q25^3+[1]TE!$AO$4*Q25^2+[1]TE!$AP$4*Q25+[1]TE!$AQ$4-'Player Availability'!$BW$7)*S$2)</f>
        <v/>
      </c>
      <c r="T25" s="35" t="str">
        <f>IF(ISBLANK('Personal Rankings'!R24),"",'Personal Rankings'!S24)</f>
        <v/>
      </c>
    </row>
    <row r="26" spans="2:30" x14ac:dyDescent="0.35">
      <c r="B26" s="12">
        <f t="shared" si="0"/>
        <v>23</v>
      </c>
      <c r="C26" s="34" t="str">
        <f>IF(ISBLANK('Personal Rankings'!C25),"",'Personal Rankings'!C25)</f>
        <v>Baker Mayfield CLE</v>
      </c>
      <c r="D26" s="62">
        <f ca="1">IF(ISBLANK('Personal Rankings'!C25),"",([1]QB!$AL$4*B26^5+[1]QB!$AM$4*B26^4+[1]QB!$AN$4*B26^3+[1]QB!$AO$4*B26^2+[1]QB!$AP$4*B26+[1]QB!$AQ$4-'Player Availability'!$BW$4)*D$2)</f>
        <v>2.5795428167168182</v>
      </c>
      <c r="E26" s="35">
        <f>IF(ISBLANK('Personal Rankings'!C25),"",'Personal Rankings'!D25)</f>
        <v>168</v>
      </c>
      <c r="G26" s="12">
        <f t="shared" si="1"/>
        <v>23</v>
      </c>
      <c r="H26" s="34" t="str">
        <f>IF(ISBLANK('Personal Rankings'!H25),"",'Personal Rankings'!H25)</f>
        <v>Raheem Mostert SF</v>
      </c>
      <c r="I26" s="62">
        <f ca="1">IF(ISBLANK('Personal Rankings'!H25),"",([1]RB!$AL$4*G26^5+[1]RB!$AM$4*G26^4+[1]RB!$AN$4*G26^3+[1]RB!$AO$4*G26^2+[1]RB!$AP$4*G26+[1]RB!$AQ$4-'Player Availability'!$BW$5)*I$2)</f>
        <v>18.829934204212982</v>
      </c>
      <c r="J26" s="35">
        <f>IF(ISBLANK('Personal Rankings'!H25),"",'Personal Rankings'!I25)</f>
        <v>56</v>
      </c>
      <c r="L26" s="12">
        <f t="shared" si="2"/>
        <v>23</v>
      </c>
      <c r="M26" s="34" t="str">
        <f>IF(ISBLANK('Personal Rankings'!M25),"",'Personal Rankings'!M25)</f>
        <v>Courtland Sutton DEN</v>
      </c>
      <c r="N26" s="62">
        <f ca="1">IF(ISBLANK('Personal Rankings'!M25),"",([1]WR!$AL$4*L26^5+[1]WR!$AM$4*L26^4+[1]WR!$AN$4*L26^3+[1]WR!$AO$4*L26^2+[1]WR!$AP$4*L26+[1]WR!$AQ$4-'Player Availability'!$BW$6)*N$2)</f>
        <v>0</v>
      </c>
      <c r="O26" s="35">
        <f>IF(ISBLANK('Personal Rankings'!M25),"",'Personal Rankings'!N25)</f>
        <v>31</v>
      </c>
      <c r="Q26" s="12">
        <f t="shared" si="3"/>
        <v>23</v>
      </c>
      <c r="R26" s="34" t="str">
        <f>IF(ISBLANK('Personal Rankings'!R25),"",'Personal Rankings'!R25)</f>
        <v/>
      </c>
      <c r="S26" s="62" t="str">
        <f>IF(ISBLANK('Personal Rankings'!R25),"",([1]TE!$AL$4*Q26^5+[1]TE!$AM$4*Q26^4+[1]TE!$AN$4*Q26^3+[1]TE!$AO$4*Q26^2+[1]TE!$AP$4*Q26+[1]TE!$AQ$4-'Player Availability'!$BW$7)*S$2)</f>
        <v/>
      </c>
      <c r="T26" s="35" t="str">
        <f>IF(ISBLANK('Personal Rankings'!R25),"",'Personal Rankings'!S25)</f>
        <v/>
      </c>
    </row>
    <row r="27" spans="2:30" x14ac:dyDescent="0.35">
      <c r="B27" s="12">
        <f t="shared" si="0"/>
        <v>24</v>
      </c>
      <c r="C27" s="34" t="str">
        <f>IF(ISBLANK('Personal Rankings'!C26),"",'Personal Rankings'!C26)</f>
        <v>Philip Rivers IND</v>
      </c>
      <c r="D27" s="62">
        <f ca="1">IF(ISBLANK('Personal Rankings'!C26),"",([1]QB!$AL$4*B27^5+[1]QB!$AM$4*B27^4+[1]QB!$AN$4*B27^3+[1]QB!$AO$4*B27^2+[1]QB!$AP$4*B27+[1]QB!$AQ$4-'Player Availability'!$BW$4)*D$2)</f>
        <v>2.5304377494992356</v>
      </c>
      <c r="E27" s="35">
        <f>IF(ISBLANK('Personal Rankings'!C26),"",'Personal Rankings'!D26)</f>
        <v>246</v>
      </c>
      <c r="G27" s="12">
        <f t="shared" si="1"/>
        <v>24</v>
      </c>
      <c r="H27" s="34" t="str">
        <f>IF(ISBLANK('Personal Rankings'!H26),"",'Personal Rankings'!H26)</f>
        <v>Mark Ingram II BAL</v>
      </c>
      <c r="I27" s="62">
        <f ca="1">IF(ISBLANK('Personal Rankings'!H26),"",([1]RB!$AL$4*G27^5+[1]RB!$AM$4*G27^4+[1]RB!$AN$4*G27^3+[1]RB!$AO$4*G27^2+[1]RB!$AP$4*G27+[1]RB!$AQ$4-'Player Availability'!$BW$5)*I$2)</f>
        <v>18.506260482561562</v>
      </c>
      <c r="J27" s="35">
        <f>IF(ISBLANK('Personal Rankings'!H26),"",'Personal Rankings'!I26)</f>
        <v>70</v>
      </c>
      <c r="L27" s="12">
        <f t="shared" si="2"/>
        <v>24</v>
      </c>
      <c r="M27" s="34" t="str">
        <f>IF(ISBLANK('Personal Rankings'!M26),"",'Personal Rankings'!M26)</f>
        <v>DeVante Parker MIA</v>
      </c>
      <c r="N27" s="62">
        <f ca="1">IF(ISBLANK('Personal Rankings'!M26),"",([1]WR!$AL$4*L27^5+[1]WR!$AM$4*L27^4+[1]WR!$AN$4*L27^3+[1]WR!$AO$4*L27^2+[1]WR!$AP$4*L27+[1]WR!$AQ$4-'Player Availability'!$BW$6)*N$2)</f>
        <v>0</v>
      </c>
      <c r="O27" s="35">
        <f>IF(ISBLANK('Personal Rankings'!M26),"",'Personal Rankings'!N26)</f>
        <v>61</v>
      </c>
      <c r="Q27" s="12">
        <f t="shared" si="3"/>
        <v>24</v>
      </c>
      <c r="R27" s="34" t="str">
        <f>IF(ISBLANK('Personal Rankings'!R26),"",'Personal Rankings'!R26)</f>
        <v/>
      </c>
      <c r="S27" s="62" t="str">
        <f>IF(ISBLANK('Personal Rankings'!R26),"",([1]TE!$AL$4*Q27^5+[1]TE!$AM$4*Q27^4+[1]TE!$AN$4*Q27^3+[1]TE!$AO$4*Q27^2+[1]TE!$AP$4*Q27+[1]TE!$AQ$4-'Player Availability'!$BW$7)*S$2)</f>
        <v/>
      </c>
      <c r="T27" s="35" t="str">
        <f>IF(ISBLANK('Personal Rankings'!R26),"",'Personal Rankings'!S26)</f>
        <v/>
      </c>
    </row>
    <row r="28" spans="2:30" x14ac:dyDescent="0.35">
      <c r="B28" s="12">
        <f t="shared" si="0"/>
        <v>25</v>
      </c>
      <c r="C28" s="34" t="str">
        <f>IF(ISBLANK('Personal Rankings'!C27),"",'Personal Rankings'!C27)</f>
        <v>Drew Lock DEN</v>
      </c>
      <c r="D28" s="62">
        <f ca="1">IF(ISBLANK('Personal Rankings'!C27),"",([1]QB!$AL$4*B28^5+[1]QB!$AM$4*B28^4+[1]QB!$AN$4*B28^3+[1]QB!$AO$4*B28^2+[1]QB!$AP$4*B28+[1]QB!$AQ$4-'Player Availability'!$BW$4)*D$2)</f>
        <v>2.4774571261945701</v>
      </c>
      <c r="E28" s="35">
        <f>IF(ISBLANK('Personal Rankings'!C27),"",'Personal Rankings'!D27)</f>
        <v>244</v>
      </c>
      <c r="G28" s="12">
        <f t="shared" si="1"/>
        <v>25</v>
      </c>
      <c r="H28" s="34" t="str">
        <f>IF(ISBLANK('Personal Rankings'!H27),"",'Personal Rankings'!H27)</f>
        <v>David Montgomery CHI</v>
      </c>
      <c r="I28" s="62">
        <f ca="1">IF(ISBLANK('Personal Rankings'!H27),"",([1]RB!$AL$4*G28^5+[1]RB!$AM$4*G28^4+[1]RB!$AN$4*G28^3+[1]RB!$AO$4*G28^2+[1]RB!$AP$4*G28+[1]RB!$AQ$4-'Player Availability'!$BW$5)*I$2)</f>
        <v>18.199520206433984</v>
      </c>
      <c r="J28" s="35">
        <f>IF(ISBLANK('Personal Rankings'!H27),"",'Personal Rankings'!I27)</f>
        <v>57</v>
      </c>
      <c r="L28" s="12">
        <f t="shared" si="2"/>
        <v>25</v>
      </c>
      <c r="M28" s="34" t="str">
        <f>IF(ISBLANK('Personal Rankings'!M27),"",'Personal Rankings'!M27)</f>
        <v>Keenan Allen LAC</v>
      </c>
      <c r="N28" s="62">
        <f ca="1">IF(ISBLANK('Personal Rankings'!M27),"",([1]WR!$AL$4*L28^5+[1]WR!$AM$4*L28^4+[1]WR!$AN$4*L28^3+[1]WR!$AO$4*L28^2+[1]WR!$AP$4*L28+[1]WR!$AQ$4-'Player Availability'!$BW$6)*N$2)</f>
        <v>0</v>
      </c>
      <c r="O28" s="35">
        <f>IF(ISBLANK('Personal Rankings'!M27),"",'Personal Rankings'!N27)</f>
        <v>52</v>
      </c>
      <c r="Q28" s="12">
        <f t="shared" si="3"/>
        <v>25</v>
      </c>
      <c r="R28" s="34" t="str">
        <f>IF(ISBLANK('Personal Rankings'!R27),"",'Personal Rankings'!R27)</f>
        <v/>
      </c>
      <c r="S28" s="62" t="str">
        <f>IF(ISBLANK('Personal Rankings'!R27),"",([1]TE!$AL$4*Q28^5+[1]TE!$AM$4*Q28^4+[1]TE!$AN$4*Q28^3+[1]TE!$AO$4*Q28^2+[1]TE!$AP$4*Q28+[1]TE!$AQ$4-'Player Availability'!$BW$7)*S$2)</f>
        <v/>
      </c>
      <c r="T28" s="35" t="str">
        <f>IF(ISBLANK('Personal Rankings'!R27),"",'Personal Rankings'!S27)</f>
        <v/>
      </c>
    </row>
    <row r="29" spans="2:30" x14ac:dyDescent="0.35">
      <c r="B29" s="12">
        <f t="shared" si="0"/>
        <v>26</v>
      </c>
      <c r="C29" s="34" t="str">
        <f>IF(ISBLANK('Personal Rankings'!C28),"",'Personal Rankings'!C28)</f>
        <v/>
      </c>
      <c r="D29" s="62" t="str">
        <f>IF(ISBLANK('Personal Rankings'!C28),"",([1]QB!$AL$4*B29^5+[1]QB!$AM$4*B29^4+[1]QB!$AN$4*B29^3+[1]QB!$AO$4*B29^2+[1]QB!$AP$4*B29+[1]QB!$AQ$4-'Player Availability'!$BW$4)*D$2)</f>
        <v/>
      </c>
      <c r="E29" s="35" t="str">
        <f>IF(ISBLANK('Personal Rankings'!C28),"",'Personal Rankings'!D28)</f>
        <v/>
      </c>
      <c r="G29" s="12">
        <f t="shared" si="1"/>
        <v>26</v>
      </c>
      <c r="H29" s="34" t="str">
        <f>IF(ISBLANK('Personal Rankings'!H28),"",'Personal Rankings'!H28)</f>
        <v>Leonard Fournette JAC</v>
      </c>
      <c r="I29" s="62">
        <f ca="1">IF(ISBLANK('Personal Rankings'!H28),"",([1]RB!$AL$4*G29^5+[1]RB!$AM$4*G29^4+[1]RB!$AN$4*G29^3+[1]RB!$AO$4*G29^2+[1]RB!$AP$4*G29+[1]RB!$AQ$4-'Player Availability'!$BW$5)*I$2)</f>
        <v>17.907093861268397</v>
      </c>
      <c r="J29" s="35">
        <f>IF(ISBLANK('Personal Rankings'!H28),"",'Personal Rankings'!I28)</f>
        <v>85</v>
      </c>
      <c r="L29" s="12">
        <f t="shared" si="2"/>
        <v>26</v>
      </c>
      <c r="M29" s="34" t="str">
        <f>IF(ISBLANK('Personal Rankings'!M28),"",'Personal Rankings'!M28)</f>
        <v>Stefon Diggs BUF</v>
      </c>
      <c r="N29" s="62">
        <f ca="1">IF(ISBLANK('Personal Rankings'!M28),"",([1]WR!$AL$4*L29^5+[1]WR!$AM$4*L29^4+[1]WR!$AN$4*L29^3+[1]WR!$AO$4*L29^2+[1]WR!$AP$4*L29+[1]WR!$AQ$4-'Player Availability'!$BW$6)*N$2)</f>
        <v>0</v>
      </c>
      <c r="O29" s="35">
        <f>IF(ISBLANK('Personal Rankings'!M28),"",'Personal Rankings'!N28)</f>
        <v>64</v>
      </c>
      <c r="Q29" s="12">
        <f t="shared" si="3"/>
        <v>26</v>
      </c>
      <c r="R29" s="34" t="str">
        <f>IF(ISBLANK('Personal Rankings'!R28),"",'Personal Rankings'!R28)</f>
        <v/>
      </c>
      <c r="S29" s="62" t="str">
        <f>IF(ISBLANK('Personal Rankings'!R28),"",([1]TE!$AL$4*Q29^5+[1]TE!$AM$4*Q29^4+[1]TE!$AN$4*Q29^3+[1]TE!$AO$4*Q29^2+[1]TE!$AP$4*Q29+[1]TE!$AQ$4-'Player Availability'!$BW$7)*S$2)</f>
        <v/>
      </c>
      <c r="T29" s="35" t="str">
        <f>IF(ISBLANK('Personal Rankings'!R28),"",'Personal Rankings'!S28)</f>
        <v/>
      </c>
    </row>
    <row r="30" spans="2:30" x14ac:dyDescent="0.35">
      <c r="B30" s="12">
        <f t="shared" si="0"/>
        <v>27</v>
      </c>
      <c r="C30" s="34" t="str">
        <f>IF(ISBLANK('Personal Rankings'!C29),"",'Personal Rankings'!C29)</f>
        <v/>
      </c>
      <c r="D30" s="62" t="str">
        <f>IF(ISBLANK('Personal Rankings'!C29),"",([1]QB!$AL$4*B30^5+[1]QB!$AM$4*B30^4+[1]QB!$AN$4*B30^3+[1]QB!$AO$4*B30^2+[1]QB!$AP$4*B30+[1]QB!$AQ$4-'Player Availability'!$BW$4)*D$2)</f>
        <v/>
      </c>
      <c r="E30" s="35" t="str">
        <f>IF(ISBLANK('Personal Rankings'!C29),"",'Personal Rankings'!D29)</f>
        <v/>
      </c>
      <c r="G30" s="12">
        <f t="shared" si="1"/>
        <v>27</v>
      </c>
      <c r="H30" s="34" t="str">
        <f>IF(ISBLANK('Personal Rankings'!H29),"",'Personal Rankings'!H29)</f>
        <v>Antonio Gibson WAS</v>
      </c>
      <c r="I30" s="62">
        <f ca="1">IF(ISBLANK('Personal Rankings'!H29),"",([1]RB!$AL$4*G30^5+[1]RB!$AM$4*G30^4+[1]RB!$AN$4*G30^3+[1]RB!$AO$4*G30^2+[1]RB!$AP$4*G30+[1]RB!$AQ$4-'Player Availability'!$BW$5)*I$2)</f>
        <v>17.626593638876695</v>
      </c>
      <c r="J30" s="35">
        <f>IF(ISBLANK('Personal Rankings'!H29),"",'Personal Rankings'!I29)</f>
        <v>60</v>
      </c>
      <c r="L30" s="12">
        <f t="shared" si="2"/>
        <v>27</v>
      </c>
      <c r="M30" s="34" t="str">
        <f>IF(ISBLANK('Personal Rankings'!M29),"",'Personal Rankings'!M29)</f>
        <v>Tyler Boyd CIN</v>
      </c>
      <c r="N30" s="62">
        <f ca="1">IF(ISBLANK('Personal Rankings'!M29),"",([1]WR!$AL$4*L30^5+[1]WR!$AM$4*L30^4+[1]WR!$AN$4*L30^3+[1]WR!$AO$4*L30^2+[1]WR!$AP$4*L30+[1]WR!$AQ$4-'Player Availability'!$BW$6)*N$2)</f>
        <v>0</v>
      </c>
      <c r="O30" s="35">
        <f>IF(ISBLANK('Personal Rankings'!M29),"",'Personal Rankings'!N29)</f>
        <v>65</v>
      </c>
      <c r="Q30" s="12">
        <f t="shared" si="3"/>
        <v>27</v>
      </c>
      <c r="R30" s="34" t="str">
        <f>IF(ISBLANK('Personal Rankings'!R29),"",'Personal Rankings'!R29)</f>
        <v/>
      </c>
      <c r="S30" s="62" t="str">
        <f>IF(ISBLANK('Personal Rankings'!R29),"",([1]TE!$AL$4*Q30^5+[1]TE!$AM$4*Q30^4+[1]TE!$AN$4*Q30^3+[1]TE!$AO$4*Q30^2+[1]TE!$AP$4*Q30+[1]TE!$AQ$4-'Player Availability'!$BW$7)*S$2)</f>
        <v/>
      </c>
      <c r="T30" s="35" t="str">
        <f>IF(ISBLANK('Personal Rankings'!R29),"",'Personal Rankings'!S29)</f>
        <v/>
      </c>
    </row>
    <row r="31" spans="2:30" x14ac:dyDescent="0.35">
      <c r="B31" s="12">
        <f t="shared" si="0"/>
        <v>28</v>
      </c>
      <c r="C31" s="34" t="str">
        <f>IF(ISBLANK('Personal Rankings'!C30),"",'Personal Rankings'!C30)</f>
        <v/>
      </c>
      <c r="D31" s="62" t="str">
        <f>IF(ISBLANK('Personal Rankings'!C30),"",([1]QB!$AL$4*B31^5+[1]QB!$AM$4*B31^4+[1]QB!$AN$4*B31^3+[1]QB!$AO$4*B31^2+[1]QB!$AP$4*B31+[1]QB!$AQ$4-'Player Availability'!$BW$4)*D$2)</f>
        <v/>
      </c>
      <c r="E31" s="35" t="str">
        <f>IF(ISBLANK('Personal Rankings'!C30),"",'Personal Rankings'!D30)</f>
        <v/>
      </c>
      <c r="G31" s="12">
        <f t="shared" si="1"/>
        <v>28</v>
      </c>
      <c r="H31" s="34" t="str">
        <f>IF(ISBLANK('Personal Rankings'!H30),"",'Personal Rankings'!H30)</f>
        <v>Cam Akers LAR</v>
      </c>
      <c r="I31" s="62">
        <f ca="1">IF(ISBLANK('Personal Rankings'!H30),"",([1]RB!$AL$4*G31^5+[1]RB!$AM$4*G31^4+[1]RB!$AN$4*G31^3+[1]RB!$AO$4*G31^2+[1]RB!$AP$4*G31+[1]RB!$AQ$4-'Player Availability'!$BW$5)*I$2)</f>
        <v>17.355854531379812</v>
      </c>
      <c r="J31" s="35">
        <f>IF(ISBLANK('Personal Rankings'!H30),"",'Personal Rankings'!I30)</f>
        <v>48</v>
      </c>
      <c r="L31" s="12">
        <f t="shared" si="2"/>
        <v>28</v>
      </c>
      <c r="M31" s="34" t="str">
        <f>IF(ISBLANK('Personal Rankings'!M30),"",'Personal Rankings'!M30)</f>
        <v>Michael Gallup DAL</v>
      </c>
      <c r="N31" s="62">
        <f ca="1">IF(ISBLANK('Personal Rankings'!M30),"",([1]WR!$AL$4*L31^5+[1]WR!$AM$4*L31^4+[1]WR!$AN$4*L31^3+[1]WR!$AO$4*L31^2+[1]WR!$AP$4*L31+[1]WR!$AQ$4-'Player Availability'!$BW$6)*N$2)</f>
        <v>0</v>
      </c>
      <c r="O31" s="35">
        <f>IF(ISBLANK('Personal Rankings'!M30),"",'Personal Rankings'!N30)</f>
        <v>62</v>
      </c>
      <c r="Q31" s="12">
        <f t="shared" si="3"/>
        <v>28</v>
      </c>
      <c r="R31" s="34" t="str">
        <f>IF(ISBLANK('Personal Rankings'!R30),"",'Personal Rankings'!R30)</f>
        <v/>
      </c>
      <c r="S31" s="62" t="str">
        <f>IF(ISBLANK('Personal Rankings'!R30),"",([1]TE!$AL$4*Q31^5+[1]TE!$AM$4*Q31^4+[1]TE!$AN$4*Q31^3+[1]TE!$AO$4*Q31^2+[1]TE!$AP$4*Q31+[1]TE!$AQ$4-'Player Availability'!$BW$7)*S$2)</f>
        <v/>
      </c>
      <c r="T31" s="35" t="str">
        <f>IF(ISBLANK('Personal Rankings'!R30),"",'Personal Rankings'!S30)</f>
        <v/>
      </c>
    </row>
    <row r="32" spans="2:30" x14ac:dyDescent="0.35">
      <c r="B32" s="12">
        <f t="shared" si="0"/>
        <v>29</v>
      </c>
      <c r="C32" s="34" t="str">
        <f>IF(ISBLANK('Personal Rankings'!C31),"",'Personal Rankings'!C31)</f>
        <v/>
      </c>
      <c r="D32" s="62" t="str">
        <f>IF(ISBLANK('Personal Rankings'!C31),"",([1]QB!$AL$4*B32^5+[1]QB!$AM$4*B32^4+[1]QB!$AN$4*B32^3+[1]QB!$AO$4*B32^2+[1]QB!$AP$4*B32+[1]QB!$AQ$4-'Player Availability'!$BW$4)*D$2)</f>
        <v/>
      </c>
      <c r="E32" s="35" t="str">
        <f>IF(ISBLANK('Personal Rankings'!C31),"",'Personal Rankings'!D31)</f>
        <v/>
      </c>
      <c r="G32" s="12">
        <f t="shared" si="1"/>
        <v>29</v>
      </c>
      <c r="H32" s="34" t="str">
        <f>IF(ISBLANK('Personal Rankings'!H31),"",'Personal Rankings'!H31)</f>
        <v>D'Andre Swift DET</v>
      </c>
      <c r="I32" s="62">
        <f ca="1">IF(ISBLANK('Personal Rankings'!H31),"",([1]RB!$AL$4*G32^5+[1]RB!$AM$4*G32^4+[1]RB!$AN$4*G32^3+[1]RB!$AO$4*G32^2+[1]RB!$AP$4*G32+[1]RB!$AQ$4-'Player Availability'!$BW$5)*I$2)</f>
        <v>17.092925425142909</v>
      </c>
      <c r="J32" s="35">
        <f>IF(ISBLANK('Personal Rankings'!H31),"",'Personal Rankings'!I31)</f>
        <v>49</v>
      </c>
      <c r="L32" s="12">
        <f t="shared" si="2"/>
        <v>29</v>
      </c>
      <c r="M32" s="34" t="str">
        <f>IF(ISBLANK('Personal Rankings'!M31),"",'Personal Rankings'!M31)</f>
        <v>T.Y. Hilton IND</v>
      </c>
      <c r="N32" s="62">
        <f ca="1">IF(ISBLANK('Personal Rankings'!M31),"",([1]WR!$AL$4*L32^5+[1]WR!$AM$4*L32^4+[1]WR!$AN$4*L32^3+[1]WR!$AO$4*L32^2+[1]WR!$AP$4*L32+[1]WR!$AQ$4-'Player Availability'!$BW$6)*N$2)</f>
        <v>0</v>
      </c>
      <c r="O32" s="35">
        <f>IF(ISBLANK('Personal Rankings'!M31),"",'Personal Rankings'!N31)</f>
        <v>51</v>
      </c>
      <c r="Q32" s="12">
        <f t="shared" si="3"/>
        <v>29</v>
      </c>
      <c r="R32" s="34" t="str">
        <f>IF(ISBLANK('Personal Rankings'!R31),"",'Personal Rankings'!R31)</f>
        <v/>
      </c>
      <c r="S32" s="62" t="str">
        <f>IF(ISBLANK('Personal Rankings'!R31),"",([1]TE!$AL$4*Q32^5+[1]TE!$AM$4*Q32^4+[1]TE!$AN$4*Q32^3+[1]TE!$AO$4*Q32^2+[1]TE!$AP$4*Q32+[1]TE!$AQ$4-'Player Availability'!$BW$7)*S$2)</f>
        <v/>
      </c>
      <c r="T32" s="35" t="str">
        <f>IF(ISBLANK('Personal Rankings'!R31),"",'Personal Rankings'!S31)</f>
        <v/>
      </c>
    </row>
    <row r="33" spans="2:20" ht="15" thickBot="1" x14ac:dyDescent="0.4">
      <c r="B33" s="13">
        <f t="shared" si="0"/>
        <v>30</v>
      </c>
      <c r="C33" s="36" t="str">
        <f>IF(ISBLANK('Personal Rankings'!C32),"",'Personal Rankings'!C32)</f>
        <v/>
      </c>
      <c r="D33" s="62" t="str">
        <f>IF(ISBLANK('Personal Rankings'!C32),"",([1]QB!$AL$4*B33^5+[1]QB!$AM$4*B33^4+[1]QB!$AN$4*B33^3+[1]QB!$AO$4*B33^2+[1]QB!$AP$4*B33+[1]QB!$AQ$4-'Player Availability'!$BW$4)*D$2)</f>
        <v/>
      </c>
      <c r="E33" s="35" t="str">
        <f>IF(ISBLANK('Personal Rankings'!C32),"",'Personal Rankings'!D32)</f>
        <v/>
      </c>
      <c r="G33" s="12">
        <f t="shared" si="1"/>
        <v>30</v>
      </c>
      <c r="H33" s="34" t="str">
        <f>IF(ISBLANK('Personal Rankings'!H32),"",'Personal Rankings'!H32)</f>
        <v>Devin Singletary BUF</v>
      </c>
      <c r="I33" s="62">
        <f ca="1">IF(ISBLANK('Personal Rankings'!H32),"",([1]RB!$AL$4*G33^5+[1]RB!$AM$4*G33^4+[1]RB!$AN$4*G33^3+[1]RB!$AO$4*G33^2+[1]RB!$AP$4*G33+[1]RB!$AQ$4-'Player Availability'!$BW$5)*I$2)</f>
        <v>16.836060194710623</v>
      </c>
      <c r="J33" s="35">
        <f>IF(ISBLANK('Personal Rankings'!H32),"",'Personal Rankings'!I32)</f>
        <v>58</v>
      </c>
      <c r="L33" s="12">
        <f t="shared" si="2"/>
        <v>30</v>
      </c>
      <c r="M33" s="34" t="str">
        <f>IF(ISBLANK('Personal Rankings'!M32),"",'Personal Rankings'!M32)</f>
        <v>Will Fuller V HOU</v>
      </c>
      <c r="N33" s="62">
        <f ca="1">IF(ISBLANK('Personal Rankings'!M32),"",([1]WR!$AL$4*L33^5+[1]WR!$AM$4*L33^4+[1]WR!$AN$4*L33^3+[1]WR!$AO$4*L33^2+[1]WR!$AP$4*L33+[1]WR!$AQ$4-'Player Availability'!$BW$6)*N$2)</f>
        <v>0</v>
      </c>
      <c r="O33" s="35">
        <f>IF(ISBLANK('Personal Rankings'!M32),"",'Personal Rankings'!N32)</f>
        <v>66</v>
      </c>
      <c r="Q33" s="13">
        <f t="shared" si="3"/>
        <v>30</v>
      </c>
      <c r="R33" s="36" t="str">
        <f>IF(ISBLANK('Personal Rankings'!R32),"",'Personal Rankings'!R32)</f>
        <v/>
      </c>
      <c r="S33" s="62" t="str">
        <f>IF(ISBLANK('Personal Rankings'!R32),"",([1]TE!$AL$4*Q33^5+[1]TE!$AM$4*Q33^4+[1]TE!$AN$4*Q33^3+[1]TE!$AO$4*Q33^2+[1]TE!$AP$4*Q33+[1]TE!$AQ$4-'Player Availability'!$BW$7)*S$2)</f>
        <v/>
      </c>
      <c r="T33" s="35" t="str">
        <f>IF(ISBLANK('Personal Rankings'!R32),"",'Personal Rankings'!S32)</f>
        <v/>
      </c>
    </row>
    <row r="34" spans="2:20" x14ac:dyDescent="0.35">
      <c r="G34" s="12">
        <f t="shared" si="1"/>
        <v>31</v>
      </c>
      <c r="H34" s="34" t="str">
        <f>IF(ISBLANK('Personal Rankings'!H33),"",'Personal Rankings'!H33)</f>
        <v>Jordan Howard MIA</v>
      </c>
      <c r="I34" s="62">
        <f ca="1">IF(ISBLANK('Personal Rankings'!H33),"",([1]RB!$AL$4*G34^5+[1]RB!$AM$4*G34^4+[1]RB!$AN$4*G34^3+[1]RB!$AO$4*G34^2+[1]RB!$AP$4*G34+[1]RB!$AQ$4-'Player Availability'!$BW$5)*I$2)</f>
        <v>16.583708796742354</v>
      </c>
      <c r="J34" s="35">
        <f>IF(ISBLANK('Personal Rankings'!H33),"",'Personal Rankings'!I33)</f>
        <v>87</v>
      </c>
      <c r="L34" s="12">
        <f t="shared" si="2"/>
        <v>31</v>
      </c>
      <c r="M34" s="34" t="str">
        <f>IF(ISBLANK('Personal Rankings'!M33),"",'Personal Rankings'!M33)</f>
        <v>Marquise Brown BAL</v>
      </c>
      <c r="N34" s="62">
        <f ca="1">IF(ISBLANK('Personal Rankings'!M33),"",([1]WR!$AL$4*L34^5+[1]WR!$AM$4*L34^4+[1]WR!$AN$4*L34^3+[1]WR!$AO$4*L34^2+[1]WR!$AP$4*L34+[1]WR!$AQ$4-'Player Availability'!$BW$6)*N$2)</f>
        <v>0</v>
      </c>
      <c r="O34" s="35">
        <f>IF(ISBLANK('Personal Rankings'!M33),"",'Personal Rankings'!N33)</f>
        <v>67</v>
      </c>
    </row>
    <row r="35" spans="2:20" x14ac:dyDescent="0.35">
      <c r="G35" s="12">
        <f t="shared" si="1"/>
        <v>32</v>
      </c>
      <c r="H35" s="34" t="str">
        <f>IF(ISBLANK('Personal Rankings'!H34),"",'Personal Rankings'!H34)</f>
        <v>J.K. Dobbins BAL</v>
      </c>
      <c r="I35" s="62">
        <f ca="1">IF(ISBLANK('Personal Rankings'!H34),"",([1]RB!$AL$4*G35^5+[1]RB!$AM$4*G35^4+[1]RB!$AN$4*G35^3+[1]RB!$AO$4*G35^2+[1]RB!$AP$4*G35+[1]RB!$AQ$4-'Player Availability'!$BW$5)*I$2)</f>
        <v>16.334508363947464</v>
      </c>
      <c r="J35" s="35">
        <f>IF(ISBLANK('Personal Rankings'!H34),"",'Personal Rankings'!I34)</f>
        <v>88</v>
      </c>
      <c r="L35" s="12">
        <f t="shared" si="2"/>
        <v>32</v>
      </c>
      <c r="M35" s="34" t="str">
        <f>IF(ISBLANK('Personal Rankings'!M34),"",'Personal Rankings'!M34)</f>
        <v>Diontae Johnson PIT</v>
      </c>
      <c r="N35" s="62">
        <f ca="1">IF(ISBLANK('Personal Rankings'!M34),"",([1]WR!$AL$4*L35^5+[1]WR!$AM$4*L35^4+[1]WR!$AN$4*L35^3+[1]WR!$AO$4*L35^2+[1]WR!$AP$4*L35+[1]WR!$AQ$4-'Player Availability'!$BW$6)*N$2)</f>
        <v>0</v>
      </c>
      <c r="O35" s="35">
        <f>IF(ISBLANK('Personal Rankings'!M34),"",'Personal Rankings'!N34)</f>
        <v>81</v>
      </c>
    </row>
    <row r="36" spans="2:20" x14ac:dyDescent="0.35">
      <c r="G36" s="12">
        <f t="shared" si="1"/>
        <v>33</v>
      </c>
      <c r="H36" s="34" t="str">
        <f>IF(ISBLANK('Personal Rankings'!H35),"",'Personal Rankings'!H35)</f>
        <v>Tarik Cohen CHI</v>
      </c>
      <c r="I36" s="62">
        <f ca="1">IF(ISBLANK('Personal Rankings'!H35),"",([1]RB!$AL$4*G36^5+[1]RB!$AM$4*G36^4+[1]RB!$AN$4*G36^3+[1]RB!$AO$4*G36^2+[1]RB!$AP$4*G36+[1]RB!$AQ$4-'Player Availability'!$BW$5)*I$2)</f>
        <v>16.087274299020518</v>
      </c>
      <c r="J36" s="35">
        <f>IF(ISBLANK('Personal Rankings'!H35),"",'Personal Rankings'!I35)</f>
        <v>90</v>
      </c>
      <c r="L36" s="12">
        <f t="shared" si="2"/>
        <v>33</v>
      </c>
      <c r="M36" s="34" t="str">
        <f>IF(ISBLANK('Personal Rankings'!M35),"",'Personal Rankings'!M35)</f>
        <v>Marvin Jones Jr. DET</v>
      </c>
      <c r="N36" s="62">
        <f ca="1">IF(ISBLANK('Personal Rankings'!M35),"",([1]WR!$AL$4*L36^5+[1]WR!$AM$4*L36^4+[1]WR!$AN$4*L36^3+[1]WR!$AO$4*L36^2+[1]WR!$AP$4*L36+[1]WR!$AQ$4-'Player Availability'!$BW$6)*N$2)</f>
        <v>0</v>
      </c>
      <c r="O36" s="35">
        <f>IF(ISBLANK('Personal Rankings'!M35),"",'Personal Rankings'!N35)</f>
        <v>77</v>
      </c>
    </row>
    <row r="37" spans="2:20" x14ac:dyDescent="0.35">
      <c r="G37" s="12">
        <f t="shared" si="1"/>
        <v>34</v>
      </c>
      <c r="H37" s="34" t="str">
        <f>IF(ISBLANK('Personal Rankings'!H36),"",'Personal Rankings'!H36)</f>
        <v>Phillip Lindsay DEN</v>
      </c>
      <c r="I37" s="62">
        <f ca="1">IF(ISBLANK('Personal Rankings'!H36),"",([1]RB!$AL$4*G37^5+[1]RB!$AM$4*G37^4+[1]RB!$AN$4*G37^3+[1]RB!$AO$4*G37^2+[1]RB!$AP$4*G37+[1]RB!$AQ$4-'Player Availability'!$BW$5)*I$2)</f>
        <v>15.840991368576603</v>
      </c>
      <c r="J37" s="35">
        <f>IF(ISBLANK('Personal Rankings'!H36),"",'Personal Rankings'!I36)</f>
        <v>86</v>
      </c>
      <c r="L37" s="12">
        <f t="shared" si="2"/>
        <v>34</v>
      </c>
      <c r="M37" s="34" t="str">
        <f>IF(ISBLANK('Personal Rankings'!M36),"",'Personal Rankings'!M36)</f>
        <v>Brandin Cooks HOU</v>
      </c>
      <c r="N37" s="62">
        <f ca="1">IF(ISBLANK('Personal Rankings'!M36),"",([1]WR!$AL$4*L37^5+[1]WR!$AM$4*L37^4+[1]WR!$AN$4*L37^3+[1]WR!$AO$4*L37^2+[1]WR!$AP$4*L37+[1]WR!$AQ$4-'Player Availability'!$BW$6)*N$2)</f>
        <v>0</v>
      </c>
      <c r="O37" s="35">
        <f>IF(ISBLANK('Personal Rankings'!M36),"",'Personal Rankings'!N36)</f>
        <v>80</v>
      </c>
    </row>
    <row r="38" spans="2:20" x14ac:dyDescent="0.35">
      <c r="G38" s="12">
        <f t="shared" si="1"/>
        <v>35</v>
      </c>
      <c r="H38" s="34" t="str">
        <f>IF(ISBLANK('Personal Rankings'!H37),"",'Personal Rankings'!H37)</f>
        <v>James White NE</v>
      </c>
      <c r="I38" s="62">
        <f ca="1">IF(ISBLANK('Personal Rankings'!H37),"",([1]RB!$AL$4*G38^5+[1]RB!$AM$4*G38^4+[1]RB!$AN$4*G38^3+[1]RB!$AO$4*G38^2+[1]RB!$AP$4*G38+[1]RB!$AQ$4-'Player Availability'!$BW$5)*I$2)</f>
        <v>15.594804797086432</v>
      </c>
      <c r="J38" s="35">
        <f>IF(ISBLANK('Personal Rankings'!H37),"",'Personal Rankings'!I37)</f>
        <v>93</v>
      </c>
      <c r="L38" s="12">
        <f t="shared" si="2"/>
        <v>35</v>
      </c>
      <c r="M38" s="34" t="str">
        <f>IF(ISBLANK('Personal Rankings'!M37),"",'Personal Rankings'!M37)</f>
        <v>A.J. Green CIN</v>
      </c>
      <c r="N38" s="62">
        <f ca="1">IF(ISBLANK('Personal Rankings'!M37),"",([1]WR!$AL$4*L38^5+[1]WR!$AM$4*L38^4+[1]WR!$AN$4*L38^3+[1]WR!$AO$4*L38^2+[1]WR!$AP$4*L38+[1]WR!$AQ$4-'Player Availability'!$BW$6)*N$2)</f>
        <v>0</v>
      </c>
      <c r="O38" s="35">
        <f>IF(ISBLANK('Personal Rankings'!M37),"",'Personal Rankings'!N37)</f>
        <v>63</v>
      </c>
    </row>
    <row r="39" spans="2:20" x14ac:dyDescent="0.35">
      <c r="G39" s="12">
        <f t="shared" si="1"/>
        <v>36</v>
      </c>
      <c r="H39" s="34" t="str">
        <f>IF(ISBLANK('Personal Rankings'!H38),"",'Personal Rankings'!H38)</f>
        <v>Zack Moss BUF</v>
      </c>
      <c r="I39" s="62">
        <f ca="1">IF(ISBLANK('Personal Rankings'!H38),"",([1]RB!$AL$4*G39^5+[1]RB!$AM$4*G39^4+[1]RB!$AN$4*G39^3+[1]RB!$AO$4*G39^2+[1]RB!$AP$4*G39+[1]RB!$AQ$4-'Player Availability'!$BW$5)*I$2)</f>
        <v>15.348011360811768</v>
      </c>
      <c r="J39" s="35">
        <f>IF(ISBLANK('Personal Rankings'!H38),"",'Personal Rankings'!I38)</f>
        <v>89</v>
      </c>
      <c r="L39" s="12">
        <f t="shared" si="2"/>
        <v>36</v>
      </c>
      <c r="M39" s="34" t="str">
        <f>IF(ISBLANK('Personal Rankings'!M38),"",'Personal Rankings'!M38)</f>
        <v>Jarvis Landry CLE</v>
      </c>
      <c r="N39" s="62">
        <f ca="1">IF(ISBLANK('Personal Rankings'!M38),"",([1]WR!$AL$4*L39^5+[1]WR!$AM$4*L39^4+[1]WR!$AN$4*L39^3+[1]WR!$AO$4*L39^2+[1]WR!$AP$4*L39+[1]WR!$AQ$4-'Player Availability'!$BW$6)*N$2)</f>
        <v>0</v>
      </c>
      <c r="O39" s="35">
        <f>IF(ISBLANK('Personal Rankings'!M38),"",'Personal Rankings'!N38)</f>
        <v>54</v>
      </c>
    </row>
    <row r="40" spans="2:20" x14ac:dyDescent="0.35">
      <c r="G40" s="12">
        <f t="shared" si="1"/>
        <v>37</v>
      </c>
      <c r="H40" s="34" t="str">
        <f>IF(ISBLANK('Personal Rankings'!H39),"",'Personal Rankings'!H39)</f>
        <v>Latavius Murray NO</v>
      </c>
      <c r="I40" s="62">
        <f ca="1">IF(ISBLANK('Personal Rankings'!H39),"",([1]RB!$AL$4*G40^5+[1]RB!$AM$4*G40^4+[1]RB!$AN$4*G40^3+[1]RB!$AO$4*G40^2+[1]RB!$AP$4*G40+[1]RB!$AQ$4-'Player Availability'!$BW$5)*I$2)</f>
        <v>15.100050481740425</v>
      </c>
      <c r="J40" s="35">
        <f>IF(ISBLANK('Personal Rankings'!H39),"",'Personal Rankings'!I39)</f>
        <v>105</v>
      </c>
      <c r="L40" s="12">
        <f t="shared" si="2"/>
        <v>37</v>
      </c>
      <c r="M40" s="34" t="str">
        <f>IF(ISBLANK('Personal Rankings'!M39),"",'Personal Rankings'!M39)</f>
        <v>Julian Edelman NE</v>
      </c>
      <c r="N40" s="62">
        <f ca="1">IF(ISBLANK('Personal Rankings'!M39),"",([1]WR!$AL$4*L40^5+[1]WR!$AM$4*L40^4+[1]WR!$AN$4*L40^3+[1]WR!$AO$4*L40^2+[1]WR!$AP$4*L40+[1]WR!$AQ$4-'Player Availability'!$BW$6)*N$2)</f>
        <v>0</v>
      </c>
      <c r="O40" s="35">
        <f>IF(ISBLANK('Personal Rankings'!M39),"",'Personal Rankings'!N39)</f>
        <v>78</v>
      </c>
    </row>
    <row r="41" spans="2:20" x14ac:dyDescent="0.35">
      <c r="G41" s="12">
        <f t="shared" si="1"/>
        <v>38</v>
      </c>
      <c r="H41" s="34" t="str">
        <f>IF(ISBLANK('Personal Rankings'!H40),"",'Personal Rankings'!H40)</f>
        <v>Sony Michel NE</v>
      </c>
      <c r="I41" s="62">
        <f ca="1">IF(ISBLANK('Personal Rankings'!H40),"",([1]RB!$AL$4*G41^5+[1]RB!$AM$4*G41^4+[1]RB!$AN$4*G41^3+[1]RB!$AO$4*G41^2+[1]RB!$AP$4*G41+[1]RB!$AQ$4-'Player Availability'!$BW$5)*I$2)</f>
        <v>14.850495321521784</v>
      </c>
      <c r="J41" s="35">
        <f>IF(ISBLANK('Personal Rankings'!H40),"",'Personal Rankings'!I40)</f>
        <v>131</v>
      </c>
      <c r="L41" s="12">
        <f t="shared" si="2"/>
        <v>38</v>
      </c>
      <c r="M41" s="34" t="str">
        <f>IF(ISBLANK('Personal Rankings'!M40),"",'Personal Rankings'!M40)</f>
        <v>CeeDee Lamb DAL</v>
      </c>
      <c r="N41" s="62">
        <f ca="1">IF(ISBLANK('Personal Rankings'!M40),"",([1]WR!$AL$4*L41^5+[1]WR!$AM$4*L41^4+[1]WR!$AN$4*L41^3+[1]WR!$AO$4*L41^2+[1]WR!$AP$4*L41+[1]WR!$AQ$4-'Player Availability'!$BW$6)*N$2)</f>
        <v>0</v>
      </c>
      <c r="O41" s="35">
        <f>IF(ISBLANK('Personal Rankings'!M40),"",'Personal Rankings'!N40)</f>
        <v>109</v>
      </c>
    </row>
    <row r="42" spans="2:20" x14ac:dyDescent="0.35">
      <c r="G42" s="12">
        <f t="shared" si="1"/>
        <v>39</v>
      </c>
      <c r="H42" s="34" t="str">
        <f>IF(ISBLANK('Personal Rankings'!H41),"",'Personal Rankings'!H41)</f>
        <v>Matt Breida MIA</v>
      </c>
      <c r="I42" s="62">
        <f ca="1">IF(ISBLANK('Personal Rankings'!H41),"",([1]RB!$AL$4*G42^5+[1]RB!$AM$4*G42^4+[1]RB!$AN$4*G42^3+[1]RB!$AO$4*G42^2+[1]RB!$AP$4*G42+[1]RB!$AQ$4-'Player Availability'!$BW$5)*I$2)</f>
        <v>14.599043875401913</v>
      </c>
      <c r="J42" s="35">
        <f>IF(ISBLANK('Personal Rankings'!H41),"",'Personal Rankings'!I41)</f>
        <v>91</v>
      </c>
      <c r="L42" s="12">
        <f t="shared" si="2"/>
        <v>39</v>
      </c>
      <c r="M42" s="34" t="str">
        <f>IF(ISBLANK('Personal Rankings'!M41),"",'Personal Rankings'!M41)</f>
        <v>Jamison Crowder NYJ</v>
      </c>
      <c r="N42" s="62">
        <f ca="1">IF(ISBLANK('Personal Rankings'!M41),"",([1]WR!$AL$4*L42^5+[1]WR!$AM$4*L42^4+[1]WR!$AN$4*L42^3+[1]WR!$AO$4*L42^2+[1]WR!$AP$4*L42+[1]WR!$AQ$4-'Player Availability'!$BW$6)*N$2)</f>
        <v>0</v>
      </c>
      <c r="O42" s="35">
        <f>IF(ISBLANK('Personal Rankings'!M41),"",'Personal Rankings'!N41)</f>
        <v>95</v>
      </c>
    </row>
    <row r="43" spans="2:20" x14ac:dyDescent="0.35">
      <c r="G43" s="12">
        <f t="shared" si="1"/>
        <v>40</v>
      </c>
      <c r="H43" s="34" t="str">
        <f>IF(ISBLANK('Personal Rankings'!H42),"",'Personal Rankings'!H42)</f>
        <v>Marlon Mack IND</v>
      </c>
      <c r="I43" s="62">
        <f ca="1">IF(ISBLANK('Personal Rankings'!H42),"",([1]RB!$AL$4*G43^5+[1]RB!$AM$4*G43^4+[1]RB!$AN$4*G43^3+[1]RB!$AO$4*G43^2+[1]RB!$AP$4*G43+[1]RB!$AQ$4-'Player Availability'!$BW$5)*I$2)</f>
        <v>14.345510066158624</v>
      </c>
      <c r="J43" s="35">
        <f>IF(ISBLANK('Personal Rankings'!H42),"",'Personal Rankings'!I42)</f>
        <v>129</v>
      </c>
      <c r="L43" s="12">
        <f t="shared" si="2"/>
        <v>40</v>
      </c>
      <c r="M43" s="34" t="str">
        <f>IF(ISBLANK('Personal Rankings'!M42),"",'Personal Rankings'!M42)</f>
        <v>Christian Kirk ARI</v>
      </c>
      <c r="N43" s="62">
        <f ca="1">IF(ISBLANK('Personal Rankings'!M42),"",([1]WR!$AL$4*L43^5+[1]WR!$AM$4*L43^4+[1]WR!$AN$4*L43^3+[1]WR!$AO$4*L43^2+[1]WR!$AP$4*L43+[1]WR!$AQ$4-'Player Availability'!$BW$6)*N$2)</f>
        <v>0</v>
      </c>
      <c r="O43" s="35">
        <f>IF(ISBLANK('Personal Rankings'!M42),"",'Personal Rankings'!N42)</f>
        <v>84</v>
      </c>
    </row>
    <row r="44" spans="2:20" x14ac:dyDescent="0.35">
      <c r="G44" s="12">
        <f t="shared" si="1"/>
        <v>41</v>
      </c>
      <c r="H44" s="34" t="str">
        <f>IF(ISBLANK('Personal Rankings'!H43),"",'Personal Rankings'!H43)</f>
        <v>Ronald Jones II TB</v>
      </c>
      <c r="I44" s="62">
        <f ca="1">IF(ISBLANK('Personal Rankings'!H43),"",([1]RB!$AL$4*G44^5+[1]RB!$AM$4*G44^4+[1]RB!$AN$4*G44^3+[1]RB!$AO$4*G44^2+[1]RB!$AP$4*G44+[1]RB!$AQ$4-'Player Availability'!$BW$5)*I$2)</f>
        <v>14.089814838037103</v>
      </c>
      <c r="J44" s="35">
        <f>IF(ISBLANK('Personal Rankings'!H43),"",'Personal Rankings'!I43)</f>
        <v>72</v>
      </c>
      <c r="L44" s="12">
        <f t="shared" si="2"/>
        <v>41</v>
      </c>
      <c r="M44" s="34" t="str">
        <f>IF(ISBLANK('Personal Rankings'!M43),"",'Personal Rankings'!M43)</f>
        <v>Anthony Miller CHI</v>
      </c>
      <c r="N44" s="62">
        <f ca="1">IF(ISBLANK('Personal Rankings'!M43),"",([1]WR!$AL$4*L44^5+[1]WR!$AM$4*L44^4+[1]WR!$AN$4*L44^3+[1]WR!$AO$4*L44^2+[1]WR!$AP$4*L44+[1]WR!$AQ$4-'Player Availability'!$BW$6)*N$2)</f>
        <v>0</v>
      </c>
      <c r="O44" s="35">
        <f>IF(ISBLANK('Personal Rankings'!M43),"",'Personal Rankings'!N43)</f>
        <v>127</v>
      </c>
    </row>
    <row r="45" spans="2:20" x14ac:dyDescent="0.35">
      <c r="G45" s="12">
        <f t="shared" si="1"/>
        <v>42</v>
      </c>
      <c r="H45" s="34" t="str">
        <f>IF(ISBLANK('Personal Rankings'!H44),"",'Personal Rankings'!H44)</f>
        <v>Boston Scott PHI</v>
      </c>
      <c r="I45" s="62">
        <f ca="1">IF(ISBLANK('Personal Rankings'!H44),"",([1]RB!$AL$4*G45^5+[1]RB!$AM$4*G45^4+[1]RB!$AN$4*G45^3+[1]RB!$AO$4*G45^2+[1]RB!$AP$4*G45+[1]RB!$AQ$4-'Player Availability'!$BW$5)*I$2)</f>
        <v>13.831977250684862</v>
      </c>
      <c r="J45" s="35">
        <f>IF(ISBLANK('Personal Rankings'!H44),"",'Personal Rankings'!I44)</f>
        <v>143</v>
      </c>
      <c r="L45" s="12">
        <f t="shared" si="2"/>
        <v>42</v>
      </c>
      <c r="M45" s="34" t="str">
        <f>IF(ISBLANK('Personal Rankings'!M44),"",'Personal Rankings'!M44)</f>
        <v>Henry Ruggs III LV</v>
      </c>
      <c r="N45" s="62">
        <f ca="1">IF(ISBLANK('Personal Rankings'!M44),"",([1]WR!$AL$4*L45^5+[1]WR!$AM$4*L45^4+[1]WR!$AN$4*L45^3+[1]WR!$AO$4*L45^2+[1]WR!$AP$4*L45+[1]WR!$AQ$4-'Player Availability'!$BW$6)*N$2)</f>
        <v>0</v>
      </c>
      <c r="O45" s="35">
        <f>IF(ISBLANK('Personal Rankings'!M44),"",'Personal Rankings'!N44)</f>
        <v>101</v>
      </c>
    </row>
    <row r="46" spans="2:20" x14ac:dyDescent="0.35">
      <c r="G46" s="12">
        <f t="shared" si="1"/>
        <v>43</v>
      </c>
      <c r="H46" s="34" t="str">
        <f>IF(ISBLANK('Personal Rankings'!H45),"",'Personal Rankings'!H45)</f>
        <v>Tevin Coleman SF</v>
      </c>
      <c r="I46" s="62">
        <f ca="1">IF(ISBLANK('Personal Rankings'!H45),"",([1]RB!$AL$4*G46^5+[1]RB!$AM$4*G46^4+[1]RB!$AN$4*G46^3+[1]RB!$AO$4*G46^2+[1]RB!$AP$4*G46+[1]RB!$AQ$4-'Player Availability'!$BW$5)*I$2)</f>
        <v>13.572105573086994</v>
      </c>
      <c r="J46" s="35">
        <f>IF(ISBLANK('Personal Rankings'!H45),"",'Personal Rankings'!I45)</f>
        <v>92</v>
      </c>
      <c r="L46" s="12">
        <f t="shared" si="2"/>
        <v>43</v>
      </c>
      <c r="M46" s="34" t="str">
        <f>IF(ISBLANK('Personal Rankings'!M45),"",'Personal Rankings'!M45)</f>
        <v>Sterling Shepard NYG</v>
      </c>
      <c r="N46" s="62">
        <f ca="1">IF(ISBLANK('Personal Rankings'!M45),"",([1]WR!$AL$4*L46^5+[1]WR!$AM$4*L46^4+[1]WR!$AN$4*L46^3+[1]WR!$AO$4*L46^2+[1]WR!$AP$4*L46+[1]WR!$AQ$4-'Player Availability'!$BW$6)*N$2)</f>
        <v>0</v>
      </c>
      <c r="O46" s="35">
        <f>IF(ISBLANK('Personal Rankings'!M45),"",'Personal Rankings'!N45)</f>
        <v>79</v>
      </c>
    </row>
    <row r="47" spans="2:20" x14ac:dyDescent="0.35">
      <c r="G47" s="12">
        <f t="shared" si="1"/>
        <v>44</v>
      </c>
      <c r="H47" s="34" t="str">
        <f>IF(ISBLANK('Personal Rankings'!H46),"",'Personal Rankings'!H46)</f>
        <v>Kerryon Johnson DET</v>
      </c>
      <c r="I47" s="62">
        <f ca="1">IF(ISBLANK('Personal Rankings'!H46),"",([1]RB!$AL$4*G47^5+[1]RB!$AM$4*G47^4+[1]RB!$AN$4*G47^3+[1]RB!$AO$4*G47^2+[1]RB!$AP$4*G47+[1]RB!$AQ$4-'Player Availability'!$BW$5)*I$2)</f>
        <v>13.310388377501614</v>
      </c>
      <c r="J47" s="35">
        <f>IF(ISBLANK('Personal Rankings'!H46),"",'Personal Rankings'!I46)</f>
        <v>71</v>
      </c>
      <c r="L47" s="12">
        <f t="shared" si="2"/>
        <v>44</v>
      </c>
      <c r="M47" s="34" t="str">
        <f>IF(ISBLANK('Personal Rankings'!M46),"",'Personal Rankings'!M46)</f>
        <v>John Brown BUF</v>
      </c>
      <c r="N47" s="62">
        <f ca="1">IF(ISBLANK('Personal Rankings'!M46),"",([1]WR!$AL$4*L47^5+[1]WR!$AM$4*L47^4+[1]WR!$AN$4*L47^3+[1]WR!$AO$4*L47^2+[1]WR!$AP$4*L47+[1]WR!$AQ$4-'Player Availability'!$BW$6)*N$2)</f>
        <v>0</v>
      </c>
      <c r="O47" s="35">
        <f>IF(ISBLANK('Personal Rankings'!M46),"",'Personal Rankings'!N46)</f>
        <v>99</v>
      </c>
    </row>
    <row r="48" spans="2:20" x14ac:dyDescent="0.35">
      <c r="G48" s="12">
        <f t="shared" si="1"/>
        <v>45</v>
      </c>
      <c r="H48" s="34" t="str">
        <f>IF(ISBLANK('Personal Rankings'!H47),"",'Personal Rankings'!H47)</f>
        <v>Chris Thompson JAC</v>
      </c>
      <c r="I48" s="62">
        <f ca="1">IF(ISBLANK('Personal Rankings'!H47),"",([1]RB!$AL$4*G48^5+[1]RB!$AM$4*G48^4+[1]RB!$AN$4*G48^3+[1]RB!$AO$4*G48^2+[1]RB!$AP$4*G48+[1]RB!$AQ$4-'Player Availability'!$BW$5)*I$2)</f>
        <v>13.047085633394909</v>
      </c>
      <c r="J48" s="35">
        <f>IF(ISBLANK('Personal Rankings'!H47),"",'Personal Rankings'!I47)</f>
        <v>140</v>
      </c>
      <c r="L48" s="12">
        <f t="shared" si="2"/>
        <v>45</v>
      </c>
      <c r="M48" s="34" t="str">
        <f>IF(ISBLANK('Personal Rankings'!M47),"",'Personal Rankings'!M47)</f>
        <v>Deebo Samuel SF</v>
      </c>
      <c r="N48" s="62">
        <f ca="1">IF(ISBLANK('Personal Rankings'!M47),"",([1]WR!$AL$4*L48^5+[1]WR!$AM$4*L48^4+[1]WR!$AN$4*L48^3+[1]WR!$AO$4*L48^2+[1]WR!$AP$4*L48+[1]WR!$AQ$4-'Player Availability'!$BW$6)*N$2)</f>
        <v>0</v>
      </c>
      <c r="O48" s="35">
        <f>IF(ISBLANK('Personal Rankings'!M47),"",'Personal Rankings'!N47)</f>
        <v>68</v>
      </c>
    </row>
    <row r="49" spans="7:15" x14ac:dyDescent="0.35">
      <c r="G49" s="12">
        <f t="shared" si="1"/>
        <v>46</v>
      </c>
      <c r="H49" s="34" t="str">
        <f>IF(ISBLANK('Personal Rankings'!H48),"",'Personal Rankings'!H48)</f>
        <v>Alexander Mattison MIN</v>
      </c>
      <c r="I49" s="62">
        <f ca="1">IF(ISBLANK('Personal Rankings'!H48),"",([1]RB!$AL$4*G49^5+[1]RB!$AM$4*G49^4+[1]RB!$AN$4*G49^3+[1]RB!$AO$4*G49^2+[1]RB!$AP$4*G49+[1]RB!$AQ$4-'Player Availability'!$BW$5)*I$2)</f>
        <v>12.782519801376418</v>
      </c>
      <c r="J49" s="35">
        <f>IF(ISBLANK('Personal Rankings'!H48),"",'Personal Rankings'!I48)</f>
        <v>103</v>
      </c>
      <c r="L49" s="12">
        <f t="shared" si="2"/>
        <v>46</v>
      </c>
      <c r="M49" s="34" t="str">
        <f>IF(ISBLANK('Personal Rankings'!M48),"",'Personal Rankings'!M48)</f>
        <v>Darius Slayton NYG</v>
      </c>
      <c r="N49" s="62">
        <f ca="1">IF(ISBLANK('Personal Rankings'!M48),"",([1]WR!$AL$4*L49^5+[1]WR!$AM$4*L49^4+[1]WR!$AN$4*L49^3+[1]WR!$AO$4*L49^2+[1]WR!$AP$4*L49+[1]WR!$AQ$4-'Player Availability'!$BW$6)*N$2)</f>
        <v>0</v>
      </c>
      <c r="O49" s="35">
        <f>IF(ISBLANK('Personal Rankings'!M48),"",'Personal Rankings'!N48)</f>
        <v>96</v>
      </c>
    </row>
    <row r="50" spans="7:15" x14ac:dyDescent="0.35">
      <c r="G50" s="12">
        <f t="shared" si="1"/>
        <v>47</v>
      </c>
      <c r="H50" s="34" t="str">
        <f>IF(ISBLANK('Personal Rankings'!H49),"",'Personal Rankings'!H49)</f>
        <v>Tony Pollard DAL</v>
      </c>
      <c r="I50" s="62">
        <f ca="1">IF(ISBLANK('Personal Rankings'!H49),"",([1]RB!$AL$4*G50^5+[1]RB!$AM$4*G50^4+[1]RB!$AN$4*G50^3+[1]RB!$AO$4*G50^2+[1]RB!$AP$4*G50+[1]RB!$AQ$4-'Player Availability'!$BW$5)*I$2)</f>
        <v>12.517066927134398</v>
      </c>
      <c r="J50" s="35">
        <f>IF(ISBLANK('Personal Rankings'!H49),"",'Personal Rankings'!I49)</f>
        <v>132</v>
      </c>
      <c r="L50" s="12">
        <f t="shared" si="2"/>
        <v>47</v>
      </c>
      <c r="M50" s="34" t="str">
        <f>IF(ISBLANK('Personal Rankings'!M49),"",'Personal Rankings'!M49)</f>
        <v>Jerry Jeudy DEN</v>
      </c>
      <c r="N50" s="62">
        <f ca="1">IF(ISBLANK('Personal Rankings'!M49),"",([1]WR!$AL$4*L50^5+[1]WR!$AM$4*L50^4+[1]WR!$AN$4*L50^3+[1]WR!$AO$4*L50^2+[1]WR!$AP$4*L50+[1]WR!$AQ$4-'Player Availability'!$BW$6)*N$2)</f>
        <v>0</v>
      </c>
      <c r="O50" s="35">
        <f>IF(ISBLANK('Personal Rankings'!M49),"",'Personal Rankings'!N49)</f>
        <v>107</v>
      </c>
    </row>
    <row r="51" spans="7:15" x14ac:dyDescent="0.35">
      <c r="G51" s="12">
        <f t="shared" si="1"/>
        <v>48</v>
      </c>
      <c r="H51" s="34" t="str">
        <f>IF(ISBLANK('Personal Rankings'!H50),"",'Personal Rankings'!H50)</f>
        <v>Duke Johnson HOU</v>
      </c>
      <c r="I51" s="62">
        <f ca="1">IF(ISBLANK('Personal Rankings'!H50),"",([1]RB!$AL$4*G51^5+[1]RB!$AM$4*G51^4+[1]RB!$AN$4*G51^3+[1]RB!$AO$4*G51^2+[1]RB!$AP$4*G51+[1]RB!$AQ$4-'Player Availability'!$BW$5)*I$2)</f>
        <v>12.251147735370843</v>
      </c>
      <c r="J51" s="35">
        <f>IF(ISBLANK('Personal Rankings'!H50),"",'Personal Rankings'!I50)</f>
        <v>128</v>
      </c>
      <c r="L51" s="12">
        <f t="shared" si="2"/>
        <v>48</v>
      </c>
      <c r="M51" s="34" t="str">
        <f>IF(ISBLANK('Personal Rankings'!M50),"",'Personal Rankings'!M50)</f>
        <v>Golden Tate NYG</v>
      </c>
      <c r="N51" s="62">
        <f ca="1">IF(ISBLANK('Personal Rankings'!M50),"",([1]WR!$AL$4*L51^5+[1]WR!$AM$4*L51^4+[1]WR!$AN$4*L51^3+[1]WR!$AO$4*L51^2+[1]WR!$AP$4*L51+[1]WR!$AQ$4-'Player Availability'!$BW$6)*N$2)</f>
        <v>0</v>
      </c>
      <c r="O51" s="35">
        <f>IF(ISBLANK('Personal Rankings'!M50),"",'Personal Rankings'!N50)</f>
        <v>97</v>
      </c>
    </row>
    <row r="52" spans="7:15" x14ac:dyDescent="0.35">
      <c r="G52" s="12">
        <f t="shared" si="1"/>
        <v>49</v>
      </c>
      <c r="H52" s="34" t="str">
        <f>IF(ISBLANK('Personal Rankings'!H51),"",'Personal Rankings'!H51)</f>
        <v>Devine Ozigbo JAC</v>
      </c>
      <c r="I52" s="62">
        <f ca="1">IF(ISBLANK('Personal Rankings'!H51),"",([1]RB!$AL$4*G52^5+[1]RB!$AM$4*G52^4+[1]RB!$AN$4*G52^3+[1]RB!$AO$4*G52^2+[1]RB!$AP$4*G52+[1]RB!$AQ$4-'Player Availability'!$BW$5)*I$2)</f>
        <v>11.98521872373699</v>
      </c>
      <c r="J52" s="35">
        <f>IF(ISBLANK('Personal Rankings'!H51),"",'Personal Rankings'!I51)</f>
        <v>142</v>
      </c>
      <c r="L52" s="12">
        <f t="shared" si="2"/>
        <v>49</v>
      </c>
      <c r="M52" s="34" t="str">
        <f>IF(ISBLANK('Personal Rankings'!M51),"",'Personal Rankings'!M51)</f>
        <v>Emmanuel Sanders NO</v>
      </c>
      <c r="N52" s="62">
        <f ca="1">IF(ISBLANK('Personal Rankings'!M51),"",([1]WR!$AL$4*L52^5+[1]WR!$AM$4*L52^4+[1]WR!$AN$4*L52^3+[1]WR!$AO$4*L52^2+[1]WR!$AP$4*L52+[1]WR!$AQ$4-'Player Availability'!$BW$6)*N$2)</f>
        <v>0</v>
      </c>
      <c r="O52" s="35">
        <f>IF(ISBLANK('Personal Rankings'!M51),"",'Personal Rankings'!N51)</f>
        <v>100</v>
      </c>
    </row>
    <row r="53" spans="7:15" x14ac:dyDescent="0.35">
      <c r="G53" s="12">
        <f t="shared" si="1"/>
        <v>50</v>
      </c>
      <c r="H53" s="34" t="str">
        <f>IF(ISBLANK('Personal Rankings'!H52),"",'Personal Rankings'!H52)</f>
        <v>Damien Harris NE</v>
      </c>
      <c r="I53" s="62">
        <f ca="1">IF(ISBLANK('Personal Rankings'!H52),"",([1]RB!$AL$4*G53^5+[1]RB!$AM$4*G53^4+[1]RB!$AN$4*G53^3+[1]RB!$AO$4*G53^2+[1]RB!$AP$4*G53+[1]RB!$AQ$4-'Player Availability'!$BW$5)*I$2)</f>
        <v>11.71976325676833</v>
      </c>
      <c r="J53" s="35">
        <f>IF(ISBLANK('Personal Rankings'!H52),"",'Personal Rankings'!I52)</f>
        <v>133</v>
      </c>
      <c r="L53" s="12">
        <f t="shared" si="2"/>
        <v>50</v>
      </c>
      <c r="M53" s="34" t="str">
        <f>IF(ISBLANK('Personal Rankings'!M52),"",'Personal Rankings'!M52)</f>
        <v>Preston Williams MIA</v>
      </c>
      <c r="N53" s="62">
        <f ca="1">IF(ISBLANK('Personal Rankings'!M52),"",([1]WR!$AL$4*L53^5+[1]WR!$AM$4*L53^4+[1]WR!$AN$4*L53^3+[1]WR!$AO$4*L53^2+[1]WR!$AP$4*L53+[1]WR!$AQ$4-'Player Availability'!$BW$6)*N$2)</f>
        <v>0</v>
      </c>
      <c r="O53" s="35">
        <f>IF(ISBLANK('Personal Rankings'!M52),"",'Personal Rankings'!N52)</f>
        <v>94</v>
      </c>
    </row>
    <row r="54" spans="7:15" x14ac:dyDescent="0.35">
      <c r="G54" s="12">
        <f t="shared" si="1"/>
        <v>51</v>
      </c>
      <c r="H54" s="34" t="str">
        <f>IF(ISBLANK('Personal Rankings'!H53),"",'Personal Rankings'!H53)</f>
        <v>Darrell Henderson Jr. LAR</v>
      </c>
      <c r="I54" s="62">
        <f ca="1">IF(ISBLANK('Personal Rankings'!H53),"",([1]RB!$AL$4*G54^5+[1]RB!$AM$4*G54^4+[1]RB!$AN$4*G54^3+[1]RB!$AO$4*G54^2+[1]RB!$AP$4*G54+[1]RB!$AQ$4-'Player Availability'!$BW$5)*I$2)</f>
        <v>11.455282659820023</v>
      </c>
      <c r="J54" s="35">
        <f>IF(ISBLANK('Personal Rankings'!H53),"",'Personal Rankings'!I53)</f>
        <v>104</v>
      </c>
      <c r="L54" s="12">
        <f t="shared" si="2"/>
        <v>51</v>
      </c>
      <c r="M54" s="34" t="str">
        <f>IF(ISBLANK('Personal Rankings'!M53),"",'Personal Rankings'!M53)</f>
        <v>Justin Jefferson MIN</v>
      </c>
      <c r="N54" s="62">
        <f ca="1">IF(ISBLANK('Personal Rankings'!M53),"",([1]WR!$AL$4*L54^5+[1]WR!$AM$4*L54^4+[1]WR!$AN$4*L54^3+[1]WR!$AO$4*L54^2+[1]WR!$AP$4*L54+[1]WR!$AQ$4-'Player Availability'!$BW$6)*N$2)</f>
        <v>0</v>
      </c>
      <c r="O54" s="35">
        <f>IF(ISBLANK('Personal Rankings'!M53),"",'Personal Rankings'!N53)</f>
        <v>145</v>
      </c>
    </row>
    <row r="55" spans="7:15" x14ac:dyDescent="0.35">
      <c r="G55" s="12">
        <f t="shared" si="1"/>
        <v>52</v>
      </c>
      <c r="H55" s="34" t="str">
        <f>IF(ISBLANK('Personal Rankings'!H54),"",'Personal Rankings'!H54)</f>
        <v>Chase Edmonds ARI</v>
      </c>
      <c r="I55" s="62">
        <f ca="1">IF(ISBLANK('Personal Rankings'!H54),"",([1]RB!$AL$4*G55^5+[1]RB!$AM$4*G55^4+[1]RB!$AN$4*G55^3+[1]RB!$AO$4*G55^2+[1]RB!$AP$4*G55+[1]RB!$AQ$4-'Player Availability'!$BW$5)*I$2)</f>
        <v>11.192287313001977</v>
      </c>
      <c r="J55" s="35">
        <f>IF(ISBLANK('Personal Rankings'!H54),"",'Personal Rankings'!I54)</f>
        <v>130</v>
      </c>
      <c r="L55" s="12">
        <f t="shared" si="2"/>
        <v>52</v>
      </c>
      <c r="M55" s="34" t="str">
        <f>IF(ISBLANK('Personal Rankings'!M54),"",'Personal Rankings'!M54)</f>
        <v>DeSean Jackson PHI</v>
      </c>
      <c r="N55" s="62">
        <f ca="1">IF(ISBLANK('Personal Rankings'!M54),"",([1]WR!$AL$4*L55^5+[1]WR!$AM$4*L55^4+[1]WR!$AN$4*L55^3+[1]WR!$AO$4*L55^2+[1]WR!$AP$4*L55+[1]WR!$AQ$4-'Player Availability'!$BW$6)*N$2)</f>
        <v>0</v>
      </c>
      <c r="O55" s="35">
        <f>IF(ISBLANK('Personal Rankings'!M54),"",'Personal Rankings'!N54)</f>
        <v>102</v>
      </c>
    </row>
    <row r="56" spans="7:15" x14ac:dyDescent="0.35">
      <c r="G56" s="12">
        <f t="shared" si="1"/>
        <v>53</v>
      </c>
      <c r="H56" s="34" t="str">
        <f>IF(ISBLANK('Personal Rankings'!H55),"",'Personal Rankings'!H55)</f>
        <v>Carlos Hyde SEA</v>
      </c>
      <c r="I56" s="62">
        <f ca="1">IF(ISBLANK('Personal Rankings'!H55),"",([1]RB!$AL$4*G56^5+[1]RB!$AM$4*G56^4+[1]RB!$AN$4*G56^3+[1]RB!$AO$4*G56^2+[1]RB!$AP$4*G56+[1]RB!$AQ$4-'Player Availability'!$BW$5)*I$2)</f>
        <v>10.931287745114265</v>
      </c>
      <c r="J56" s="35">
        <f>IF(ISBLANK('Personal Rankings'!H55),"",'Personal Rankings'!I55)</f>
        <v>199</v>
      </c>
      <c r="L56" s="12">
        <f t="shared" si="2"/>
        <v>53</v>
      </c>
      <c r="M56" s="34" t="str">
        <f>IF(ISBLANK('Personal Rankings'!M55),"",'Personal Rankings'!M55)</f>
        <v>Allen Lazard GB</v>
      </c>
      <c r="N56" s="62">
        <f ca="1">IF(ISBLANK('Personal Rankings'!M55),"",([1]WR!$AL$4*L56^5+[1]WR!$AM$4*L56^4+[1]WR!$AN$4*L56^3+[1]WR!$AO$4*L56^2+[1]WR!$AP$4*L56+[1]WR!$AQ$4-'Player Availability'!$BW$6)*N$2)</f>
        <v>0</v>
      </c>
      <c r="O56" s="35">
        <f>IF(ISBLANK('Personal Rankings'!M55),"",'Personal Rankings'!N55)</f>
        <v>153</v>
      </c>
    </row>
    <row r="57" spans="7:15" x14ac:dyDescent="0.35">
      <c r="G57" s="12">
        <f t="shared" si="1"/>
        <v>54</v>
      </c>
      <c r="H57" s="34" t="str">
        <f>IF(ISBLANK('Personal Rankings'!H56),"",'Personal Rankings'!H56)</f>
        <v>Ryquell Armstead JAC</v>
      </c>
      <c r="I57" s="62">
        <f ca="1">IF(ISBLANK('Personal Rankings'!H56),"",([1]RB!$AL$4*G57^5+[1]RB!$AM$4*G57^4+[1]RB!$AN$4*G57^3+[1]RB!$AO$4*G57^2+[1]RB!$AP$4*G57+[1]RB!$AQ$4-'Player Availability'!$BW$5)*I$2)</f>
        <v>10.672785727582278</v>
      </c>
      <c r="J57" s="35">
        <f>IF(ISBLANK('Personal Rankings'!H56),"",'Personal Rankings'!I56)</f>
        <v>158</v>
      </c>
      <c r="L57" s="12">
        <f t="shared" si="2"/>
        <v>54</v>
      </c>
      <c r="M57" s="34" t="str">
        <f>IF(ISBLANK('Personal Rankings'!M56),"",'Personal Rankings'!M56)</f>
        <v>Jalen Reagor PHI</v>
      </c>
      <c r="N57" s="62">
        <f ca="1">IF(ISBLANK('Personal Rankings'!M56),"",([1]WR!$AL$4*L57^5+[1]WR!$AM$4*L57^4+[1]WR!$AN$4*L57^3+[1]WR!$AO$4*L57^2+[1]WR!$AP$4*L57+[1]WR!$AQ$4-'Player Availability'!$BW$6)*N$2)</f>
        <v>0</v>
      </c>
      <c r="O57" s="35">
        <f>IF(ISBLANK('Personal Rankings'!M56),"",'Personal Rankings'!N56)</f>
        <v>150</v>
      </c>
    </row>
    <row r="58" spans="7:15" x14ac:dyDescent="0.35">
      <c r="G58" s="12">
        <f t="shared" si="1"/>
        <v>55</v>
      </c>
      <c r="H58" s="34" t="str">
        <f>IF(ISBLANK('Personal Rankings'!H57),"",'Personal Rankings'!H57)</f>
        <v>Nyheim Hines IND</v>
      </c>
      <c r="I58" s="62">
        <f ca="1">IF(ISBLANK('Personal Rankings'!H57),"",([1]RB!$AL$4*G58^5+[1]RB!$AM$4*G58^4+[1]RB!$AN$4*G58^3+[1]RB!$AO$4*G58^2+[1]RB!$AP$4*G58+[1]RB!$AQ$4-'Player Availability'!$BW$5)*I$2)</f>
        <v>10.417265368391918</v>
      </c>
      <c r="J58" s="35">
        <f>IF(ISBLANK('Personal Rankings'!H57),"",'Personal Rankings'!I57)</f>
        <v>144</v>
      </c>
      <c r="L58" s="12">
        <f t="shared" si="2"/>
        <v>55</v>
      </c>
      <c r="M58" s="34" t="str">
        <f>IF(ISBLANK('Personal Rankings'!M57),"",'Personal Rankings'!M57)</f>
        <v>Brandon Aiyuk SF</v>
      </c>
      <c r="N58" s="62">
        <f ca="1">IF(ISBLANK('Personal Rankings'!M57),"",([1]WR!$AL$4*L58^5+[1]WR!$AM$4*L58^4+[1]WR!$AN$4*L58^3+[1]WR!$AO$4*L58^2+[1]WR!$AP$4*L58+[1]WR!$AQ$4-'Player Availability'!$BW$6)*N$2)</f>
        <v>0</v>
      </c>
      <c r="O58" s="35">
        <f>IF(ISBLANK('Personal Rankings'!M57),"",'Personal Rankings'!N57)</f>
        <v>146</v>
      </c>
    </row>
    <row r="59" spans="7:15" x14ac:dyDescent="0.35">
      <c r="G59" s="12">
        <f t="shared" si="1"/>
        <v>56</v>
      </c>
      <c r="H59" s="34" t="str">
        <f>IF(ISBLANK('Personal Rankings'!H58),"",'Personal Rankings'!H58)</f>
        <v>Giovani Bernard CIN</v>
      </c>
      <c r="I59" s="62">
        <f ca="1">IF(ISBLANK('Personal Rankings'!H58),"",([1]RB!$AL$4*G59^5+[1]RB!$AM$4*G59^4+[1]RB!$AN$4*G59^3+[1]RB!$AO$4*G59^2+[1]RB!$AP$4*G59+[1]RB!$AQ$4-'Player Availability'!$BW$5)*I$2)</f>
        <v>10.165184206024993</v>
      </c>
      <c r="J59" s="35">
        <f>IF(ISBLANK('Personal Rankings'!H58),"",'Personal Rankings'!I58)</f>
        <v>207</v>
      </c>
      <c r="L59" s="12">
        <f t="shared" si="2"/>
        <v>56</v>
      </c>
      <c r="M59" s="34" t="str">
        <f>IF(ISBLANK('Personal Rankings'!M58),"",'Personal Rankings'!M58)</f>
        <v>Mike Williams LAC</v>
      </c>
      <c r="N59" s="62">
        <f ca="1">IF(ISBLANK('Personal Rankings'!M58),"",([1]WR!$AL$4*L59^5+[1]WR!$AM$4*L59^4+[1]WR!$AN$4*L59^3+[1]WR!$AO$4*L59^2+[1]WR!$AP$4*L59+[1]WR!$AQ$4-'Player Availability'!$BW$6)*N$2)</f>
        <v>0</v>
      </c>
      <c r="O59" s="35">
        <f>IF(ISBLANK('Personal Rankings'!M58),"",'Personal Rankings'!N58)</f>
        <v>108</v>
      </c>
    </row>
    <row r="60" spans="7:15" x14ac:dyDescent="0.35">
      <c r="G60" s="12">
        <f t="shared" si="1"/>
        <v>57</v>
      </c>
      <c r="H60" s="34" t="str">
        <f>IF(ISBLANK('Personal Rankings'!H59),"",'Personal Rankings'!H59)</f>
        <v>Bryce Love WAS</v>
      </c>
      <c r="I60" s="62">
        <f ca="1">IF(ISBLANK('Personal Rankings'!H59),"",([1]RB!$AL$4*G60^5+[1]RB!$AM$4*G60^4+[1]RB!$AN$4*G60^3+[1]RB!$AO$4*G60^2+[1]RB!$AP$4*G60+[1]RB!$AQ$4-'Player Availability'!$BW$5)*I$2)</f>
        <v>9.9169643033943213</v>
      </c>
      <c r="J60" s="35">
        <f>IF(ISBLANK('Personal Rankings'!H59),"",'Personal Rankings'!I59)</f>
        <v>201</v>
      </c>
      <c r="L60" s="12">
        <f t="shared" si="2"/>
        <v>57</v>
      </c>
      <c r="M60" s="34" t="str">
        <f>IF(ISBLANK('Personal Rankings'!M59),"",'Personal Rankings'!M59)</f>
        <v>Sammy Watkins KC</v>
      </c>
      <c r="N60" s="62">
        <f ca="1">IF(ISBLANK('Personal Rankings'!M59),"",([1]WR!$AL$4*L60^5+[1]WR!$AM$4*L60^4+[1]WR!$AN$4*L60^3+[1]WR!$AO$4*L60^2+[1]WR!$AP$4*L60+[1]WR!$AQ$4-'Player Availability'!$BW$6)*N$2)</f>
        <v>0</v>
      </c>
      <c r="O60" s="35">
        <f>IF(ISBLANK('Personal Rankings'!M59),"",'Personal Rankings'!N59)</f>
        <v>147</v>
      </c>
    </row>
    <row r="61" spans="7:15" x14ac:dyDescent="0.35">
      <c r="G61" s="12">
        <f t="shared" si="1"/>
        <v>58</v>
      </c>
      <c r="H61" s="34" t="str">
        <f>IF(ISBLANK('Personal Rankings'!H60),"",'Personal Rankings'!H60)</f>
        <v>Darrel Williams KC</v>
      </c>
      <c r="I61" s="62">
        <f ca="1">IF(ISBLANK('Personal Rankings'!H60),"",([1]RB!$AL$4*G61^5+[1]RB!$AM$4*G61^4+[1]RB!$AN$4*G61^3+[1]RB!$AO$4*G61^2+[1]RB!$AP$4*G61+[1]RB!$AQ$4-'Player Availability'!$BW$5)*I$2)</f>
        <v>9.6729833417789237</v>
      </c>
      <c r="J61" s="35">
        <f>IF(ISBLANK('Personal Rankings'!H60),"",'Personal Rankings'!I60)</f>
        <v>200</v>
      </c>
      <c r="L61" s="12">
        <f t="shared" si="2"/>
        <v>58</v>
      </c>
      <c r="M61" s="34" t="str">
        <f>IF(ISBLANK('Personal Rankings'!M60),"",'Personal Rankings'!M60)</f>
        <v>Parris Campbell IND</v>
      </c>
      <c r="N61" s="62">
        <f ca="1">IF(ISBLANK('Personal Rankings'!M60),"",([1]WR!$AL$4*L61^5+[1]WR!$AM$4*L61^4+[1]WR!$AN$4*L61^3+[1]WR!$AO$4*L61^2+[1]WR!$AP$4*L61+[1]WR!$AQ$4-'Player Availability'!$BW$6)*N$2)</f>
        <v>0</v>
      </c>
      <c r="O61" s="35">
        <f>IF(ISBLANK('Personal Rankings'!M60),"",'Personal Rankings'!N60)</f>
        <v>126</v>
      </c>
    </row>
    <row r="62" spans="7:15" x14ac:dyDescent="0.35">
      <c r="G62" s="12">
        <f t="shared" si="1"/>
        <v>59</v>
      </c>
      <c r="H62" s="34" t="str">
        <f>IF(ISBLANK('Personal Rankings'!H61),"",'Personal Rankings'!H61)</f>
        <v>Darrynton Evans TEN</v>
      </c>
      <c r="I62" s="62">
        <f ca="1">IF(ISBLANK('Personal Rankings'!H61),"",([1]RB!$AL$4*G62^5+[1]RB!$AM$4*G62^4+[1]RB!$AN$4*G62^3+[1]RB!$AO$4*G62^2+[1]RB!$AP$4*G62+[1]RB!$AQ$4-'Player Availability'!$BW$5)*I$2)</f>
        <v>9.4335657147595153</v>
      </c>
      <c r="J62" s="35">
        <f>IF(ISBLANK('Personal Rankings'!H61),"",'Personal Rankings'!I61)</f>
        <v>156</v>
      </c>
      <c r="L62" s="12">
        <f t="shared" si="2"/>
        <v>59</v>
      </c>
      <c r="M62" s="34" t="str">
        <f>IF(ISBLANK('Personal Rankings'!M61),"",'Personal Rankings'!M61)</f>
        <v>Mecole Hardman KC</v>
      </c>
      <c r="N62" s="62">
        <f ca="1">IF(ISBLANK('Personal Rankings'!M61),"",([1]WR!$AL$4*L62^5+[1]WR!$AM$4*L62^4+[1]WR!$AN$4*L62^3+[1]WR!$AO$4*L62^2+[1]WR!$AP$4*L62+[1]WR!$AQ$4-'Player Availability'!$BW$6)*N$2)</f>
        <v>0</v>
      </c>
      <c r="O62" s="35">
        <f>IF(ISBLANK('Personal Rankings'!M61),"",'Personal Rankings'!N61)</f>
        <v>123</v>
      </c>
    </row>
    <row r="63" spans="7:15" x14ac:dyDescent="0.35">
      <c r="G63" s="12">
        <f t="shared" si="1"/>
        <v>60</v>
      </c>
      <c r="H63" s="34" t="str">
        <f>IF(ISBLANK('Personal Rankings'!H62),"",'Personal Rankings'!H62)</f>
        <v>AJ Dillon GB</v>
      </c>
      <c r="I63" s="62">
        <f ca="1">IF(ISBLANK('Personal Rankings'!H62),"",([1]RB!$AL$4*G63^5+[1]RB!$AM$4*G63^4+[1]RB!$AN$4*G63^3+[1]RB!$AO$4*G63^2+[1]RB!$AP$4*G63+[1]RB!$AQ$4-'Player Availability'!$BW$5)*I$2)</f>
        <v>9.1989736221535168</v>
      </c>
      <c r="J63" s="35">
        <f>IF(ISBLANK('Personal Rankings'!H62),"",'Personal Rankings'!I62)</f>
        <v>161</v>
      </c>
      <c r="L63" s="12">
        <f t="shared" si="2"/>
        <v>60</v>
      </c>
      <c r="M63" s="34" t="str">
        <f>IF(ISBLANK('Personal Rankings'!M62),"",'Personal Rankings'!M62)</f>
        <v>N'Keal Harry NE</v>
      </c>
      <c r="N63" s="62">
        <f ca="1">IF(ISBLANK('Personal Rankings'!M62),"",([1]WR!$AL$4*L63^5+[1]WR!$AM$4*L63^4+[1]WR!$AN$4*L63^3+[1]WR!$AO$4*L63^2+[1]WR!$AP$4*L63+[1]WR!$AQ$4-'Player Availability'!$BW$6)*N$2)</f>
        <v>0</v>
      </c>
      <c r="O63" s="35">
        <f>IF(ISBLANK('Personal Rankings'!M62),"",'Personal Rankings'!N62)</f>
        <v>124</v>
      </c>
    </row>
    <row r="64" spans="7:15" x14ac:dyDescent="0.35">
      <c r="G64" s="12">
        <f t="shared" si="1"/>
        <v>61</v>
      </c>
      <c r="H64" s="34" t="str">
        <f>IF(ISBLANK('Personal Rankings'!H63),"",'Personal Rankings'!H63)</f>
        <v>Justin Jackson LAC</v>
      </c>
      <c r="I64" s="62">
        <f ca="1">IF(ISBLANK('Personal Rankings'!H63),"",([1]RB!$AL$4*G64^5+[1]RB!$AM$4*G64^4+[1]RB!$AN$4*G64^3+[1]RB!$AO$4*G64^2+[1]RB!$AP$4*G64+[1]RB!$AQ$4-'Player Availability'!$BW$5)*I$2)</f>
        <v>8.9693981639503821</v>
      </c>
      <c r="J64" s="35">
        <f>IF(ISBLANK('Personal Rankings'!H63),"",'Personal Rankings'!I63)</f>
        <v>139</v>
      </c>
      <c r="L64" s="12">
        <f t="shared" si="2"/>
        <v>61</v>
      </c>
      <c r="M64" s="34" t="str">
        <f>IF(ISBLANK('Personal Rankings'!M63),"",'Personal Rankings'!M63)</f>
        <v>Breshad Perriman NYJ</v>
      </c>
      <c r="N64" s="62">
        <f ca="1">IF(ISBLANK('Personal Rankings'!M63),"",([1]WR!$AL$4*L64^5+[1]WR!$AM$4*L64^4+[1]WR!$AN$4*L64^3+[1]WR!$AO$4*L64^2+[1]WR!$AP$4*L64+[1]WR!$AQ$4-'Player Availability'!$BW$6)*N$2)</f>
        <v>0</v>
      </c>
      <c r="O64" s="35">
        <f>IF(ISBLANK('Personal Rankings'!M63),"",'Personal Rankings'!N63)</f>
        <v>106</v>
      </c>
    </row>
    <row r="65" spans="2:15" x14ac:dyDescent="0.35">
      <c r="G65" s="12">
        <f t="shared" si="1"/>
        <v>62</v>
      </c>
      <c r="H65" s="34" t="str">
        <f>IF(ISBLANK('Personal Rankings'!H64),"",'Personal Rankings'!H64)</f>
        <v>Joshua Kelley LAC</v>
      </c>
      <c r="I65" s="62">
        <f ca="1">IF(ISBLANK('Personal Rankings'!H64),"",([1]RB!$AL$4*G65^5+[1]RB!$AM$4*G65^4+[1]RB!$AN$4*G65^3+[1]RB!$AO$4*G65^2+[1]RB!$AP$4*G65+[1]RB!$AQ$4-'Player Availability'!$BW$5)*I$2)</f>
        <v>8.7449504342468352</v>
      </c>
      <c r="J65" s="35">
        <f>IF(ISBLANK('Personal Rankings'!H64),"",'Personal Rankings'!I64)</f>
        <v>159</v>
      </c>
      <c r="L65" s="12">
        <f t="shared" si="2"/>
        <v>62</v>
      </c>
      <c r="M65" s="34" t="str">
        <f>IF(ISBLANK('Personal Rankings'!M64),"",'Personal Rankings'!M64)</f>
        <v>Robby Anderson CAR</v>
      </c>
      <c r="N65" s="62">
        <f ca="1">IF(ISBLANK('Personal Rankings'!M64),"",([1]WR!$AL$4*L65^5+[1]WR!$AM$4*L65^4+[1]WR!$AN$4*L65^3+[1]WR!$AO$4*L65^2+[1]WR!$AP$4*L65+[1]WR!$AQ$4-'Player Availability'!$BW$6)*N$2)</f>
        <v>0</v>
      </c>
      <c r="O65" s="35">
        <f>IF(ISBLANK('Personal Rankings'!M64),"",'Personal Rankings'!N64)</f>
        <v>98</v>
      </c>
    </row>
    <row r="66" spans="2:15" x14ac:dyDescent="0.35">
      <c r="G66" s="12">
        <f t="shared" si="1"/>
        <v>63</v>
      </c>
      <c r="H66" s="34" t="str">
        <f>IF(ISBLANK('Personal Rankings'!H65),"",'Personal Rankings'!H65)</f>
        <v/>
      </c>
      <c r="I66" s="62" t="str">
        <f>IF(ISBLANK('Personal Rankings'!H65),"",([1]RB!$AL$4*G66^5+[1]RB!$AM$4*G66^4+[1]RB!$AN$4*G66^3+[1]RB!$AO$4*G66^2+[1]RB!$AP$4*G66+[1]RB!$AQ$4-'Player Availability'!$BW$5)*I$2)</f>
        <v/>
      </c>
      <c r="J66" s="35" t="str">
        <f>IF(ISBLANK('Personal Rankings'!H65),"",'Personal Rankings'!I65)</f>
        <v/>
      </c>
      <c r="L66" s="12">
        <f t="shared" si="2"/>
        <v>63</v>
      </c>
      <c r="M66" s="34" t="str">
        <f>IF(ISBLANK('Personal Rankings'!M65),"",'Personal Rankings'!M65)</f>
        <v>Curtis Samuel CAR</v>
      </c>
      <c r="N66" s="62">
        <f ca="1">IF(ISBLANK('Personal Rankings'!M65),"",([1]WR!$AL$4*L66^5+[1]WR!$AM$4*L66^4+[1]WR!$AN$4*L66^3+[1]WR!$AO$4*L66^2+[1]WR!$AP$4*L66+[1]WR!$AQ$4-'Player Availability'!$BW$6)*N$2)</f>
        <v>0</v>
      </c>
      <c r="O66" s="35">
        <f>IF(ISBLANK('Personal Rankings'!M65),"",'Personal Rankings'!N65)</f>
        <v>125</v>
      </c>
    </row>
    <row r="67" spans="2:15" x14ac:dyDescent="0.35">
      <c r="G67" s="12">
        <f t="shared" si="1"/>
        <v>64</v>
      </c>
      <c r="H67" s="34" t="str">
        <f>IF(ISBLANK('Personal Rankings'!H66),"",'Personal Rankings'!H66)</f>
        <v/>
      </c>
      <c r="I67" s="62" t="str">
        <f>IF(ISBLANK('Personal Rankings'!H66),"",([1]RB!$AL$4*G67^5+[1]RB!$AM$4*G67^4+[1]RB!$AN$4*G67^3+[1]RB!$AO$4*G67^2+[1]RB!$AP$4*G67+[1]RB!$AQ$4-'Player Availability'!$BW$5)*I$2)</f>
        <v/>
      </c>
      <c r="J67" s="35" t="str">
        <f>IF(ISBLANK('Personal Rankings'!H66),"",'Personal Rankings'!I66)</f>
        <v/>
      </c>
      <c r="L67" s="12">
        <f t="shared" si="2"/>
        <v>64</v>
      </c>
      <c r="M67" s="34" t="str">
        <f>IF(ISBLANK('Personal Rankings'!M66),"",'Personal Rankings'!M66)</f>
        <v/>
      </c>
      <c r="N67" s="62" t="str">
        <f>IF(ISBLANK('Personal Rankings'!M66),"",([1]WR!$AL$4*L67^5+[1]WR!$AM$4*L67^4+[1]WR!$AN$4*L67^3+[1]WR!$AO$4*L67^2+[1]WR!$AP$4*L67+[1]WR!$AQ$4-'Player Availability'!$BW$6)*N$2)</f>
        <v/>
      </c>
      <c r="O67" s="35" t="str">
        <f>IF(ISBLANK('Personal Rankings'!M66),"",'Personal Rankings'!N66)</f>
        <v/>
      </c>
    </row>
    <row r="68" spans="2:15" x14ac:dyDescent="0.35">
      <c r="G68" s="12">
        <f t="shared" si="1"/>
        <v>65</v>
      </c>
      <c r="H68" s="34" t="str">
        <f>IF(ISBLANK('Personal Rankings'!H67),"",'Personal Rankings'!H67)</f>
        <v/>
      </c>
      <c r="I68" s="62" t="str">
        <f>IF(ISBLANK('Personal Rankings'!H67),"",([1]RB!$AL$4*G68^5+[1]RB!$AM$4*G68^4+[1]RB!$AN$4*G68^3+[1]RB!$AO$4*G68^2+[1]RB!$AP$4*G68+[1]RB!$AQ$4-'Player Availability'!$BW$5)*I$2)</f>
        <v/>
      </c>
      <c r="J68" s="35" t="str">
        <f>IF(ISBLANK('Personal Rankings'!H67),"",'Personal Rankings'!I67)</f>
        <v/>
      </c>
      <c r="L68" s="12">
        <f t="shared" si="2"/>
        <v>65</v>
      </c>
      <c r="M68" s="34" t="str">
        <f>IF(ISBLANK('Personal Rankings'!M67),"",'Personal Rankings'!M67)</f>
        <v/>
      </c>
      <c r="N68" s="62" t="str">
        <f>IF(ISBLANK('Personal Rankings'!M67),"",([1]WR!$AL$4*L68^5+[1]WR!$AM$4*L68^4+[1]WR!$AN$4*L68^3+[1]WR!$AO$4*L68^2+[1]WR!$AP$4*L68+[1]WR!$AQ$4-'Player Availability'!$BW$6)*N$2)</f>
        <v/>
      </c>
      <c r="O68" s="35" t="str">
        <f>IF(ISBLANK('Personal Rankings'!M67),"",'Personal Rankings'!N67)</f>
        <v/>
      </c>
    </row>
    <row r="69" spans="2:15" x14ac:dyDescent="0.35">
      <c r="G69" s="12">
        <f t="shared" si="1"/>
        <v>66</v>
      </c>
      <c r="H69" s="34" t="str">
        <f>IF(ISBLANK('Personal Rankings'!H68),"",'Personal Rankings'!H68)</f>
        <v/>
      </c>
      <c r="I69" s="62" t="str">
        <f>IF(ISBLANK('Personal Rankings'!H68),"",([1]RB!$AL$4*G69^5+[1]RB!$AM$4*G69^4+[1]RB!$AN$4*G69^3+[1]RB!$AO$4*G69^2+[1]RB!$AP$4*G69+[1]RB!$AQ$4-'Player Availability'!$BW$5)*I$2)</f>
        <v/>
      </c>
      <c r="J69" s="35" t="str">
        <f>IF(ISBLANK('Personal Rankings'!H68),"",'Personal Rankings'!I68)</f>
        <v/>
      </c>
      <c r="L69" s="12">
        <f t="shared" si="2"/>
        <v>66</v>
      </c>
      <c r="M69" s="34" t="str">
        <f>IF(ISBLANK('Personal Rankings'!M68),"",'Personal Rankings'!M68)</f>
        <v/>
      </c>
      <c r="N69" s="62" t="str">
        <f>IF(ISBLANK('Personal Rankings'!M68),"",([1]WR!$AL$4*L69^5+[1]WR!$AM$4*L69^4+[1]WR!$AN$4*L69^3+[1]WR!$AO$4*L69^2+[1]WR!$AP$4*L69+[1]WR!$AQ$4-'Player Availability'!$BW$6)*N$2)</f>
        <v/>
      </c>
      <c r="O69" s="35" t="str">
        <f>IF(ISBLANK('Personal Rankings'!M68),"",'Personal Rankings'!N68)</f>
        <v/>
      </c>
    </row>
    <row r="70" spans="2:15" x14ac:dyDescent="0.35">
      <c r="G70" s="12">
        <f t="shared" ref="G70:G77" si="6">G69+1</f>
        <v>67</v>
      </c>
      <c r="H70" s="34" t="str">
        <f>IF(ISBLANK('Personal Rankings'!H69),"",'Personal Rankings'!H69)</f>
        <v/>
      </c>
      <c r="I70" s="62" t="str">
        <f>IF(ISBLANK('Personal Rankings'!H69),"",([1]RB!$AL$4*G70^5+[1]RB!$AM$4*G70^4+[1]RB!$AN$4*G70^3+[1]RB!$AO$4*G70^2+[1]RB!$AP$4*G70+[1]RB!$AQ$4-'Player Availability'!$BW$5)*I$2)</f>
        <v/>
      </c>
      <c r="J70" s="35" t="str">
        <f>IF(ISBLANK('Personal Rankings'!H69),"",'Personal Rankings'!I69)</f>
        <v/>
      </c>
      <c r="L70" s="12">
        <f t="shared" ref="L70:L77" si="7">L69+1</f>
        <v>67</v>
      </c>
      <c r="M70" s="34" t="str">
        <f>IF(ISBLANK('Personal Rankings'!M69),"",'Personal Rankings'!M69)</f>
        <v/>
      </c>
      <c r="N70" s="62" t="str">
        <f>IF(ISBLANK('Personal Rankings'!M69),"",([1]WR!$AL$4*L70^5+[1]WR!$AM$4*L70^4+[1]WR!$AN$4*L70^3+[1]WR!$AO$4*L70^2+[1]WR!$AP$4*L70+[1]WR!$AQ$4-'Player Availability'!$BW$6)*N$2)</f>
        <v/>
      </c>
      <c r="O70" s="35" t="str">
        <f>IF(ISBLANK('Personal Rankings'!M69),"",'Personal Rankings'!N69)</f>
        <v/>
      </c>
    </row>
    <row r="71" spans="2:15" x14ac:dyDescent="0.35">
      <c r="G71" s="12">
        <f t="shared" si="6"/>
        <v>68</v>
      </c>
      <c r="H71" s="34" t="str">
        <f>IF(ISBLANK('Personal Rankings'!H70),"",'Personal Rankings'!H70)</f>
        <v/>
      </c>
      <c r="I71" s="62" t="str">
        <f>IF(ISBLANK('Personal Rankings'!H70),"",([1]RB!$AL$4*G71^5+[1]RB!$AM$4*G71^4+[1]RB!$AN$4*G71^3+[1]RB!$AO$4*G71^2+[1]RB!$AP$4*G71+[1]RB!$AQ$4-'Player Availability'!$BW$5)*I$2)</f>
        <v/>
      </c>
      <c r="J71" s="35" t="str">
        <f>IF(ISBLANK('Personal Rankings'!H70),"",'Personal Rankings'!I70)</f>
        <v/>
      </c>
      <c r="L71" s="12">
        <f t="shared" si="7"/>
        <v>68</v>
      </c>
      <c r="M71" s="34" t="str">
        <f>IF(ISBLANK('Personal Rankings'!M70),"",'Personal Rankings'!M70)</f>
        <v/>
      </c>
      <c r="N71" s="62" t="str">
        <f>IF(ISBLANK('Personal Rankings'!M70),"",([1]WR!$AL$4*L71^5+[1]WR!$AM$4*L71^4+[1]WR!$AN$4*L71^3+[1]WR!$AO$4*L71^2+[1]WR!$AP$4*L71+[1]WR!$AQ$4-'Player Availability'!$BW$6)*N$2)</f>
        <v/>
      </c>
      <c r="O71" s="35" t="str">
        <f>IF(ISBLANK('Personal Rankings'!M70),"",'Personal Rankings'!N70)</f>
        <v/>
      </c>
    </row>
    <row r="72" spans="2:15" x14ac:dyDescent="0.35">
      <c r="G72" s="12">
        <f t="shared" si="6"/>
        <v>69</v>
      </c>
      <c r="H72" s="34" t="str">
        <f>IF(ISBLANK('Personal Rankings'!H71),"",'Personal Rankings'!H71)</f>
        <v/>
      </c>
      <c r="I72" s="62" t="str">
        <f>IF(ISBLANK('Personal Rankings'!H71),"",([1]RB!$AL$4*G72^5+[1]RB!$AM$4*G72^4+[1]RB!$AN$4*G72^3+[1]RB!$AO$4*G72^2+[1]RB!$AP$4*G72+[1]RB!$AQ$4-'Player Availability'!$BW$5)*I$2)</f>
        <v/>
      </c>
      <c r="J72" s="35" t="str">
        <f>IF(ISBLANK('Personal Rankings'!H71),"",'Personal Rankings'!I71)</f>
        <v/>
      </c>
      <c r="L72" s="12">
        <f t="shared" si="7"/>
        <v>69</v>
      </c>
      <c r="M72" s="34" t="str">
        <f>IF(ISBLANK('Personal Rankings'!M71),"",'Personal Rankings'!M71)</f>
        <v/>
      </c>
      <c r="N72" s="62" t="str">
        <f>IF(ISBLANK('Personal Rankings'!M71),"",([1]WR!$AL$4*L72^5+[1]WR!$AM$4*L72^4+[1]WR!$AN$4*L72^3+[1]WR!$AO$4*L72^2+[1]WR!$AP$4*L72+[1]WR!$AQ$4-'Player Availability'!$BW$6)*N$2)</f>
        <v/>
      </c>
      <c r="O72" s="35" t="str">
        <f>IF(ISBLANK('Personal Rankings'!M71),"",'Personal Rankings'!N71)</f>
        <v/>
      </c>
    </row>
    <row r="73" spans="2:15" x14ac:dyDescent="0.35">
      <c r="G73" s="12">
        <f t="shared" si="6"/>
        <v>70</v>
      </c>
      <c r="H73" s="34" t="str">
        <f>IF(ISBLANK('Personal Rankings'!H72),"",'Personal Rankings'!H72)</f>
        <v/>
      </c>
      <c r="I73" s="62" t="str">
        <f>IF(ISBLANK('Personal Rankings'!H72),"",([1]RB!$AL$4*G73^5+[1]RB!$AM$4*G73^4+[1]RB!$AN$4*G73^3+[1]RB!$AO$4*G73^2+[1]RB!$AP$4*G73+[1]RB!$AQ$4-'Player Availability'!$BW$5)*I$2)</f>
        <v/>
      </c>
      <c r="J73" s="35" t="str">
        <f>IF(ISBLANK('Personal Rankings'!H72),"",'Personal Rankings'!I72)</f>
        <v/>
      </c>
      <c r="L73" s="12">
        <f t="shared" si="7"/>
        <v>70</v>
      </c>
      <c r="M73" s="34" t="str">
        <f>IF(ISBLANK('Personal Rankings'!M72),"",'Personal Rankings'!M72)</f>
        <v/>
      </c>
      <c r="N73" s="62" t="str">
        <f>IF(ISBLANK('Personal Rankings'!M72),"",([1]WR!$AL$4*L73^5+[1]WR!$AM$4*L73^4+[1]WR!$AN$4*L73^3+[1]WR!$AO$4*L73^2+[1]WR!$AP$4*L73+[1]WR!$AQ$4-'Player Availability'!$BW$6)*N$2)</f>
        <v/>
      </c>
      <c r="O73" s="35" t="str">
        <f>IF(ISBLANK('Personal Rankings'!M72),"",'Personal Rankings'!N72)</f>
        <v/>
      </c>
    </row>
    <row r="74" spans="2:15" x14ac:dyDescent="0.35">
      <c r="G74" s="12">
        <f t="shared" si="6"/>
        <v>71</v>
      </c>
      <c r="H74" s="34" t="str">
        <f>IF(ISBLANK('Personal Rankings'!H73),"",'Personal Rankings'!H73)</f>
        <v/>
      </c>
      <c r="I74" s="62" t="str">
        <f>IF(ISBLANK('Personal Rankings'!H73),"",([1]RB!$AL$4*G74^5+[1]RB!$AM$4*G74^4+[1]RB!$AN$4*G74^3+[1]RB!$AO$4*G74^2+[1]RB!$AP$4*G74+[1]RB!$AQ$4-'Player Availability'!$BW$5)*I$2)</f>
        <v/>
      </c>
      <c r="J74" s="35" t="str">
        <f>IF(ISBLANK('Personal Rankings'!H73),"",'Personal Rankings'!I73)</f>
        <v/>
      </c>
      <c r="L74" s="12">
        <f t="shared" si="7"/>
        <v>71</v>
      </c>
      <c r="M74" s="34" t="str">
        <f>IF(ISBLANK('Personal Rankings'!M73),"",'Personal Rankings'!M73)</f>
        <v/>
      </c>
      <c r="N74" s="62" t="str">
        <f>IF(ISBLANK('Personal Rankings'!M73),"",([1]WR!$AL$4*L74^5+[1]WR!$AM$4*L74^4+[1]WR!$AN$4*L74^3+[1]WR!$AO$4*L74^2+[1]WR!$AP$4*L74+[1]WR!$AQ$4-'Player Availability'!$BW$6)*N$2)</f>
        <v/>
      </c>
      <c r="O74" s="35" t="str">
        <f>IF(ISBLANK('Personal Rankings'!M73),"",'Personal Rankings'!N73)</f>
        <v/>
      </c>
    </row>
    <row r="75" spans="2:15" x14ac:dyDescent="0.35">
      <c r="G75" s="12">
        <f t="shared" si="6"/>
        <v>72</v>
      </c>
      <c r="H75" s="34" t="str">
        <f>IF(ISBLANK('Personal Rankings'!H74),"",'Personal Rankings'!H74)</f>
        <v/>
      </c>
      <c r="I75" s="62" t="str">
        <f>IF(ISBLANK('Personal Rankings'!H74),"",([1]RB!$AL$4*G75^5+[1]RB!$AM$4*G75^4+[1]RB!$AN$4*G75^3+[1]RB!$AO$4*G75^2+[1]RB!$AP$4*G75+[1]RB!$AQ$4-'Player Availability'!$BW$5)*I$2)</f>
        <v/>
      </c>
      <c r="J75" s="35" t="str">
        <f>IF(ISBLANK('Personal Rankings'!H74),"",'Personal Rankings'!I74)</f>
        <v/>
      </c>
      <c r="L75" s="12">
        <f t="shared" si="7"/>
        <v>72</v>
      </c>
      <c r="M75" s="34" t="str">
        <f>IF(ISBLANK('Personal Rankings'!M74),"",'Personal Rankings'!M74)</f>
        <v/>
      </c>
      <c r="N75" s="62" t="str">
        <f>IF(ISBLANK('Personal Rankings'!M74),"",([1]WR!$AL$4*L75^5+[1]WR!$AM$4*L75^4+[1]WR!$AN$4*L75^3+[1]WR!$AO$4*L75^2+[1]WR!$AP$4*L75+[1]WR!$AQ$4-'Player Availability'!$BW$6)*N$2)</f>
        <v/>
      </c>
      <c r="O75" s="35" t="str">
        <f>IF(ISBLANK('Personal Rankings'!M74),"",'Personal Rankings'!N74)</f>
        <v/>
      </c>
    </row>
    <row r="76" spans="2:15" x14ac:dyDescent="0.35">
      <c r="G76" s="12">
        <f t="shared" si="6"/>
        <v>73</v>
      </c>
      <c r="H76" s="34" t="str">
        <f>IF(ISBLANK('Personal Rankings'!H75),"",'Personal Rankings'!H75)</f>
        <v/>
      </c>
      <c r="I76" s="62" t="str">
        <f>IF(ISBLANK('Personal Rankings'!H75),"",([1]RB!$AL$4*G76^5+[1]RB!$AM$4*G76^4+[1]RB!$AN$4*G76^3+[1]RB!$AO$4*G76^2+[1]RB!$AP$4*G76+[1]RB!$AQ$4-'Player Availability'!$BW$5)*I$2)</f>
        <v/>
      </c>
      <c r="J76" s="35" t="str">
        <f>IF(ISBLANK('Personal Rankings'!H75),"",'Personal Rankings'!I75)</f>
        <v/>
      </c>
      <c r="L76" s="12">
        <f t="shared" si="7"/>
        <v>73</v>
      </c>
      <c r="M76" s="34" t="str">
        <f>IF(ISBLANK('Personal Rankings'!M75),"",'Personal Rankings'!M75)</f>
        <v/>
      </c>
      <c r="N76" s="62" t="str">
        <f>IF(ISBLANK('Personal Rankings'!M75),"",([1]WR!$AL$4*L76^5+[1]WR!$AM$4*L76^4+[1]WR!$AN$4*L76^3+[1]WR!$AO$4*L76^2+[1]WR!$AP$4*L76+[1]WR!$AQ$4-'Player Availability'!$BW$6)*N$2)</f>
        <v/>
      </c>
      <c r="O76" s="35" t="str">
        <f>IF(ISBLANK('Personal Rankings'!M75),"",'Personal Rankings'!N75)</f>
        <v/>
      </c>
    </row>
    <row r="77" spans="2:15" x14ac:dyDescent="0.35">
      <c r="G77" s="12">
        <f t="shared" si="6"/>
        <v>74</v>
      </c>
      <c r="H77" s="34" t="str">
        <f>IF(ISBLANK('Personal Rankings'!H76),"",'Personal Rankings'!H76)</f>
        <v/>
      </c>
      <c r="I77" s="62" t="str">
        <f>IF(ISBLANK('Personal Rankings'!H76),"",([1]RB!$AL$4*G77^5+[1]RB!$AM$4*G77^4+[1]RB!$AN$4*G77^3+[1]RB!$AO$4*G77^2+[1]RB!$AP$4*G77+[1]RB!$AQ$4-'Player Availability'!$BW$5)*I$2)</f>
        <v/>
      </c>
      <c r="J77" s="35" t="str">
        <f>IF(ISBLANK('Personal Rankings'!H76),"",'Personal Rankings'!I76)</f>
        <v/>
      </c>
      <c r="L77" s="12">
        <f t="shared" si="7"/>
        <v>74</v>
      </c>
      <c r="M77" s="34" t="str">
        <f>IF(ISBLANK('Personal Rankings'!M76),"",'Personal Rankings'!M76)</f>
        <v/>
      </c>
      <c r="N77" s="62" t="str">
        <f>IF(ISBLANK('Personal Rankings'!M76),"",([1]WR!$AL$4*L77^5+[1]WR!$AM$4*L77^4+[1]WR!$AN$4*L77^3+[1]WR!$AO$4*L77^2+[1]WR!$AP$4*L77+[1]WR!$AQ$4-'Player Availability'!$BW$6)*N$2)</f>
        <v/>
      </c>
      <c r="O77" s="35" t="str">
        <f>IF(ISBLANK('Personal Rankings'!M76),"",'Personal Rankings'!N76)</f>
        <v/>
      </c>
    </row>
    <row r="78" spans="2:15" ht="15" thickBot="1" x14ac:dyDescent="0.4">
      <c r="G78" s="13">
        <f>G77+1</f>
        <v>75</v>
      </c>
      <c r="H78" s="36" t="str">
        <f>IF(ISBLANK('Personal Rankings'!H77),"",'Personal Rankings'!H77)</f>
        <v/>
      </c>
      <c r="I78" s="62" t="str">
        <f>IF(ISBLANK('Personal Rankings'!H77),"",([1]RB!$AL$4*G78^5+[1]RB!$AM$4*G78^4+[1]RB!$AN$4*G78^3+[1]RB!$AO$4*G78^2+[1]RB!$AP$4*G78+[1]RB!$AQ$4-'Player Availability'!$BW$5)*I$2)</f>
        <v/>
      </c>
      <c r="J78" s="35" t="str">
        <f>IF(ISBLANK('Personal Rankings'!H77),"",'Personal Rankings'!I77)</f>
        <v/>
      </c>
      <c r="L78" s="13">
        <f>L77+1</f>
        <v>75</v>
      </c>
      <c r="M78" s="36" t="str">
        <f>IF(ISBLANK('Personal Rankings'!M77),"",'Personal Rankings'!M77)</f>
        <v/>
      </c>
      <c r="N78" s="62" t="str">
        <f>IF(ISBLANK('Personal Rankings'!M77),"",([1]WR!$AL$4*L78^5+[1]WR!$AM$4*L78^4+[1]WR!$AN$4*L78^3+[1]WR!$AO$4*L78^2+[1]WR!$AP$4*L78+[1]WR!$AQ$4-'Player Availability'!$BW$6)*N$2)</f>
        <v/>
      </c>
      <c r="O78" s="35" t="str">
        <f>IF(ISBLANK('Personal Rankings'!M77),"",'Personal Rankings'!N77)</f>
        <v/>
      </c>
    </row>
    <row r="80" spans="2:15" x14ac:dyDescent="0.35">
      <c r="B80" s="52"/>
      <c r="C80" s="52"/>
      <c r="D80" s="52"/>
      <c r="E80" s="52"/>
      <c r="F80" s="52"/>
    </row>
    <row r="81" spans="2:6" x14ac:dyDescent="0.35">
      <c r="B81" s="52"/>
      <c r="C81" s="52"/>
      <c r="D81" s="68"/>
      <c r="E81" s="52"/>
      <c r="F81" s="52"/>
    </row>
    <row r="82" spans="2:6" x14ac:dyDescent="0.35">
      <c r="B82" s="52"/>
      <c r="C82" s="52"/>
      <c r="D82" s="68"/>
      <c r="E82" s="52"/>
      <c r="F82" s="52"/>
    </row>
    <row r="83" spans="2:6" x14ac:dyDescent="0.35">
      <c r="B83" s="52"/>
      <c r="C83" s="52"/>
      <c r="D83" s="68"/>
      <c r="E83" s="52"/>
      <c r="F83" s="52"/>
    </row>
    <row r="84" spans="2:6" x14ac:dyDescent="0.35">
      <c r="B84" s="52"/>
      <c r="C84" s="52"/>
      <c r="D84" s="68"/>
      <c r="E84" s="52"/>
      <c r="F84" s="52"/>
    </row>
    <row r="85" spans="2:6" x14ac:dyDescent="0.35">
      <c r="B85" s="52"/>
      <c r="C85" s="52"/>
      <c r="D85" s="68"/>
      <c r="E85" s="52"/>
      <c r="F85" s="52"/>
    </row>
    <row r="86" spans="2:6" x14ac:dyDescent="0.35">
      <c r="B86" s="52"/>
      <c r="C86" s="52"/>
      <c r="D86" s="68"/>
      <c r="E86" s="52"/>
      <c r="F86" s="52"/>
    </row>
    <row r="87" spans="2:6" x14ac:dyDescent="0.35">
      <c r="B87" s="52"/>
      <c r="C87" s="52"/>
      <c r="D87" s="68"/>
      <c r="E87" s="52"/>
      <c r="F87" s="52"/>
    </row>
    <row r="88" spans="2:6" x14ac:dyDescent="0.35">
      <c r="B88" s="52"/>
      <c r="C88" s="52"/>
      <c r="D88" s="68"/>
      <c r="E88" s="52"/>
      <c r="F88" s="52"/>
    </row>
    <row r="89" spans="2:6" x14ac:dyDescent="0.35">
      <c r="B89" s="52"/>
      <c r="C89" s="52"/>
      <c r="D89" s="68"/>
      <c r="E89" s="52"/>
      <c r="F89" s="52"/>
    </row>
    <row r="90" spans="2:6" x14ac:dyDescent="0.35">
      <c r="B90" s="52"/>
      <c r="C90" s="52"/>
      <c r="D90" s="68"/>
      <c r="E90" s="52"/>
      <c r="F90" s="52"/>
    </row>
    <row r="91" spans="2:6" x14ac:dyDescent="0.35">
      <c r="B91" s="52"/>
      <c r="C91" s="52"/>
      <c r="D91" s="68"/>
      <c r="E91" s="52"/>
      <c r="F91" s="52"/>
    </row>
    <row r="92" spans="2:6" x14ac:dyDescent="0.35">
      <c r="B92" s="52"/>
      <c r="C92" s="52"/>
      <c r="D92" s="68"/>
      <c r="E92" s="52"/>
      <c r="F92" s="52"/>
    </row>
    <row r="93" spans="2:6" x14ac:dyDescent="0.35">
      <c r="B93" s="52"/>
      <c r="C93" s="52"/>
      <c r="D93" s="68"/>
      <c r="E93" s="52"/>
      <c r="F93" s="52"/>
    </row>
    <row r="94" spans="2:6" x14ac:dyDescent="0.35">
      <c r="B94" s="52"/>
      <c r="C94" s="52"/>
      <c r="D94" s="68"/>
      <c r="E94" s="52"/>
      <c r="F94" s="52"/>
    </row>
    <row r="95" spans="2:6" x14ac:dyDescent="0.35">
      <c r="B95" s="52"/>
      <c r="C95" s="52"/>
      <c r="D95" s="68"/>
      <c r="E95" s="52"/>
      <c r="F95" s="52"/>
    </row>
    <row r="96" spans="2:6" x14ac:dyDescent="0.35">
      <c r="B96" s="52"/>
      <c r="C96" s="52"/>
      <c r="D96" s="68"/>
      <c r="E96" s="52"/>
      <c r="F96" s="52"/>
    </row>
    <row r="97" spans="2:6" x14ac:dyDescent="0.35">
      <c r="B97" s="52"/>
      <c r="C97" s="52"/>
      <c r="D97" s="68"/>
      <c r="E97" s="52"/>
      <c r="F97" s="52"/>
    </row>
    <row r="98" spans="2:6" x14ac:dyDescent="0.35">
      <c r="B98" s="52"/>
      <c r="C98" s="52"/>
      <c r="D98" s="68"/>
      <c r="E98" s="52"/>
      <c r="F98" s="52"/>
    </row>
    <row r="99" spans="2:6" x14ac:dyDescent="0.35">
      <c r="B99" s="52"/>
      <c r="C99" s="52"/>
      <c r="D99" s="68"/>
      <c r="E99" s="52"/>
      <c r="F99" s="52"/>
    </row>
    <row r="100" spans="2:6" x14ac:dyDescent="0.35">
      <c r="B100" s="52"/>
      <c r="C100" s="52"/>
      <c r="D100" s="68"/>
      <c r="E100" s="52"/>
      <c r="F100" s="52"/>
    </row>
    <row r="101" spans="2:6" x14ac:dyDescent="0.35">
      <c r="B101" s="52"/>
      <c r="C101" s="52"/>
      <c r="D101" s="68"/>
      <c r="E101" s="52"/>
      <c r="F101" s="52"/>
    </row>
    <row r="102" spans="2:6" x14ac:dyDescent="0.35">
      <c r="B102" s="52"/>
      <c r="C102" s="52"/>
      <c r="D102" s="68"/>
      <c r="E102" s="52"/>
      <c r="F102" s="52"/>
    </row>
    <row r="103" spans="2:6" x14ac:dyDescent="0.35">
      <c r="B103" s="52"/>
      <c r="C103" s="52"/>
      <c r="D103" s="68"/>
      <c r="E103" s="52"/>
      <c r="F103" s="52"/>
    </row>
    <row r="104" spans="2:6" x14ac:dyDescent="0.35">
      <c r="B104" s="52"/>
      <c r="C104" s="52"/>
      <c r="D104" s="68"/>
      <c r="E104" s="52"/>
      <c r="F104" s="52"/>
    </row>
    <row r="105" spans="2:6" x14ac:dyDescent="0.35">
      <c r="B105" s="52"/>
      <c r="C105" s="52"/>
      <c r="D105" s="68"/>
      <c r="E105" s="52"/>
      <c r="F105" s="52"/>
    </row>
    <row r="106" spans="2:6" x14ac:dyDescent="0.35">
      <c r="B106" s="52"/>
      <c r="C106" s="52"/>
      <c r="D106" s="68"/>
      <c r="E106" s="52"/>
      <c r="F106" s="52"/>
    </row>
    <row r="107" spans="2:6" x14ac:dyDescent="0.35">
      <c r="B107" s="52"/>
      <c r="C107" s="52"/>
      <c r="D107" s="68"/>
      <c r="E107" s="52"/>
      <c r="F107" s="52"/>
    </row>
    <row r="108" spans="2:6" x14ac:dyDescent="0.35">
      <c r="B108" s="52"/>
      <c r="C108" s="52"/>
      <c r="D108" s="68"/>
      <c r="E108" s="52"/>
      <c r="F108" s="52"/>
    </row>
    <row r="109" spans="2:6" x14ac:dyDescent="0.35">
      <c r="B109" s="52"/>
      <c r="C109" s="52"/>
      <c r="D109" s="68"/>
      <c r="E109" s="52"/>
      <c r="F109" s="52"/>
    </row>
    <row r="110" spans="2:6" x14ac:dyDescent="0.35">
      <c r="B110" s="52"/>
      <c r="C110" s="52"/>
      <c r="D110" s="68"/>
      <c r="E110" s="52"/>
      <c r="F110" s="52"/>
    </row>
    <row r="111" spans="2:6" x14ac:dyDescent="0.35">
      <c r="B111" s="52"/>
      <c r="C111" s="52"/>
      <c r="D111" s="68"/>
      <c r="E111" s="52"/>
      <c r="F111" s="52"/>
    </row>
    <row r="112" spans="2:6" x14ac:dyDescent="0.35">
      <c r="B112" s="52"/>
      <c r="C112" s="52"/>
      <c r="D112" s="68"/>
      <c r="E112" s="52"/>
      <c r="F112" s="52"/>
    </row>
    <row r="113" spans="2:6" x14ac:dyDescent="0.35">
      <c r="B113" s="52"/>
      <c r="C113" s="52"/>
      <c r="D113" s="68"/>
      <c r="E113" s="52"/>
      <c r="F113" s="52"/>
    </row>
    <row r="114" spans="2:6" x14ac:dyDescent="0.35">
      <c r="B114" s="52"/>
      <c r="C114" s="52"/>
      <c r="D114" s="68"/>
      <c r="E114" s="52"/>
      <c r="F114" s="52"/>
    </row>
    <row r="115" spans="2:6" x14ac:dyDescent="0.35">
      <c r="B115" s="52"/>
      <c r="C115" s="52"/>
      <c r="D115" s="68"/>
      <c r="E115" s="52"/>
      <c r="F115" s="52"/>
    </row>
    <row r="116" spans="2:6" x14ac:dyDescent="0.35">
      <c r="B116" s="52"/>
      <c r="C116" s="52"/>
      <c r="D116" s="68"/>
      <c r="E116" s="52"/>
      <c r="F116" s="52"/>
    </row>
    <row r="117" spans="2:6" x14ac:dyDescent="0.35">
      <c r="B117" s="52"/>
      <c r="C117" s="52"/>
      <c r="D117" s="68"/>
      <c r="E117" s="52"/>
      <c r="F117" s="52"/>
    </row>
    <row r="118" spans="2:6" x14ac:dyDescent="0.35">
      <c r="B118" s="52"/>
      <c r="C118" s="52"/>
      <c r="D118" s="68"/>
      <c r="E118" s="52"/>
      <c r="F118" s="52"/>
    </row>
    <row r="119" spans="2:6" x14ac:dyDescent="0.35">
      <c r="B119" s="52"/>
      <c r="C119" s="52"/>
      <c r="D119" s="68"/>
      <c r="E119" s="52"/>
      <c r="F119" s="52"/>
    </row>
    <row r="120" spans="2:6" x14ac:dyDescent="0.35">
      <c r="B120" s="52"/>
      <c r="C120" s="52"/>
      <c r="D120" s="68"/>
      <c r="E120" s="52"/>
      <c r="F120" s="52"/>
    </row>
    <row r="121" spans="2:6" x14ac:dyDescent="0.35">
      <c r="B121" s="52"/>
      <c r="C121" s="52"/>
      <c r="D121" s="68"/>
      <c r="E121" s="52"/>
      <c r="F121" s="52"/>
    </row>
    <row r="122" spans="2:6" x14ac:dyDescent="0.35">
      <c r="B122" s="52"/>
      <c r="C122" s="52"/>
      <c r="D122" s="68"/>
      <c r="E122" s="52"/>
      <c r="F122" s="52"/>
    </row>
    <row r="123" spans="2:6" x14ac:dyDescent="0.35">
      <c r="B123" s="52"/>
      <c r="C123" s="52"/>
      <c r="D123" s="68"/>
      <c r="E123" s="52"/>
      <c r="F123" s="52"/>
    </row>
    <row r="124" spans="2:6" x14ac:dyDescent="0.35">
      <c r="B124" s="52"/>
      <c r="C124" s="52"/>
      <c r="D124" s="68"/>
      <c r="E124" s="52"/>
      <c r="F124" s="52"/>
    </row>
    <row r="125" spans="2:6" x14ac:dyDescent="0.35">
      <c r="B125" s="52"/>
      <c r="C125" s="52"/>
      <c r="D125" s="68"/>
      <c r="E125" s="52"/>
      <c r="F125" s="52"/>
    </row>
    <row r="126" spans="2:6" x14ac:dyDescent="0.35">
      <c r="B126" s="52"/>
      <c r="C126" s="52"/>
      <c r="D126" s="68"/>
      <c r="E126" s="52"/>
      <c r="F126" s="52"/>
    </row>
    <row r="127" spans="2:6" x14ac:dyDescent="0.35">
      <c r="B127" s="52"/>
      <c r="C127" s="52"/>
      <c r="D127" s="68"/>
      <c r="E127" s="52"/>
      <c r="F127" s="52"/>
    </row>
    <row r="128" spans="2:6" x14ac:dyDescent="0.35">
      <c r="B128" s="52"/>
      <c r="C128" s="52"/>
      <c r="D128" s="68"/>
      <c r="E128" s="52"/>
      <c r="F128" s="52"/>
    </row>
    <row r="129" spans="2:6" x14ac:dyDescent="0.35">
      <c r="B129" s="52"/>
      <c r="C129" s="52"/>
      <c r="D129" s="68"/>
      <c r="E129" s="52"/>
      <c r="F129" s="52"/>
    </row>
    <row r="130" spans="2:6" x14ac:dyDescent="0.35">
      <c r="B130" s="52"/>
      <c r="C130" s="52"/>
      <c r="D130" s="68"/>
      <c r="E130" s="52"/>
      <c r="F130" s="52"/>
    </row>
    <row r="131" spans="2:6" x14ac:dyDescent="0.35">
      <c r="B131" s="52"/>
      <c r="C131" s="52"/>
      <c r="D131" s="68"/>
      <c r="E131" s="52"/>
      <c r="F131" s="52"/>
    </row>
    <row r="132" spans="2:6" x14ac:dyDescent="0.35">
      <c r="B132" s="52"/>
      <c r="C132" s="52"/>
      <c r="D132" s="68"/>
      <c r="E132" s="52"/>
      <c r="F132" s="52"/>
    </row>
    <row r="133" spans="2:6" x14ac:dyDescent="0.35">
      <c r="B133" s="52"/>
      <c r="C133" s="52"/>
      <c r="D133" s="68"/>
      <c r="E133" s="52"/>
      <c r="F133" s="52"/>
    </row>
    <row r="134" spans="2:6" x14ac:dyDescent="0.35">
      <c r="B134" s="52"/>
      <c r="C134" s="52"/>
      <c r="D134" s="68"/>
      <c r="E134" s="52"/>
      <c r="F134" s="52"/>
    </row>
    <row r="135" spans="2:6" x14ac:dyDescent="0.35">
      <c r="B135" s="52"/>
      <c r="C135" s="52"/>
      <c r="D135" s="68"/>
      <c r="E135" s="52"/>
      <c r="F135" s="52"/>
    </row>
    <row r="136" spans="2:6" x14ac:dyDescent="0.35">
      <c r="B136" s="52"/>
      <c r="C136" s="52"/>
      <c r="D136" s="68"/>
      <c r="E136" s="52"/>
      <c r="F136" s="52"/>
    </row>
    <row r="137" spans="2:6" x14ac:dyDescent="0.35">
      <c r="B137" s="52"/>
      <c r="C137" s="52"/>
      <c r="D137" s="68"/>
      <c r="E137" s="52"/>
      <c r="F137" s="52"/>
    </row>
    <row r="138" spans="2:6" x14ac:dyDescent="0.35">
      <c r="B138" s="52"/>
      <c r="C138" s="52"/>
      <c r="D138" s="68"/>
      <c r="E138" s="52"/>
      <c r="F138" s="52"/>
    </row>
    <row r="139" spans="2:6" x14ac:dyDescent="0.35">
      <c r="B139" s="52"/>
      <c r="C139" s="52"/>
      <c r="D139" s="68"/>
      <c r="E139" s="52"/>
      <c r="F139" s="52"/>
    </row>
    <row r="140" spans="2:6" x14ac:dyDescent="0.35">
      <c r="B140" s="52"/>
      <c r="C140" s="52"/>
      <c r="D140" s="68"/>
      <c r="E140" s="52"/>
      <c r="F140" s="52"/>
    </row>
    <row r="141" spans="2:6" x14ac:dyDescent="0.35">
      <c r="B141" s="52"/>
      <c r="C141" s="52"/>
      <c r="D141" s="68"/>
      <c r="E141" s="52"/>
      <c r="F141" s="52"/>
    </row>
    <row r="142" spans="2:6" x14ac:dyDescent="0.35">
      <c r="B142" s="52"/>
      <c r="C142" s="52"/>
      <c r="D142" s="68"/>
      <c r="E142" s="52"/>
      <c r="F142" s="52"/>
    </row>
    <row r="143" spans="2:6" x14ac:dyDescent="0.35">
      <c r="B143" s="52"/>
      <c r="C143" s="52"/>
      <c r="D143" s="68"/>
      <c r="E143" s="52"/>
      <c r="F143" s="52"/>
    </row>
    <row r="144" spans="2:6" x14ac:dyDescent="0.35">
      <c r="B144" s="52"/>
      <c r="C144" s="52"/>
      <c r="D144" s="68"/>
      <c r="E144" s="52"/>
      <c r="F144" s="52"/>
    </row>
    <row r="145" spans="2:6" x14ac:dyDescent="0.35">
      <c r="B145" s="52"/>
      <c r="C145" s="52"/>
      <c r="D145" s="68"/>
      <c r="E145" s="52"/>
      <c r="F145" s="52"/>
    </row>
    <row r="146" spans="2:6" x14ac:dyDescent="0.35">
      <c r="B146" s="52"/>
      <c r="C146" s="52"/>
      <c r="D146" s="68"/>
      <c r="E146" s="52"/>
      <c r="F146" s="52"/>
    </row>
    <row r="147" spans="2:6" x14ac:dyDescent="0.35">
      <c r="B147" s="52"/>
      <c r="C147" s="52"/>
      <c r="D147" s="68"/>
      <c r="E147" s="52"/>
      <c r="F147" s="52"/>
    </row>
    <row r="148" spans="2:6" x14ac:dyDescent="0.35">
      <c r="B148" s="52"/>
      <c r="C148" s="52"/>
      <c r="D148" s="68"/>
      <c r="E148" s="52"/>
      <c r="F148" s="52"/>
    </row>
    <row r="149" spans="2:6" x14ac:dyDescent="0.35">
      <c r="B149" s="52"/>
      <c r="C149" s="52"/>
      <c r="D149" s="68"/>
      <c r="E149" s="52"/>
      <c r="F149" s="52"/>
    </row>
    <row r="150" spans="2:6" x14ac:dyDescent="0.35">
      <c r="B150" s="52"/>
      <c r="C150" s="52"/>
      <c r="D150" s="68"/>
      <c r="E150" s="52"/>
      <c r="F150" s="52"/>
    </row>
    <row r="151" spans="2:6" x14ac:dyDescent="0.35">
      <c r="B151" s="52"/>
      <c r="C151" s="52"/>
      <c r="D151" s="68"/>
      <c r="E151" s="52"/>
      <c r="F151" s="52"/>
    </row>
    <row r="152" spans="2:6" x14ac:dyDescent="0.35">
      <c r="B152" s="52"/>
      <c r="C152" s="52"/>
      <c r="D152" s="68"/>
      <c r="E152" s="52"/>
      <c r="F152" s="52"/>
    </row>
    <row r="153" spans="2:6" x14ac:dyDescent="0.35">
      <c r="B153" s="52"/>
      <c r="C153" s="52"/>
      <c r="D153" s="68"/>
      <c r="E153" s="52"/>
      <c r="F153" s="52"/>
    </row>
    <row r="154" spans="2:6" x14ac:dyDescent="0.35">
      <c r="B154" s="52"/>
      <c r="C154" s="52"/>
      <c r="D154" s="68"/>
      <c r="E154" s="52"/>
      <c r="F154" s="52"/>
    </row>
    <row r="155" spans="2:6" x14ac:dyDescent="0.35">
      <c r="B155" s="52"/>
      <c r="C155" s="52"/>
      <c r="D155" s="68"/>
      <c r="E155" s="52"/>
      <c r="F155" s="52"/>
    </row>
    <row r="156" spans="2:6" x14ac:dyDescent="0.35">
      <c r="B156" s="52"/>
      <c r="C156" s="52"/>
      <c r="D156" s="68"/>
      <c r="E156" s="52"/>
      <c r="F156" s="52"/>
    </row>
    <row r="157" spans="2:6" x14ac:dyDescent="0.35">
      <c r="B157" s="52"/>
      <c r="C157" s="52"/>
      <c r="D157" s="68"/>
      <c r="E157" s="52"/>
      <c r="F157" s="52"/>
    </row>
    <row r="158" spans="2:6" x14ac:dyDescent="0.35">
      <c r="B158" s="52"/>
      <c r="C158" s="52"/>
      <c r="D158" s="68"/>
      <c r="E158" s="52"/>
      <c r="F158" s="52"/>
    </row>
    <row r="159" spans="2:6" x14ac:dyDescent="0.35">
      <c r="B159" s="52"/>
      <c r="C159" s="52"/>
      <c r="D159" s="68"/>
      <c r="E159" s="52"/>
      <c r="F159" s="52"/>
    </row>
    <row r="160" spans="2:6" x14ac:dyDescent="0.35">
      <c r="B160" s="52"/>
      <c r="C160" s="52"/>
      <c r="D160" s="68"/>
      <c r="E160" s="52"/>
      <c r="F160" s="52"/>
    </row>
    <row r="161" spans="2:6" x14ac:dyDescent="0.35">
      <c r="B161" s="52"/>
      <c r="C161" s="52"/>
      <c r="D161" s="68"/>
      <c r="E161" s="52"/>
      <c r="F161" s="52"/>
    </row>
    <row r="162" spans="2:6" x14ac:dyDescent="0.35">
      <c r="B162" s="52"/>
      <c r="C162" s="52"/>
      <c r="D162" s="68"/>
      <c r="E162" s="52"/>
      <c r="F162" s="52"/>
    </row>
    <row r="163" spans="2:6" x14ac:dyDescent="0.35">
      <c r="B163" s="52"/>
      <c r="C163" s="52"/>
      <c r="D163" s="68"/>
      <c r="E163" s="52"/>
      <c r="F163" s="52"/>
    </row>
    <row r="164" spans="2:6" x14ac:dyDescent="0.35">
      <c r="B164" s="52"/>
      <c r="C164" s="52"/>
      <c r="D164" s="68"/>
      <c r="E164" s="52"/>
      <c r="F164" s="52"/>
    </row>
    <row r="165" spans="2:6" x14ac:dyDescent="0.35">
      <c r="B165" s="52"/>
      <c r="C165" s="52"/>
      <c r="D165" s="68"/>
      <c r="E165" s="52"/>
      <c r="F165" s="52"/>
    </row>
    <row r="166" spans="2:6" x14ac:dyDescent="0.35">
      <c r="B166" s="52"/>
      <c r="C166" s="52"/>
      <c r="D166" s="68"/>
      <c r="E166" s="52"/>
      <c r="F166" s="52"/>
    </row>
    <row r="167" spans="2:6" x14ac:dyDescent="0.35">
      <c r="B167" s="52"/>
      <c r="C167" s="52"/>
      <c r="D167" s="68"/>
      <c r="E167" s="52"/>
      <c r="F167" s="52"/>
    </row>
    <row r="168" spans="2:6" x14ac:dyDescent="0.35">
      <c r="B168" s="52"/>
      <c r="C168" s="52"/>
      <c r="D168" s="68"/>
      <c r="E168" s="52"/>
      <c r="F168" s="52"/>
    </row>
    <row r="169" spans="2:6" x14ac:dyDescent="0.35">
      <c r="B169" s="52"/>
      <c r="C169" s="52"/>
      <c r="D169" s="68"/>
      <c r="E169" s="52"/>
      <c r="F169" s="52"/>
    </row>
    <row r="170" spans="2:6" x14ac:dyDescent="0.35">
      <c r="B170" s="52"/>
      <c r="C170" s="52"/>
      <c r="D170" s="68"/>
      <c r="E170" s="52"/>
      <c r="F170" s="52"/>
    </row>
    <row r="171" spans="2:6" x14ac:dyDescent="0.35">
      <c r="B171" s="52"/>
      <c r="C171" s="52"/>
      <c r="D171" s="68"/>
      <c r="E171" s="52"/>
      <c r="F171" s="52"/>
    </row>
    <row r="172" spans="2:6" x14ac:dyDescent="0.35">
      <c r="B172" s="52"/>
      <c r="C172" s="52"/>
      <c r="D172" s="68"/>
      <c r="E172" s="52"/>
      <c r="F172" s="52"/>
    </row>
    <row r="173" spans="2:6" x14ac:dyDescent="0.35">
      <c r="B173" s="52"/>
      <c r="C173" s="52"/>
      <c r="D173" s="68"/>
      <c r="E173" s="52"/>
      <c r="F173" s="52"/>
    </row>
    <row r="174" spans="2:6" x14ac:dyDescent="0.35">
      <c r="B174" s="52"/>
      <c r="C174" s="52"/>
      <c r="D174" s="68"/>
      <c r="E174" s="52"/>
      <c r="F174" s="52"/>
    </row>
    <row r="175" spans="2:6" x14ac:dyDescent="0.35">
      <c r="B175" s="52"/>
      <c r="C175" s="52"/>
      <c r="D175" s="68"/>
      <c r="E175" s="52"/>
      <c r="F175" s="52"/>
    </row>
    <row r="176" spans="2:6" x14ac:dyDescent="0.35">
      <c r="B176" s="52"/>
      <c r="C176" s="52"/>
      <c r="D176" s="68"/>
      <c r="E176" s="52"/>
      <c r="F176" s="52"/>
    </row>
    <row r="177" spans="2:6" x14ac:dyDescent="0.35">
      <c r="B177" s="52"/>
      <c r="C177" s="52"/>
      <c r="D177" s="68"/>
      <c r="E177" s="52"/>
      <c r="F177" s="52"/>
    </row>
    <row r="178" spans="2:6" x14ac:dyDescent="0.35">
      <c r="B178" s="52"/>
      <c r="C178" s="52"/>
      <c r="D178" s="68"/>
      <c r="E178" s="52"/>
      <c r="F178" s="52"/>
    </row>
    <row r="179" spans="2:6" x14ac:dyDescent="0.35">
      <c r="B179" s="52"/>
      <c r="C179" s="52"/>
      <c r="D179" s="68"/>
      <c r="E179" s="52"/>
      <c r="F179" s="52"/>
    </row>
    <row r="180" spans="2:6" x14ac:dyDescent="0.35">
      <c r="B180" s="52"/>
      <c r="C180" s="52"/>
      <c r="D180" s="68"/>
      <c r="E180" s="52"/>
      <c r="F180" s="52"/>
    </row>
    <row r="181" spans="2:6" x14ac:dyDescent="0.35">
      <c r="B181" s="52"/>
      <c r="C181" s="52"/>
      <c r="D181" s="68"/>
      <c r="E181" s="52"/>
      <c r="F181" s="52"/>
    </row>
    <row r="182" spans="2:6" x14ac:dyDescent="0.35">
      <c r="B182" s="52"/>
      <c r="C182" s="52"/>
      <c r="D182" s="68"/>
      <c r="E182" s="52"/>
      <c r="F182" s="52"/>
    </row>
    <row r="183" spans="2:6" x14ac:dyDescent="0.35">
      <c r="B183" s="52"/>
      <c r="C183" s="52"/>
      <c r="D183" s="68"/>
      <c r="E183" s="52"/>
      <c r="F183" s="52"/>
    </row>
    <row r="184" spans="2:6" x14ac:dyDescent="0.35">
      <c r="B184" s="52"/>
      <c r="C184" s="52"/>
      <c r="D184" s="68"/>
      <c r="E184" s="52"/>
      <c r="F184" s="52"/>
    </row>
    <row r="185" spans="2:6" x14ac:dyDescent="0.35">
      <c r="B185" s="52"/>
      <c r="C185" s="52"/>
      <c r="D185" s="68"/>
      <c r="E185" s="52"/>
      <c r="F185" s="52"/>
    </row>
    <row r="186" spans="2:6" x14ac:dyDescent="0.35">
      <c r="B186" s="52"/>
      <c r="C186" s="52"/>
      <c r="D186" s="68"/>
      <c r="E186" s="52"/>
      <c r="F186" s="52"/>
    </row>
    <row r="187" spans="2:6" x14ac:dyDescent="0.35">
      <c r="B187" s="52"/>
      <c r="C187" s="52"/>
      <c r="D187" s="68"/>
      <c r="E187" s="52"/>
      <c r="F187" s="52"/>
    </row>
    <row r="188" spans="2:6" x14ac:dyDescent="0.35">
      <c r="B188" s="52"/>
      <c r="C188" s="52"/>
      <c r="D188" s="68"/>
      <c r="E188" s="52"/>
      <c r="F188" s="52"/>
    </row>
    <row r="189" spans="2:6" x14ac:dyDescent="0.35">
      <c r="B189" s="52"/>
      <c r="C189" s="52"/>
      <c r="D189" s="68"/>
      <c r="E189" s="52"/>
      <c r="F189" s="52"/>
    </row>
    <row r="190" spans="2:6" x14ac:dyDescent="0.35">
      <c r="B190" s="52"/>
      <c r="C190" s="52"/>
      <c r="D190" s="68"/>
      <c r="E190" s="52"/>
      <c r="F190" s="52"/>
    </row>
    <row r="191" spans="2:6" x14ac:dyDescent="0.35">
      <c r="B191" s="52"/>
      <c r="C191" s="52"/>
      <c r="D191" s="68"/>
      <c r="E191" s="52"/>
      <c r="F191" s="52"/>
    </row>
    <row r="192" spans="2:6" x14ac:dyDescent="0.35">
      <c r="B192" s="52"/>
      <c r="C192" s="52"/>
      <c r="D192" s="68"/>
      <c r="E192" s="52"/>
      <c r="F192" s="52"/>
    </row>
    <row r="193" spans="2:6" x14ac:dyDescent="0.35">
      <c r="B193" s="52"/>
      <c r="C193" s="52"/>
      <c r="D193" s="68"/>
      <c r="E193" s="52"/>
      <c r="F193" s="52"/>
    </row>
    <row r="194" spans="2:6" x14ac:dyDescent="0.35">
      <c r="B194" s="52"/>
      <c r="C194" s="52"/>
      <c r="D194" s="68"/>
      <c r="E194" s="52"/>
      <c r="F194" s="52"/>
    </row>
    <row r="195" spans="2:6" x14ac:dyDescent="0.35">
      <c r="B195" s="52"/>
      <c r="C195" s="52"/>
      <c r="D195" s="68"/>
      <c r="E195" s="52"/>
      <c r="F195" s="52"/>
    </row>
    <row r="196" spans="2:6" x14ac:dyDescent="0.35">
      <c r="B196" s="52"/>
      <c r="C196" s="52"/>
      <c r="D196" s="68"/>
      <c r="E196" s="52"/>
      <c r="F196" s="52"/>
    </row>
    <row r="197" spans="2:6" x14ac:dyDescent="0.35">
      <c r="B197" s="52"/>
      <c r="C197" s="52"/>
      <c r="D197" s="68"/>
      <c r="E197" s="52"/>
      <c r="F197" s="52"/>
    </row>
    <row r="198" spans="2:6" x14ac:dyDescent="0.35">
      <c r="B198" s="52"/>
      <c r="C198" s="52"/>
      <c r="D198" s="68"/>
      <c r="E198" s="52"/>
      <c r="F198" s="52"/>
    </row>
    <row r="199" spans="2:6" x14ac:dyDescent="0.35">
      <c r="B199" s="52"/>
      <c r="C199" s="52"/>
      <c r="D199" s="68"/>
      <c r="E199" s="52"/>
      <c r="F199" s="52"/>
    </row>
    <row r="200" spans="2:6" x14ac:dyDescent="0.35">
      <c r="B200" s="52"/>
      <c r="C200" s="52"/>
      <c r="D200" s="68"/>
      <c r="E200" s="52"/>
      <c r="F200" s="52"/>
    </row>
    <row r="201" spans="2:6" x14ac:dyDescent="0.35">
      <c r="B201" s="52"/>
      <c r="C201" s="52"/>
      <c r="D201" s="68"/>
      <c r="E201" s="52"/>
      <c r="F201" s="52"/>
    </row>
    <row r="202" spans="2:6" x14ac:dyDescent="0.35">
      <c r="B202" s="52"/>
      <c r="C202" s="52"/>
      <c r="D202" s="68"/>
      <c r="E202" s="52"/>
      <c r="F202" s="52"/>
    </row>
    <row r="203" spans="2:6" x14ac:dyDescent="0.35">
      <c r="B203" s="52"/>
      <c r="C203" s="52"/>
      <c r="D203" s="68"/>
      <c r="E203" s="52"/>
      <c r="F203" s="52"/>
    </row>
    <row r="204" spans="2:6" x14ac:dyDescent="0.35">
      <c r="B204" s="52"/>
      <c r="C204" s="52"/>
      <c r="D204" s="68"/>
      <c r="E204" s="52"/>
      <c r="F204" s="52"/>
    </row>
    <row r="205" spans="2:6" x14ac:dyDescent="0.35">
      <c r="B205" s="52"/>
      <c r="C205" s="52"/>
      <c r="D205" s="68"/>
      <c r="E205" s="52"/>
      <c r="F205" s="52"/>
    </row>
    <row r="206" spans="2:6" x14ac:dyDescent="0.35">
      <c r="B206" s="52"/>
      <c r="C206" s="52"/>
      <c r="D206" s="68"/>
      <c r="E206" s="52"/>
      <c r="F206" s="52"/>
    </row>
    <row r="207" spans="2:6" x14ac:dyDescent="0.35">
      <c r="B207" s="52"/>
      <c r="C207" s="52"/>
      <c r="D207" s="68"/>
      <c r="E207" s="52"/>
      <c r="F207" s="52"/>
    </row>
    <row r="208" spans="2:6" x14ac:dyDescent="0.35">
      <c r="B208" s="52"/>
      <c r="C208" s="52"/>
      <c r="D208" s="68"/>
      <c r="E208" s="52"/>
      <c r="F208" s="52"/>
    </row>
    <row r="209" spans="2:6" x14ac:dyDescent="0.35">
      <c r="B209" s="52"/>
      <c r="C209" s="52"/>
      <c r="D209" s="68"/>
      <c r="E209" s="52"/>
      <c r="F209" s="52"/>
    </row>
    <row r="210" spans="2:6" x14ac:dyDescent="0.35">
      <c r="B210" s="52"/>
      <c r="C210" s="52"/>
      <c r="D210" s="68"/>
      <c r="E210" s="52"/>
      <c r="F210" s="52"/>
    </row>
    <row r="211" spans="2:6" x14ac:dyDescent="0.35">
      <c r="B211" s="52"/>
      <c r="C211" s="52"/>
      <c r="D211" s="68"/>
      <c r="E211" s="52"/>
      <c r="F211" s="52"/>
    </row>
    <row r="212" spans="2:6" x14ac:dyDescent="0.35">
      <c r="B212" s="52"/>
      <c r="C212" s="52"/>
      <c r="D212" s="68"/>
      <c r="E212" s="52"/>
      <c r="F212" s="52"/>
    </row>
    <row r="213" spans="2:6" x14ac:dyDescent="0.35">
      <c r="B213" s="52"/>
      <c r="C213" s="52"/>
      <c r="D213" s="68"/>
      <c r="E213" s="52"/>
      <c r="F213" s="52"/>
    </row>
    <row r="214" spans="2:6" x14ac:dyDescent="0.35">
      <c r="B214" s="52"/>
      <c r="C214" s="52"/>
      <c r="D214" s="68"/>
      <c r="E214" s="52"/>
      <c r="F214" s="52"/>
    </row>
    <row r="215" spans="2:6" x14ac:dyDescent="0.35">
      <c r="B215" s="52"/>
      <c r="C215" s="52"/>
      <c r="D215" s="68"/>
      <c r="E215" s="52"/>
      <c r="F215" s="52"/>
    </row>
    <row r="216" spans="2:6" x14ac:dyDescent="0.35">
      <c r="B216" s="52"/>
      <c r="C216" s="52"/>
      <c r="D216" s="68"/>
      <c r="E216" s="52"/>
      <c r="F216" s="52"/>
    </row>
    <row r="217" spans="2:6" x14ac:dyDescent="0.35">
      <c r="B217" s="52"/>
      <c r="C217" s="52"/>
      <c r="D217" s="68"/>
      <c r="E217" s="52"/>
      <c r="F217" s="52"/>
    </row>
    <row r="218" spans="2:6" x14ac:dyDescent="0.35">
      <c r="B218" s="52"/>
      <c r="C218" s="52"/>
      <c r="D218" s="68"/>
      <c r="E218" s="52"/>
      <c r="F218" s="52"/>
    </row>
    <row r="219" spans="2:6" x14ac:dyDescent="0.35">
      <c r="B219" s="52"/>
      <c r="C219" s="52"/>
      <c r="D219" s="68"/>
      <c r="E219" s="52"/>
      <c r="F219" s="52"/>
    </row>
    <row r="220" spans="2:6" x14ac:dyDescent="0.35">
      <c r="B220" s="52"/>
      <c r="C220" s="52"/>
      <c r="D220" s="68"/>
      <c r="E220" s="52"/>
      <c r="F220" s="52"/>
    </row>
    <row r="221" spans="2:6" x14ac:dyDescent="0.35">
      <c r="B221" s="52"/>
      <c r="C221" s="52"/>
      <c r="D221" s="68"/>
      <c r="E221" s="52"/>
      <c r="F221" s="52"/>
    </row>
    <row r="222" spans="2:6" x14ac:dyDescent="0.35">
      <c r="B222" s="52"/>
      <c r="C222" s="52"/>
      <c r="D222" s="68"/>
      <c r="E222" s="52"/>
      <c r="F222" s="52"/>
    </row>
    <row r="223" spans="2:6" x14ac:dyDescent="0.35">
      <c r="B223" s="52"/>
      <c r="C223" s="52"/>
      <c r="D223" s="68"/>
      <c r="E223" s="52"/>
      <c r="F223" s="52"/>
    </row>
    <row r="224" spans="2:6" x14ac:dyDescent="0.35">
      <c r="B224" s="52"/>
      <c r="C224" s="52"/>
      <c r="D224" s="68"/>
      <c r="E224" s="52"/>
      <c r="F224" s="52"/>
    </row>
    <row r="225" spans="2:6" x14ac:dyDescent="0.35">
      <c r="B225" s="52"/>
      <c r="C225" s="52"/>
      <c r="D225" s="68"/>
      <c r="E225" s="52"/>
      <c r="F225" s="52"/>
    </row>
    <row r="226" spans="2:6" x14ac:dyDescent="0.35">
      <c r="B226" s="52"/>
      <c r="C226" s="52"/>
      <c r="D226" s="68"/>
      <c r="E226" s="52"/>
      <c r="F226" s="52"/>
    </row>
    <row r="227" spans="2:6" x14ac:dyDescent="0.35">
      <c r="B227" s="52"/>
      <c r="C227" s="52"/>
      <c r="D227" s="68"/>
      <c r="E227" s="52"/>
      <c r="F227" s="52"/>
    </row>
    <row r="228" spans="2:6" x14ac:dyDescent="0.35">
      <c r="B228" s="52"/>
      <c r="C228" s="52"/>
      <c r="D228" s="68"/>
      <c r="E228" s="52"/>
      <c r="F228" s="52"/>
    </row>
    <row r="229" spans="2:6" x14ac:dyDescent="0.35">
      <c r="B229" s="52"/>
      <c r="C229" s="52"/>
      <c r="D229" s="68"/>
      <c r="E229" s="52"/>
      <c r="F229" s="52"/>
    </row>
    <row r="230" spans="2:6" x14ac:dyDescent="0.35">
      <c r="B230" s="52"/>
      <c r="C230" s="52"/>
      <c r="D230" s="68"/>
      <c r="E230" s="52"/>
      <c r="F230" s="52"/>
    </row>
    <row r="231" spans="2:6" x14ac:dyDescent="0.35">
      <c r="B231" s="52"/>
      <c r="C231" s="52"/>
      <c r="D231" s="68"/>
      <c r="E231" s="52"/>
      <c r="F231" s="52"/>
    </row>
    <row r="232" spans="2:6" x14ac:dyDescent="0.35">
      <c r="B232" s="52"/>
      <c r="C232" s="52"/>
      <c r="D232" s="68"/>
      <c r="E232" s="52"/>
      <c r="F232" s="52"/>
    </row>
    <row r="233" spans="2:6" x14ac:dyDescent="0.35">
      <c r="B233" s="52"/>
      <c r="C233" s="52"/>
      <c r="D233" s="68"/>
      <c r="E233" s="52"/>
      <c r="F233" s="52"/>
    </row>
    <row r="234" spans="2:6" x14ac:dyDescent="0.35">
      <c r="B234" s="52"/>
      <c r="C234" s="52"/>
      <c r="D234" s="68"/>
      <c r="E234" s="52"/>
      <c r="F234" s="52"/>
    </row>
    <row r="235" spans="2:6" x14ac:dyDescent="0.35">
      <c r="B235" s="52"/>
      <c r="C235" s="52"/>
      <c r="D235" s="68"/>
      <c r="E235" s="52"/>
      <c r="F235" s="52"/>
    </row>
    <row r="236" spans="2:6" x14ac:dyDescent="0.35">
      <c r="B236" s="52"/>
      <c r="C236" s="52"/>
      <c r="D236" s="68"/>
      <c r="E236" s="52"/>
      <c r="F236" s="52"/>
    </row>
    <row r="237" spans="2:6" x14ac:dyDescent="0.35">
      <c r="B237" s="52"/>
      <c r="C237" s="52"/>
      <c r="D237" s="68"/>
      <c r="E237" s="52"/>
      <c r="F237" s="52"/>
    </row>
    <row r="238" spans="2:6" x14ac:dyDescent="0.35">
      <c r="B238" s="52"/>
      <c r="C238" s="52"/>
      <c r="D238" s="68"/>
      <c r="E238" s="52"/>
      <c r="F238" s="52"/>
    </row>
    <row r="239" spans="2:6" x14ac:dyDescent="0.35">
      <c r="B239" s="52"/>
      <c r="C239" s="52"/>
      <c r="D239" s="68"/>
      <c r="E239" s="52"/>
      <c r="F239" s="52"/>
    </row>
    <row r="240" spans="2:6" x14ac:dyDescent="0.35">
      <c r="B240" s="52"/>
      <c r="C240" s="52"/>
      <c r="D240" s="68"/>
      <c r="E240" s="52"/>
      <c r="F240" s="52"/>
    </row>
    <row r="241" spans="2:6" x14ac:dyDescent="0.35">
      <c r="B241" s="52"/>
      <c r="C241" s="52"/>
      <c r="D241" s="68"/>
      <c r="E241" s="52"/>
      <c r="F241" s="52"/>
    </row>
    <row r="242" spans="2:6" x14ac:dyDescent="0.35">
      <c r="B242" s="52"/>
      <c r="C242" s="52"/>
      <c r="D242" s="68"/>
      <c r="E242" s="52"/>
      <c r="F242" s="52"/>
    </row>
    <row r="243" spans="2:6" x14ac:dyDescent="0.35">
      <c r="B243" s="52"/>
      <c r="C243" s="52"/>
      <c r="D243" s="68"/>
      <c r="E243" s="52"/>
      <c r="F243" s="52"/>
    </row>
    <row r="244" spans="2:6" x14ac:dyDescent="0.35">
      <c r="B244" s="52"/>
      <c r="C244" s="52"/>
      <c r="D244" s="68"/>
      <c r="E244" s="52"/>
      <c r="F244" s="52"/>
    </row>
    <row r="245" spans="2:6" x14ac:dyDescent="0.35">
      <c r="B245" s="52"/>
      <c r="C245" s="52"/>
      <c r="D245" s="68"/>
      <c r="E245" s="52"/>
      <c r="F245" s="52"/>
    </row>
    <row r="246" spans="2:6" x14ac:dyDescent="0.35">
      <c r="B246" s="52"/>
      <c r="C246" s="52"/>
      <c r="D246" s="68"/>
      <c r="E246" s="52"/>
      <c r="F246" s="52"/>
    </row>
    <row r="247" spans="2:6" x14ac:dyDescent="0.35">
      <c r="B247" s="52"/>
      <c r="C247" s="52"/>
      <c r="D247" s="68"/>
      <c r="E247" s="52"/>
      <c r="F247" s="52"/>
    </row>
    <row r="248" spans="2:6" x14ac:dyDescent="0.35">
      <c r="B248" s="52"/>
      <c r="C248" s="52"/>
      <c r="D248" s="68"/>
      <c r="E248" s="52"/>
      <c r="F248" s="52"/>
    </row>
    <row r="249" spans="2:6" x14ac:dyDescent="0.35">
      <c r="B249" s="52"/>
      <c r="C249" s="52"/>
      <c r="D249" s="68"/>
      <c r="E249" s="52"/>
      <c r="F249" s="52"/>
    </row>
    <row r="250" spans="2:6" x14ac:dyDescent="0.35">
      <c r="B250" s="52"/>
      <c r="C250" s="52"/>
      <c r="D250" s="68"/>
      <c r="E250" s="52"/>
      <c r="F250" s="52"/>
    </row>
    <row r="251" spans="2:6" x14ac:dyDescent="0.35">
      <c r="B251" s="52"/>
      <c r="C251" s="52"/>
      <c r="D251" s="68"/>
      <c r="E251" s="52"/>
      <c r="F251" s="52"/>
    </row>
    <row r="252" spans="2:6" x14ac:dyDescent="0.35">
      <c r="B252" s="52"/>
      <c r="C252" s="52"/>
      <c r="D252" s="68"/>
      <c r="E252" s="52"/>
      <c r="F252" s="52"/>
    </row>
    <row r="253" spans="2:6" x14ac:dyDescent="0.35">
      <c r="B253" s="52"/>
      <c r="C253" s="52"/>
      <c r="D253" s="68"/>
      <c r="E253" s="52"/>
      <c r="F253" s="52"/>
    </row>
    <row r="254" spans="2:6" x14ac:dyDescent="0.35">
      <c r="B254" s="52"/>
      <c r="C254" s="52"/>
      <c r="D254" s="68"/>
      <c r="E254" s="52"/>
      <c r="F254" s="52"/>
    </row>
    <row r="255" spans="2:6" x14ac:dyDescent="0.35">
      <c r="B255" s="52"/>
      <c r="C255" s="52"/>
      <c r="D255" s="68"/>
      <c r="E255" s="52"/>
      <c r="F255" s="52"/>
    </row>
    <row r="256" spans="2:6" x14ac:dyDescent="0.35">
      <c r="B256" s="52"/>
      <c r="C256" s="52"/>
      <c r="D256" s="68"/>
      <c r="E256" s="52"/>
      <c r="F256" s="52"/>
    </row>
    <row r="257" spans="2:6" x14ac:dyDescent="0.35">
      <c r="B257" s="52"/>
      <c r="C257" s="52"/>
      <c r="D257" s="68"/>
      <c r="E257" s="52"/>
      <c r="F257" s="52"/>
    </row>
    <row r="258" spans="2:6" x14ac:dyDescent="0.35">
      <c r="B258" s="52"/>
      <c r="C258" s="52"/>
      <c r="D258" s="68"/>
      <c r="E258" s="52"/>
      <c r="F258" s="52"/>
    </row>
    <row r="259" spans="2:6" x14ac:dyDescent="0.35">
      <c r="B259" s="52"/>
      <c r="C259" s="52"/>
      <c r="D259" s="68"/>
      <c r="E259" s="52"/>
      <c r="F259" s="52"/>
    </row>
    <row r="260" spans="2:6" x14ac:dyDescent="0.35">
      <c r="B260" s="52"/>
      <c r="C260" s="52"/>
      <c r="D260" s="68"/>
      <c r="E260" s="52"/>
      <c r="F260" s="52"/>
    </row>
    <row r="261" spans="2:6" x14ac:dyDescent="0.35">
      <c r="B261" s="52"/>
      <c r="C261" s="52"/>
      <c r="D261" s="68"/>
      <c r="E261" s="52"/>
      <c r="F261" s="52"/>
    </row>
    <row r="262" spans="2:6" x14ac:dyDescent="0.35">
      <c r="B262" s="52"/>
      <c r="C262" s="52"/>
      <c r="D262" s="68"/>
      <c r="E262" s="52"/>
      <c r="F262" s="52"/>
    </row>
    <row r="263" spans="2:6" x14ac:dyDescent="0.35">
      <c r="B263" s="52"/>
      <c r="C263" s="52"/>
      <c r="D263" s="68"/>
      <c r="E263" s="52"/>
      <c r="F263" s="52"/>
    </row>
    <row r="264" spans="2:6" x14ac:dyDescent="0.35">
      <c r="B264" s="52"/>
      <c r="C264" s="52"/>
      <c r="D264" s="68"/>
      <c r="E264" s="52"/>
      <c r="F264" s="52"/>
    </row>
    <row r="265" spans="2:6" x14ac:dyDescent="0.35">
      <c r="B265" s="52"/>
      <c r="C265" s="52"/>
      <c r="D265" s="68"/>
      <c r="E265" s="52"/>
      <c r="F265" s="52"/>
    </row>
    <row r="266" spans="2:6" x14ac:dyDescent="0.35">
      <c r="B266" s="52"/>
      <c r="C266" s="52"/>
      <c r="D266" s="68"/>
      <c r="E266" s="52"/>
      <c r="F266" s="52"/>
    </row>
    <row r="267" spans="2:6" x14ac:dyDescent="0.35">
      <c r="B267" s="52"/>
      <c r="C267" s="52"/>
      <c r="D267" s="68"/>
      <c r="E267" s="52"/>
      <c r="F267" s="52"/>
    </row>
    <row r="268" spans="2:6" x14ac:dyDescent="0.35">
      <c r="B268" s="52"/>
      <c r="C268" s="52"/>
      <c r="D268" s="68"/>
      <c r="E268" s="52"/>
      <c r="F268" s="52"/>
    </row>
    <row r="269" spans="2:6" x14ac:dyDescent="0.35">
      <c r="B269" s="52"/>
      <c r="C269" s="52"/>
      <c r="D269" s="68"/>
      <c r="E269" s="52"/>
      <c r="F269" s="52"/>
    </row>
    <row r="270" spans="2:6" x14ac:dyDescent="0.35">
      <c r="B270" s="52"/>
      <c r="C270" s="52"/>
      <c r="D270" s="68"/>
      <c r="E270" s="52"/>
      <c r="F270" s="52"/>
    </row>
    <row r="271" spans="2:6" x14ac:dyDescent="0.35">
      <c r="B271" s="52"/>
      <c r="C271" s="52"/>
      <c r="D271" s="68"/>
      <c r="E271" s="52"/>
      <c r="F271" s="52"/>
    </row>
    <row r="272" spans="2:6" x14ac:dyDescent="0.35">
      <c r="B272" s="52"/>
      <c r="C272" s="52"/>
      <c r="D272" s="68"/>
      <c r="E272" s="52"/>
      <c r="F272" s="52"/>
    </row>
    <row r="273" spans="2:6" x14ac:dyDescent="0.35">
      <c r="B273" s="52"/>
      <c r="C273" s="52"/>
      <c r="D273" s="68"/>
      <c r="E273" s="52"/>
      <c r="F273" s="52"/>
    </row>
    <row r="274" spans="2:6" x14ac:dyDescent="0.35">
      <c r="B274" s="52"/>
      <c r="C274" s="52"/>
      <c r="D274" s="68"/>
      <c r="E274" s="52"/>
      <c r="F274" s="52"/>
    </row>
    <row r="275" spans="2:6" x14ac:dyDescent="0.35">
      <c r="B275" s="52"/>
      <c r="C275" s="52"/>
      <c r="D275" s="68"/>
      <c r="E275" s="52"/>
      <c r="F275" s="52"/>
    </row>
    <row r="276" spans="2:6" x14ac:dyDescent="0.35">
      <c r="B276" s="52"/>
      <c r="C276" s="52"/>
      <c r="D276" s="68"/>
      <c r="E276" s="52"/>
      <c r="F276" s="52"/>
    </row>
    <row r="277" spans="2:6" x14ac:dyDescent="0.35">
      <c r="B277" s="52"/>
      <c r="C277" s="52"/>
      <c r="D277" s="68"/>
      <c r="E277" s="52"/>
      <c r="F277" s="52"/>
    </row>
    <row r="278" spans="2:6" x14ac:dyDescent="0.35">
      <c r="B278" s="52"/>
      <c r="C278" s="52"/>
      <c r="D278" s="68"/>
      <c r="E278" s="52"/>
      <c r="F278" s="52"/>
    </row>
    <row r="279" spans="2:6" x14ac:dyDescent="0.35">
      <c r="B279" s="52"/>
      <c r="C279" s="52"/>
      <c r="D279" s="68"/>
      <c r="E279" s="52"/>
      <c r="F279" s="52"/>
    </row>
    <row r="280" spans="2:6" x14ac:dyDescent="0.35">
      <c r="B280" s="52"/>
      <c r="C280" s="52"/>
      <c r="D280" s="68"/>
      <c r="E280" s="52"/>
      <c r="F280" s="52"/>
    </row>
    <row r="281" spans="2:6" x14ac:dyDescent="0.35">
      <c r="B281" s="52"/>
      <c r="C281" s="52"/>
      <c r="D281" s="68"/>
      <c r="E281" s="52"/>
      <c r="F281" s="52"/>
    </row>
    <row r="282" spans="2:6" x14ac:dyDescent="0.35">
      <c r="B282" s="52"/>
      <c r="C282" s="52"/>
      <c r="D282" s="68"/>
      <c r="E282" s="52"/>
      <c r="F282" s="52"/>
    </row>
    <row r="283" spans="2:6" x14ac:dyDescent="0.35">
      <c r="B283" s="52"/>
      <c r="C283" s="52"/>
      <c r="D283" s="68"/>
      <c r="E283" s="52"/>
      <c r="F283" s="52"/>
    </row>
    <row r="284" spans="2:6" x14ac:dyDescent="0.35">
      <c r="B284" s="52"/>
      <c r="C284" s="52"/>
      <c r="D284" s="68"/>
      <c r="E284" s="52"/>
      <c r="F284" s="52"/>
    </row>
    <row r="285" spans="2:6" x14ac:dyDescent="0.35">
      <c r="B285" s="52"/>
      <c r="C285" s="52"/>
      <c r="D285" s="68"/>
      <c r="E285" s="52"/>
      <c r="F285" s="52"/>
    </row>
    <row r="286" spans="2:6" x14ac:dyDescent="0.35">
      <c r="B286" s="52"/>
      <c r="C286" s="52"/>
      <c r="D286" s="68"/>
      <c r="E286" s="52"/>
      <c r="F286" s="52"/>
    </row>
    <row r="287" spans="2:6" x14ac:dyDescent="0.35">
      <c r="B287" s="52"/>
      <c r="C287" s="52"/>
      <c r="D287" s="68"/>
      <c r="E287" s="52"/>
      <c r="F287" s="52"/>
    </row>
    <row r="288" spans="2:6" x14ac:dyDescent="0.35">
      <c r="B288" s="52"/>
      <c r="C288" s="52"/>
      <c r="D288" s="68"/>
      <c r="E288" s="52"/>
      <c r="F288" s="52"/>
    </row>
    <row r="289" spans="2:6" x14ac:dyDescent="0.35">
      <c r="B289" s="52"/>
      <c r="C289" s="52"/>
      <c r="D289" s="68"/>
      <c r="E289" s="52"/>
      <c r="F289" s="52"/>
    </row>
    <row r="290" spans="2:6" x14ac:dyDescent="0.35">
      <c r="B290" s="52"/>
      <c r="C290" s="52"/>
      <c r="D290" s="68"/>
      <c r="E290" s="52"/>
      <c r="F290" s="52"/>
    </row>
    <row r="291" spans="2:6" x14ac:dyDescent="0.35">
      <c r="B291" s="52"/>
      <c r="C291" s="52"/>
      <c r="D291" s="68"/>
      <c r="E291" s="52"/>
      <c r="F291" s="52"/>
    </row>
    <row r="292" spans="2:6" x14ac:dyDescent="0.35">
      <c r="B292" s="52"/>
      <c r="C292" s="52"/>
      <c r="D292" s="68"/>
      <c r="E292" s="52"/>
      <c r="F292" s="52"/>
    </row>
    <row r="293" spans="2:6" x14ac:dyDescent="0.35">
      <c r="B293" s="52"/>
      <c r="C293" s="52"/>
      <c r="D293" s="68"/>
      <c r="E293" s="52"/>
      <c r="F293" s="52"/>
    </row>
    <row r="294" spans="2:6" x14ac:dyDescent="0.35">
      <c r="B294" s="52"/>
      <c r="C294" s="52"/>
      <c r="D294" s="68"/>
      <c r="E294" s="52"/>
      <c r="F294" s="52"/>
    </row>
    <row r="295" spans="2:6" x14ac:dyDescent="0.35">
      <c r="B295" s="52"/>
      <c r="C295" s="52"/>
      <c r="D295" s="68"/>
      <c r="E295" s="52"/>
      <c r="F295" s="52"/>
    </row>
    <row r="296" spans="2:6" x14ac:dyDescent="0.35">
      <c r="B296" s="52"/>
      <c r="C296" s="52"/>
      <c r="D296" s="68"/>
      <c r="E296" s="52"/>
      <c r="F296" s="52"/>
    </row>
    <row r="297" spans="2:6" x14ac:dyDescent="0.35">
      <c r="B297" s="52"/>
      <c r="C297" s="52"/>
      <c r="D297" s="68"/>
      <c r="E297" s="52"/>
      <c r="F297" s="52"/>
    </row>
    <row r="298" spans="2:6" x14ac:dyDescent="0.35">
      <c r="B298" s="52"/>
      <c r="C298" s="52"/>
      <c r="D298" s="68"/>
      <c r="E298" s="52"/>
      <c r="F298" s="52"/>
    </row>
    <row r="299" spans="2:6" x14ac:dyDescent="0.35">
      <c r="B299" s="52"/>
      <c r="C299" s="52"/>
      <c r="D299" s="68"/>
      <c r="E299" s="52"/>
      <c r="F299" s="52"/>
    </row>
    <row r="300" spans="2:6" x14ac:dyDescent="0.35">
      <c r="B300" s="52"/>
      <c r="C300" s="52"/>
      <c r="D300" s="68"/>
      <c r="E300" s="52"/>
      <c r="F300" s="52"/>
    </row>
    <row r="301" spans="2:6" x14ac:dyDescent="0.35">
      <c r="B301" s="52"/>
      <c r="C301" s="52"/>
      <c r="D301" s="68"/>
      <c r="E301" s="52"/>
      <c r="F301" s="52"/>
    </row>
    <row r="302" spans="2:6" x14ac:dyDescent="0.35">
      <c r="B302" s="52"/>
      <c r="C302" s="52"/>
      <c r="D302" s="68"/>
      <c r="E302" s="52"/>
      <c r="F302" s="52"/>
    </row>
    <row r="303" spans="2:6" x14ac:dyDescent="0.35">
      <c r="B303" s="52"/>
      <c r="C303" s="52"/>
      <c r="D303" s="68"/>
      <c r="E303" s="52"/>
      <c r="F303" s="52"/>
    </row>
    <row r="304" spans="2:6" x14ac:dyDescent="0.35">
      <c r="B304" s="52"/>
      <c r="C304" s="52"/>
      <c r="D304" s="68"/>
      <c r="E304" s="52"/>
      <c r="F304" s="52"/>
    </row>
    <row r="305" spans="2:6" x14ac:dyDescent="0.35">
      <c r="B305" s="52"/>
      <c r="C305" s="52"/>
      <c r="D305" s="68"/>
      <c r="E305" s="52"/>
      <c r="F305" s="52"/>
    </row>
    <row r="306" spans="2:6" x14ac:dyDescent="0.35">
      <c r="B306" s="52"/>
      <c r="C306" s="52"/>
      <c r="D306" s="68"/>
      <c r="E306" s="52"/>
      <c r="F306" s="52"/>
    </row>
    <row r="307" spans="2:6" x14ac:dyDescent="0.35">
      <c r="B307" s="52"/>
      <c r="C307" s="52"/>
      <c r="D307" s="68"/>
      <c r="E307" s="52"/>
      <c r="F307" s="52"/>
    </row>
    <row r="308" spans="2:6" x14ac:dyDescent="0.35">
      <c r="B308" s="52"/>
      <c r="C308" s="52"/>
      <c r="D308" s="68"/>
      <c r="E308" s="52"/>
      <c r="F308" s="52"/>
    </row>
    <row r="309" spans="2:6" x14ac:dyDescent="0.35">
      <c r="B309" s="52"/>
      <c r="C309" s="52"/>
      <c r="D309" s="68"/>
      <c r="E309" s="52"/>
      <c r="F309" s="52"/>
    </row>
    <row r="310" spans="2:6" x14ac:dyDescent="0.35">
      <c r="B310" s="52"/>
      <c r="C310" s="52"/>
      <c r="D310" s="68"/>
      <c r="E310" s="52"/>
      <c r="F310" s="52"/>
    </row>
    <row r="311" spans="2:6" x14ac:dyDescent="0.35">
      <c r="B311" s="52"/>
      <c r="C311" s="52"/>
      <c r="D311" s="68"/>
      <c r="E311" s="52"/>
      <c r="F311" s="52"/>
    </row>
    <row r="312" spans="2:6" x14ac:dyDescent="0.35">
      <c r="B312" s="52"/>
      <c r="C312" s="52"/>
      <c r="D312" s="68"/>
      <c r="E312" s="52"/>
      <c r="F312" s="52"/>
    </row>
    <row r="313" spans="2:6" x14ac:dyDescent="0.35">
      <c r="B313" s="52"/>
      <c r="C313" s="52"/>
      <c r="D313" s="68"/>
      <c r="E313" s="52"/>
      <c r="F313" s="52"/>
    </row>
    <row r="314" spans="2:6" x14ac:dyDescent="0.35">
      <c r="B314" s="52"/>
      <c r="C314" s="52"/>
      <c r="D314" s="68"/>
      <c r="E314" s="52"/>
      <c r="F314" s="52"/>
    </row>
    <row r="315" spans="2:6" x14ac:dyDescent="0.35">
      <c r="B315" s="52"/>
      <c r="C315" s="52"/>
      <c r="D315" s="68"/>
      <c r="E315" s="52"/>
      <c r="F315" s="52"/>
    </row>
    <row r="316" spans="2:6" x14ac:dyDescent="0.35">
      <c r="B316" s="52"/>
      <c r="C316" s="52"/>
      <c r="D316" s="68"/>
      <c r="E316" s="52"/>
      <c r="F316" s="52"/>
    </row>
    <row r="317" spans="2:6" x14ac:dyDescent="0.35">
      <c r="B317" s="52"/>
      <c r="C317" s="52"/>
      <c r="D317" s="68"/>
      <c r="E317" s="52"/>
      <c r="F317" s="52"/>
    </row>
    <row r="318" spans="2:6" x14ac:dyDescent="0.35">
      <c r="B318" s="52"/>
      <c r="C318" s="52"/>
      <c r="D318" s="68"/>
      <c r="E318" s="52"/>
      <c r="F318" s="52"/>
    </row>
    <row r="319" spans="2:6" x14ac:dyDescent="0.35">
      <c r="B319" s="52"/>
      <c r="C319" s="52"/>
      <c r="D319" s="68"/>
      <c r="E319" s="52"/>
      <c r="F319" s="52"/>
    </row>
    <row r="320" spans="2:6" x14ac:dyDescent="0.35">
      <c r="B320" s="52"/>
      <c r="C320" s="52"/>
      <c r="D320" s="68"/>
      <c r="E320" s="52"/>
      <c r="F320" s="52"/>
    </row>
    <row r="321" spans="2:6" x14ac:dyDescent="0.35">
      <c r="B321" s="52"/>
      <c r="C321" s="52"/>
      <c r="D321" s="68"/>
      <c r="E321" s="52"/>
      <c r="F321" s="52"/>
    </row>
    <row r="322" spans="2:6" x14ac:dyDescent="0.35">
      <c r="B322" s="52"/>
      <c r="C322" s="52"/>
      <c r="D322" s="68"/>
      <c r="E322" s="52"/>
      <c r="F322" s="52"/>
    </row>
    <row r="323" spans="2:6" x14ac:dyDescent="0.35">
      <c r="B323" s="52"/>
      <c r="C323" s="52"/>
      <c r="D323" s="68"/>
      <c r="E323" s="52"/>
      <c r="F323" s="52"/>
    </row>
    <row r="324" spans="2:6" x14ac:dyDescent="0.35">
      <c r="B324" s="52"/>
      <c r="C324" s="52"/>
      <c r="D324" s="68"/>
      <c r="E324" s="52"/>
      <c r="F324" s="52"/>
    </row>
    <row r="325" spans="2:6" x14ac:dyDescent="0.35">
      <c r="B325" s="52"/>
      <c r="C325" s="52"/>
      <c r="D325" s="68"/>
      <c r="E325" s="52"/>
      <c r="F325" s="52"/>
    </row>
    <row r="326" spans="2:6" x14ac:dyDescent="0.35">
      <c r="B326" s="52"/>
      <c r="C326" s="52"/>
      <c r="D326" s="68"/>
      <c r="E326" s="52"/>
      <c r="F326" s="52"/>
    </row>
    <row r="327" spans="2:6" x14ac:dyDescent="0.35">
      <c r="B327" s="52"/>
      <c r="C327" s="52"/>
      <c r="D327" s="68"/>
      <c r="E327" s="52"/>
      <c r="F327" s="52"/>
    </row>
    <row r="328" spans="2:6" x14ac:dyDescent="0.35">
      <c r="B328" s="52"/>
      <c r="C328" s="52"/>
      <c r="D328" s="68"/>
      <c r="E328" s="52"/>
      <c r="F328" s="52"/>
    </row>
    <row r="329" spans="2:6" x14ac:dyDescent="0.35">
      <c r="B329" s="52"/>
      <c r="C329" s="52"/>
      <c r="D329" s="68"/>
      <c r="E329" s="52"/>
      <c r="F329" s="52"/>
    </row>
    <row r="330" spans="2:6" x14ac:dyDescent="0.35">
      <c r="B330" s="52"/>
      <c r="C330" s="52"/>
      <c r="D330" s="68"/>
      <c r="E330" s="52"/>
      <c r="F330" s="52"/>
    </row>
    <row r="331" spans="2:6" x14ac:dyDescent="0.35">
      <c r="B331" s="52"/>
      <c r="C331" s="52"/>
      <c r="D331" s="68"/>
      <c r="E331" s="52"/>
      <c r="F331" s="52"/>
    </row>
    <row r="332" spans="2:6" x14ac:dyDescent="0.35">
      <c r="B332" s="52"/>
      <c r="C332" s="52"/>
      <c r="D332" s="68"/>
      <c r="E332" s="52"/>
      <c r="F332" s="52"/>
    </row>
  </sheetData>
  <mergeCells count="1">
    <mergeCell ref="B2:C2"/>
  </mergeCells>
  <dataValidations disablePrompts="1" count="1">
    <dataValidation type="whole" allowBlank="1" showInputMessage="1" showErrorMessage="1" sqref="D81:D332" xr:uid="{47523B53-B5F8-4FC8-9514-CC748E0B409F}">
      <formula1>1</formula1>
      <formula2>300</formula2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" id="{25CB8941-03BC-4E5D-AE86-ECE442FF999F}">
            <xm:f>_xlfn.CEILING.MATH((ROW()-80)/'League Settings'!$I$2)&gt;SUM('League Settings'!$F$4:$F$11)</xm:f>
            <x14:dxf>
              <font>
                <color theme="0"/>
              </font>
              <fill>
                <patternFill patternType="none">
                  <bgColor auto="1"/>
                </patternFill>
              </fill>
              <border>
                <left/>
                <right/>
                <top/>
                <bottom/>
                <vertical/>
                <horizontal/>
              </border>
            </x14:dxf>
          </x14:cfRule>
          <xm:sqref>B81:F332</xm:sqref>
        </x14:conditionalFormatting>
        <x14:conditionalFormatting xmlns:xm="http://schemas.microsoft.com/office/excel/2006/main">
          <x14:cfRule type="expression" priority="54" id="{00000000-000E-0000-0500-000006000000}">
            <xm:f>ISNUMBER(MATCH($E4,'Live Draft Picks'!$D$3:$D$252,0))</xm:f>
            <x14:dxf>
              <fill>
                <patternFill>
                  <bgColor rgb="FFFF0000"/>
                </patternFill>
              </fill>
            </x14:dxf>
          </x14:cfRule>
          <xm:sqref>B4:E33</xm:sqref>
        </x14:conditionalFormatting>
        <x14:conditionalFormatting xmlns:xm="http://schemas.microsoft.com/office/excel/2006/main">
          <x14:cfRule type="expression" priority="55" id="{00000000-000E-0000-0500-000005000000}">
            <xm:f>ISNUMBER(MATCH($J4,'Live Draft Picks'!$D$3:$D$252,0))</xm:f>
            <x14:dxf>
              <fill>
                <patternFill>
                  <bgColor rgb="FFFF0000"/>
                </patternFill>
              </fill>
            </x14:dxf>
          </x14:cfRule>
          <xm:sqref>G4:J78</xm:sqref>
        </x14:conditionalFormatting>
        <x14:conditionalFormatting xmlns:xm="http://schemas.microsoft.com/office/excel/2006/main">
          <x14:cfRule type="expression" priority="56" id="{00000000-000E-0000-0500-000004000000}">
            <xm:f>ISNUMBER(MATCH($O4,'Live Draft Picks'!$D$3:$D$252,0))</xm:f>
            <x14:dxf>
              <fill>
                <patternFill>
                  <bgColor rgb="FFFF0000"/>
                </patternFill>
              </fill>
            </x14:dxf>
          </x14:cfRule>
          <xm:sqref>L4:O78</xm:sqref>
        </x14:conditionalFormatting>
        <x14:conditionalFormatting xmlns:xm="http://schemas.microsoft.com/office/excel/2006/main">
          <x14:cfRule type="expression" priority="57" id="{00000000-000E-0000-0500-000003000000}">
            <xm:f>ISNUMBER(MATCH($T4,'Live Draft Picks'!$D$3:$D$252,0))</xm:f>
            <x14:dxf>
              <fill>
                <patternFill>
                  <bgColor rgb="FFFF0000"/>
                </patternFill>
              </fill>
            </x14:dxf>
          </x14:cfRule>
          <xm:sqref>Q4:T33</xm:sqref>
        </x14:conditionalFormatting>
        <x14:conditionalFormatting xmlns:xm="http://schemas.microsoft.com/office/excel/2006/main">
          <x14:cfRule type="expression" priority="58" id="{00000000-000E-0000-0500-000002000000}">
            <xm:f>ISNUMBER(MATCH($Y4,'Live Draft Picks'!$D$3:$D$252,0))</xm:f>
            <x14:dxf>
              <fill>
                <patternFill>
                  <bgColor rgb="FFFF0000"/>
                </patternFill>
              </fill>
            </x14:dxf>
          </x14:cfRule>
          <xm:sqref>V4:Y23</xm:sqref>
        </x14:conditionalFormatting>
        <x14:conditionalFormatting xmlns:xm="http://schemas.microsoft.com/office/excel/2006/main">
          <x14:cfRule type="expression" priority="60" id="{00000000-000E-0000-0500-000001000000}">
            <xm:f>ISNUMBER(MATCH($AD4,'Live Draft Picks'!$D$3:$D$252,0))</xm:f>
            <x14:dxf>
              <fill>
                <patternFill>
                  <bgColor rgb="FFFF0000"/>
                </patternFill>
              </fill>
            </x14:dxf>
          </x14:cfRule>
          <xm:sqref>AA4:AD23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78B95-331D-4F49-A513-F5CA973E6949}">
  <sheetPr codeName="Sheet1"/>
  <dimension ref="B1:AE56"/>
  <sheetViews>
    <sheetView workbookViewId="0">
      <selection activeCell="F14" sqref="F14"/>
    </sheetView>
  </sheetViews>
  <sheetFormatPr defaultRowHeight="14.5" x14ac:dyDescent="0.35"/>
  <cols>
    <col min="1" max="1" width="2.1796875" style="1" customWidth="1" collapsed="1"/>
    <col min="2" max="3" width="8.7265625" style="1" collapsed="1"/>
    <col min="4" max="4" width="8.7265625" style="1" customWidth="1" collapsed="1"/>
    <col min="5" max="6" width="8.7265625" style="1" collapsed="1"/>
    <col min="7" max="7" width="2.453125" style="1" customWidth="1" collapsed="1"/>
    <col min="8" max="8" width="15.81640625" style="1" bestFit="1" customWidth="1" collapsed="1"/>
    <col min="9" max="9" width="12.1796875" style="1" bestFit="1" customWidth="1" collapsed="1"/>
    <col min="10" max="10" width="16" style="1" bestFit="1" customWidth="1" collapsed="1"/>
    <col min="11" max="11" width="2" style="1" customWidth="1" collapsed="1"/>
    <col min="12" max="13" width="8.7265625" style="1" collapsed="1"/>
    <col min="14" max="14" width="1.453125" style="1" bestFit="1" customWidth="1" collapsed="1"/>
    <col min="15" max="17" width="8.7265625" style="1" collapsed="1"/>
    <col min="18" max="18" width="1.453125" style="1" bestFit="1" customWidth="1" collapsed="1"/>
    <col min="19" max="19" width="8.7265625" style="1" collapsed="1"/>
    <col min="20" max="20" width="4.81640625" style="1" bestFit="1" customWidth="1" collapsed="1"/>
    <col min="21" max="21" width="3.81640625" style="1" bestFit="1" customWidth="1" collapsed="1"/>
    <col min="22" max="22" width="4.81640625" style="1" bestFit="1" customWidth="1" collapsed="1"/>
    <col min="23" max="23" width="3.81640625" style="1" bestFit="1" customWidth="1" collapsed="1"/>
    <col min="24" max="24" width="4.81640625" style="1" bestFit="1" customWidth="1" collapsed="1"/>
    <col min="25" max="25" width="3.81640625" style="1" bestFit="1" customWidth="1" collapsed="1"/>
    <col min="26" max="26" width="4.81640625" style="1" bestFit="1" customWidth="1" collapsed="1"/>
    <col min="27" max="27" width="3.81640625" style="1" bestFit="1" customWidth="1" collapsed="1"/>
    <col min="28" max="28" width="4.81640625" style="1" bestFit="1" customWidth="1" collapsed="1"/>
    <col min="29" max="29" width="3.81640625" style="1" bestFit="1" customWidth="1" collapsed="1"/>
    <col min="30" max="30" width="4.81640625" style="1" bestFit="1" customWidth="1" collapsed="1"/>
    <col min="31" max="31" width="3.81640625" style="1" bestFit="1" customWidth="1" collapsed="1"/>
    <col min="32" max="16384" width="8.7265625" style="1" collapsed="1"/>
  </cols>
  <sheetData>
    <row r="1" spans="2:31" ht="8.5" customHeight="1" thickBot="1" x14ac:dyDescent="0.4"/>
    <row r="2" spans="2:31" ht="15" thickBot="1" x14ac:dyDescent="0.4">
      <c r="B2" s="5" t="s">
        <v>0</v>
      </c>
      <c r="C2" s="2" t="s">
        <v>2</v>
      </c>
      <c r="E2" s="185" t="s">
        <v>11</v>
      </c>
      <c r="F2" s="186"/>
      <c r="H2" s="5" t="s">
        <v>14</v>
      </c>
      <c r="I2" s="2">
        <v>8</v>
      </c>
      <c r="L2" s="193" t="s">
        <v>831</v>
      </c>
      <c r="M2" s="196"/>
      <c r="O2" s="185" t="s">
        <v>857</v>
      </c>
      <c r="P2" s="189"/>
      <c r="Q2" s="186"/>
      <c r="S2" s="185" t="s">
        <v>983</v>
      </c>
      <c r="T2" s="189"/>
      <c r="U2" s="189"/>
      <c r="V2" s="189"/>
      <c r="W2" s="189"/>
      <c r="X2" s="189"/>
      <c r="Y2" s="189"/>
      <c r="Z2" s="189"/>
      <c r="AA2" s="189"/>
      <c r="AB2" s="189"/>
      <c r="AC2" s="189"/>
      <c r="AD2" s="189"/>
      <c r="AE2" s="186"/>
    </row>
    <row r="3" spans="2:31" ht="15" thickBot="1" x14ac:dyDescent="0.4">
      <c r="E3" s="10" t="s">
        <v>12</v>
      </c>
      <c r="F3" s="11" t="s">
        <v>13</v>
      </c>
      <c r="L3" s="50" t="s">
        <v>832</v>
      </c>
      <c r="M3" s="53">
        <v>0.04</v>
      </c>
      <c r="O3" s="10" t="s">
        <v>32</v>
      </c>
      <c r="P3" s="56" t="s">
        <v>13</v>
      </c>
      <c r="Q3" s="11" t="s">
        <v>858</v>
      </c>
      <c r="S3" s="190" t="s">
        <v>825</v>
      </c>
      <c r="T3" s="187" t="s">
        <v>3</v>
      </c>
      <c r="U3" s="187"/>
      <c r="V3" s="187" t="s">
        <v>4</v>
      </c>
      <c r="W3" s="187"/>
      <c r="X3" s="187" t="s">
        <v>5</v>
      </c>
      <c r="Y3" s="187"/>
      <c r="Z3" s="187" t="s">
        <v>7</v>
      </c>
      <c r="AA3" s="187"/>
      <c r="AB3" s="187" t="s">
        <v>8</v>
      </c>
      <c r="AC3" s="187"/>
      <c r="AD3" s="187" t="s">
        <v>9</v>
      </c>
      <c r="AE3" s="188"/>
    </row>
    <row r="4" spans="2:31" ht="14.5" customHeight="1" x14ac:dyDescent="0.35">
      <c r="B4" s="191" t="s">
        <v>1</v>
      </c>
      <c r="E4" s="12" t="s">
        <v>3</v>
      </c>
      <c r="F4" s="7">
        <v>1</v>
      </c>
      <c r="H4" s="14" t="s">
        <v>15</v>
      </c>
      <c r="I4" s="19" t="s">
        <v>16</v>
      </c>
      <c r="J4" s="15" t="s">
        <v>824</v>
      </c>
      <c r="L4" s="12" t="s">
        <v>833</v>
      </c>
      <c r="M4" s="7">
        <v>4</v>
      </c>
      <c r="O4" s="12" t="s">
        <v>3</v>
      </c>
      <c r="P4" s="29">
        <f>ROUND(F4*(F$4+F$5+F$6+F$7+F$8+F$11)/F$11*I$2,0)+1</f>
        <v>17</v>
      </c>
      <c r="Q4" s="57">
        <f>[1]QB!$AL$4*P4^5+[1]QB!$AM$4*P4^4+[1]QB!$AN$4*P4^3+[1]QB!$AO$4*P4^2+[1]QB!$AP$4*P4+[1]QB!$AQ$4</f>
        <v>259.36823237342082</v>
      </c>
      <c r="S4" s="190"/>
      <c r="T4" s="29" t="s">
        <v>984</v>
      </c>
      <c r="U4" s="29" t="s">
        <v>985</v>
      </c>
      <c r="V4" s="29" t="s">
        <v>984</v>
      </c>
      <c r="W4" s="29" t="s">
        <v>985</v>
      </c>
      <c r="X4" s="29" t="s">
        <v>984</v>
      </c>
      <c r="Y4" s="29" t="s">
        <v>985</v>
      </c>
      <c r="Z4" s="29" t="s">
        <v>984</v>
      </c>
      <c r="AA4" s="29" t="s">
        <v>985</v>
      </c>
      <c r="AB4" s="29" t="s">
        <v>984</v>
      </c>
      <c r="AC4" s="29" t="s">
        <v>985</v>
      </c>
      <c r="AD4" s="29" t="s">
        <v>984</v>
      </c>
      <c r="AE4" s="63" t="s">
        <v>985</v>
      </c>
    </row>
    <row r="5" spans="2:31" x14ac:dyDescent="0.35">
      <c r="B5" s="192"/>
      <c r="E5" s="12" t="s">
        <v>4</v>
      </c>
      <c r="F5" s="7">
        <v>2</v>
      </c>
      <c r="H5" s="6" t="s">
        <v>17</v>
      </c>
      <c r="I5" s="29">
        <f>IF(ROW()-4&lt;=$I$2,ROW()-4,"")</f>
        <v>1</v>
      </c>
      <c r="J5" s="30"/>
      <c r="K5" s="25" t="b">
        <v>1</v>
      </c>
      <c r="L5" s="12" t="s">
        <v>834</v>
      </c>
      <c r="M5" s="7">
        <v>0.1</v>
      </c>
      <c r="O5" s="12" t="s">
        <v>4</v>
      </c>
      <c r="P5" s="29">
        <f>ROUND((F5+F8*0.5)*(F$4+F$5+F$6+F$7+F$8+F$11)/F$11*I$2,0)+1</f>
        <v>41</v>
      </c>
      <c r="Q5" s="57">
        <f>[1]RB!$AL$4*P5^5+[1]RB!$AM$4*P5^4+[1]RB!$AN$4*P5^3+[1]RB!$AO$4*P5^2+[1]RB!$AP$4*P5+[1]RB!$AQ$4</f>
        <v>140.89814838037103</v>
      </c>
      <c r="S5" s="12">
        <f t="shared" ref="S5:S20" si="0">IF(ROW()-4&lt;=SUM($F$4:$F$11)+2,ROW()-4,"")</f>
        <v>1</v>
      </c>
      <c r="T5" s="20" t="s">
        <v>982</v>
      </c>
      <c r="U5" s="20" t="s">
        <v>982</v>
      </c>
      <c r="V5" s="65" t="s">
        <v>982</v>
      </c>
      <c r="W5" s="65" t="s">
        <v>982</v>
      </c>
      <c r="X5" s="20" t="s">
        <v>982</v>
      </c>
      <c r="Y5" s="20" t="s">
        <v>982</v>
      </c>
      <c r="Z5" s="17" t="s">
        <v>982</v>
      </c>
      <c r="AA5" s="17" t="s">
        <v>982</v>
      </c>
      <c r="AB5" s="20" t="s">
        <v>982</v>
      </c>
      <c r="AC5" s="20" t="s">
        <v>982</v>
      </c>
      <c r="AD5" s="17" t="s">
        <v>982</v>
      </c>
      <c r="AE5" s="7" t="s">
        <v>982</v>
      </c>
    </row>
    <row r="6" spans="2:31" x14ac:dyDescent="0.35">
      <c r="B6" s="3" t="s">
        <v>2</v>
      </c>
      <c r="E6" s="12" t="s">
        <v>5</v>
      </c>
      <c r="F6" s="7">
        <v>2</v>
      </c>
      <c r="H6" s="6" t="s">
        <v>18</v>
      </c>
      <c r="I6" s="29">
        <f t="shared" ref="I6:I18" si="1">IF(ROW()-4&lt;=$I$2,ROW()-4,"")</f>
        <v>2</v>
      </c>
      <c r="J6" s="7"/>
      <c r="K6" s="25" t="b">
        <v>0</v>
      </c>
      <c r="L6" s="12" t="s">
        <v>835</v>
      </c>
      <c r="M6" s="7">
        <v>6</v>
      </c>
      <c r="O6" s="12" t="s">
        <v>5</v>
      </c>
      <c r="P6" s="29">
        <f>ROUND((F6+F8*0.5)*(F$4+F$5+F$6+F$7+F$8+F$11)/F$11*I$2,0)+1</f>
        <v>41</v>
      </c>
      <c r="Q6" s="57">
        <f>[1]WR!$AL$4*P6^5+[1]WR!$AM$4*P6^4+[1]WR!$AN$4*P6^3+[1]WR!$AO$4*P6^2+[1]WR!$AP$4*P6+[1]WR!$AQ$4</f>
        <v>180.42282182806974</v>
      </c>
      <c r="S6" s="12">
        <f t="shared" si="0"/>
        <v>2</v>
      </c>
      <c r="T6" s="20">
        <f>IF(ROW()-4&lt;=SUM($F$4:$F$11)+2,COUNTIF('Default Rankings'!$J$3:$J$32,"&lt;"&amp;$I$2*($S6-1)+IF(MOD($S6,2)=0,$I$2-$F$13,$F$13))+1,"")</f>
        <v>1</v>
      </c>
      <c r="U6" s="64">
        <f>IF(ROW()-4&lt;=SUM($F$4:$F$11)+2,[1]QB!$AL$4*T6^5+[1]QB!$AM$4*T6^4+[1]QB!$AN$4*T6^3+[1]QB!$AO$4*T6^2+[1]QB!$AP$4*T6+[1]QB!$AQ$4,"")</f>
        <v>387.29989379005508</v>
      </c>
      <c r="V6" s="65">
        <f>IF(ROW()-4&lt;=SUM($F$4:$F$11)+2,COUNTIF('Default Rankings'!$O$3:$O$77,"&lt;"&amp;$I$2*($S6-1)+IF(MOD($S6,2)=0,$I$2-$F$13,$F$13))+1,"")</f>
        <v>12</v>
      </c>
      <c r="W6" s="66">
        <f>IF(ROW()-4&lt;=SUM($F$4:$F$11)+2,[1]RB!$AL$4*V6^5+[1]RB!$AM$4*V6^4+[1]RB!$AN$4*V6^3+[1]RB!$AO$4*V6^2+[1]RB!$AP$4*V6+[1]RB!$AQ$4,"")</f>
        <v>245.15816704242815</v>
      </c>
      <c r="X6" s="20">
        <f>IF(ROW()-4&lt;=SUM($F$4:$F$11)+2,COUNTIF('Default Rankings'!$T$3:$T$77,"&lt;"&amp;$I$2*($S6-1)+IF(MOD($S6,2)=0,$I$2-$F$13,$F$13))+1,"")</f>
        <v>2</v>
      </c>
      <c r="Y6" s="64">
        <f>IF(ROW()-4&lt;=SUM($F$4:$F$11)+2,[1]WR!$AL$4*X6^5+[1]WR!$AM$4*X6^4+[1]WR!$AN$4*X6^3+[1]WR!$AO$4*X6^2+[1]WR!$AP$4*X6+[1]WR!$AQ$4,"")</f>
        <v>325.20731282561911</v>
      </c>
      <c r="Z6" s="65">
        <f>IF(ROW()-4&lt;=SUM($F$4:$F$11)+2,COUNTIF('Default Rankings'!$Y$3:$Y$32,"&lt;"&amp;$I$2*($S6-1)+IF(MOD($S6,2)=0,$I$2-$F$13,$F$13))+1,"")</f>
        <v>1</v>
      </c>
      <c r="AA6" s="66">
        <f>IF(ROW()-4&lt;=SUM($F$4:$F$11)+2,[1]TE!$AL$4*Z6^5+[1]TE!$AM$4*Z6^4+[1]TE!$AN$4*Z6^3+[1]TE!$AO$4*Z6^2+[1]TE!$AP$4*Z6+[1]TE!$AQ$4,"")</f>
        <v>266.52650707351137</v>
      </c>
      <c r="AB6" s="20">
        <f>IF(ROW()-4&lt;=SUM($F$4:$F$11)+2,COUNTIF('Default Rankings'!$AD$3:$AD$22,"&lt;"&amp;$I$2*($S6-1)+IF(MOD($S6,2)=0,$I$2-$F$13,$F$13))+1,"")</f>
        <v>1</v>
      </c>
      <c r="AC6" s="64">
        <f>IF(ROW()-4&lt;=SUM($F$4:$F$11)+2,[1]DST!$R$4*AB6^5+[1]DST!$S$4*AB6^4+[1]DST!$T$4*AB6^3+[1]DST!$U$4*AB6^2+[1]DST!$V$4*AB6+[1]DST!$W$4,"")</f>
        <v>158.63586283460145</v>
      </c>
      <c r="AD6" s="65">
        <f>IF(ROW()-4&lt;=SUM($F$4:$F$11)+2,COUNTIF('Default Rankings'!$AI$3:$AI$22,"&lt;"&amp;$I$2*($S6-1)+IF(MOD($S6,2)=0,$I$2-$F$13,$F$13))+1,"")</f>
        <v>1</v>
      </c>
      <c r="AE6" s="67">
        <f>IF(ROW()-4&lt;=SUM($F$4:$F$11)+2,[1]K!$AG$4*AD6^5+[1]K!$AH$4*AD6^4+[1]K!$AI$4*AD6^3+[1]K!$AJ$4*AD6^2+[1]K!$AK$4*AD6+[1]K!$AL$4,"")</f>
        <v>182.24678467582021</v>
      </c>
    </row>
    <row r="7" spans="2:31" x14ac:dyDescent="0.35">
      <c r="B7" s="3"/>
      <c r="E7" s="12" t="s">
        <v>7</v>
      </c>
      <c r="F7" s="7">
        <v>1</v>
      </c>
      <c r="H7" s="6" t="s">
        <v>19</v>
      </c>
      <c r="I7" s="29">
        <f t="shared" si="1"/>
        <v>3</v>
      </c>
      <c r="J7" s="7"/>
      <c r="K7" s="25" t="b">
        <v>0</v>
      </c>
      <c r="L7" s="12" t="s">
        <v>836</v>
      </c>
      <c r="M7" s="7">
        <v>1</v>
      </c>
      <c r="O7" s="12" t="s">
        <v>7</v>
      </c>
      <c r="P7" s="29">
        <f>ROUND(F7*(F$4+F$5+F$6+F$7+F$8+F$11)/F$11*I$2,0)+1</f>
        <v>17</v>
      </c>
      <c r="Q7" s="57">
        <f>[1]TE!$AL$4*P7^5+[1]TE!$AM$4*P7^4+[1]TE!$AN$4*P7^3+[1]TE!$AO$4*P7^2+[1]TE!$AP$4*P7+[1]TE!$AQ$4</f>
        <v>126.2780919703421</v>
      </c>
      <c r="S7" s="12">
        <f t="shared" si="0"/>
        <v>3</v>
      </c>
      <c r="T7" s="20">
        <f>IF(ROW()-4&lt;=SUM($F$4:$F$11)+2,COUNTIF('Default Rankings'!$J$3:$J$32,"&lt;"&amp;$I$2*($S7-1)+IF(MOD($S7,2)=0,$I$2-$F$13,$F$13))+1,"")</f>
        <v>1</v>
      </c>
      <c r="U7" s="64">
        <f>IF(ROW()-4&lt;=SUM($F$4:$F$11)+2,[1]QB!$AL$4*T7^5+[1]QB!$AM$4*T7^4+[1]QB!$AN$4*T7^3+[1]QB!$AO$4*T7^2+[1]QB!$AP$4*T7+[1]QB!$AQ$4,"")</f>
        <v>387.29989379005508</v>
      </c>
      <c r="V7" s="65">
        <f>IF(ROW()-4&lt;=SUM($F$4:$F$11)+2,COUNTIF('Default Rankings'!$O$3:$O$77,"&lt;"&amp;$I$2*($S7-1)+IF(MOD($S7,2)=0,$I$2-$F$13,$F$13))+1,"")</f>
        <v>15</v>
      </c>
      <c r="W7" s="66">
        <f>IF(ROW()-4&lt;=SUM($F$4:$F$11)+2,[1]RB!$AL$4*V7^5+[1]RB!$AM$4*V7^4+[1]RB!$AN$4*V7^3+[1]RB!$AO$4*V7^2+[1]RB!$AP$4*V7+[1]RB!$AQ$4,"")</f>
        <v>224.2678647033396</v>
      </c>
      <c r="X7" s="20">
        <f>IF(ROW()-4&lt;=SUM($F$4:$F$11)+2,COUNTIF('Default Rankings'!$T$3:$T$77,"&lt;"&amp;$I$2*($S7-1)+IF(MOD($S7,2)=0,$I$2-$F$13,$F$13))+1,"")</f>
        <v>5</v>
      </c>
      <c r="Y7" s="64">
        <f>IF(ROW()-4&lt;=SUM($F$4:$F$11)+2,[1]WR!$AL$4*X7^5+[1]WR!$AM$4*X7^4+[1]WR!$AN$4*X7^3+[1]WR!$AO$4*X7^2+[1]WR!$AP$4*X7+[1]WR!$AQ$4,"")</f>
        <v>299.39961309264044</v>
      </c>
      <c r="Z7" s="65">
        <f>IF(ROW()-4&lt;=SUM($F$4:$F$11)+2,COUNTIF('Default Rankings'!$Y$3:$Y$32,"&lt;"&amp;$I$2*($S7-1)+IF(MOD($S7,2)=0,$I$2-$F$13,$F$13))+1,"")</f>
        <v>1</v>
      </c>
      <c r="AA7" s="66">
        <f>IF(ROW()-4&lt;=SUM($F$4:$F$11)+2,[1]TE!$AL$4*Z7^5+[1]TE!$AM$4*Z7^4+[1]TE!$AN$4*Z7^3+[1]TE!$AO$4*Z7^2+[1]TE!$AP$4*Z7+[1]TE!$AQ$4,"")</f>
        <v>266.52650707351137</v>
      </c>
      <c r="AB7" s="20">
        <f>IF(ROW()-4&lt;=SUM($F$4:$F$11)+2,COUNTIF('Default Rankings'!$AD$3:$AD$22,"&lt;"&amp;$I$2*($S7-1)+IF(MOD($S7,2)=0,$I$2-$F$13,$F$13))+1,"")</f>
        <v>1</v>
      </c>
      <c r="AC7" s="64">
        <f>IF(ROW()-4&lt;=SUM($F$4:$F$11)+2,[1]DST!$R$4*AB7^5+[1]DST!$S$4*AB7^4+[1]DST!$T$4*AB7^3+[1]DST!$U$4*AB7^2+[1]DST!$V$4*AB7+[1]DST!$W$4,"")</f>
        <v>158.63586283460145</v>
      </c>
      <c r="AD7" s="65">
        <f>IF(ROW()-4&lt;=SUM($F$4:$F$11)+2,COUNTIF('Default Rankings'!$AI$3:$AI$22,"&lt;"&amp;$I$2*($S7-1)+IF(MOD($S7,2)=0,$I$2-$F$13,$F$13))+1,"")</f>
        <v>1</v>
      </c>
      <c r="AE7" s="67">
        <f>IF(ROW()-4&lt;=SUM($F$4:$F$11)+2,[1]K!$AG$4*AD7^5+[1]K!$AH$4*AD7^4+[1]K!$AI$4*AD7^3+[1]K!$AJ$4*AD7^2+[1]K!$AK$4*AD7+[1]K!$AL$4,"")</f>
        <v>182.24678467582021</v>
      </c>
    </row>
    <row r="8" spans="2:31" ht="15" thickBot="1" x14ac:dyDescent="0.4">
      <c r="B8" s="4"/>
      <c r="E8" s="12" t="s">
        <v>6</v>
      </c>
      <c r="F8" s="7">
        <v>1</v>
      </c>
      <c r="H8" s="6" t="s">
        <v>20</v>
      </c>
      <c r="I8" s="29">
        <f t="shared" si="1"/>
        <v>4</v>
      </c>
      <c r="J8" s="7"/>
      <c r="K8" s="25" t="b">
        <v>0</v>
      </c>
      <c r="L8" s="12" t="s">
        <v>837</v>
      </c>
      <c r="M8" s="7">
        <v>0.1</v>
      </c>
      <c r="O8" s="12" t="s">
        <v>8</v>
      </c>
      <c r="P8" s="29">
        <f>ROUND(F9*I2,0)+1</f>
        <v>9</v>
      </c>
      <c r="Q8" s="57">
        <f>[1]DST!$R$4*P8^5+[1]DST!$S$4*P8^4+[1]DST!$T$4*P8^3+[1]DST!$U$4*P8^2+[1]DST!$V$4*P8+[1]DST!$W$4</f>
        <v>113.31752462604094</v>
      </c>
      <c r="S8" s="12">
        <f t="shared" si="0"/>
        <v>4</v>
      </c>
      <c r="T8" s="20">
        <f>IF(ROW()-4&lt;=SUM($F$4:$F$11)+2,COUNTIF('Default Rankings'!$J$3:$J$32,"&lt;"&amp;$I$2*($S8-1)+IF(MOD($S8,2)=0,$I$2-$F$13,$F$13))+1,"")</f>
        <v>1</v>
      </c>
      <c r="U8" s="64">
        <f>IF(ROW()-4&lt;=SUM($F$4:$F$11)+2,[1]QB!$AL$4*T8^5+[1]QB!$AM$4*T8^4+[1]QB!$AN$4*T8^3+[1]QB!$AO$4*T8^2+[1]QB!$AP$4*T8+[1]QB!$AQ$4,"")</f>
        <v>387.29989379005508</v>
      </c>
      <c r="V8" s="65">
        <f>IF(ROW()-4&lt;=SUM($F$4:$F$11)+2,COUNTIF('Default Rankings'!$O$3:$O$77,"&lt;"&amp;$I$2*($S8-1)+IF(MOD($S8,2)=0,$I$2-$F$13,$F$13))+1,"")</f>
        <v>15</v>
      </c>
      <c r="W8" s="66">
        <f>IF(ROW()-4&lt;=SUM($F$4:$F$11)+2,[1]RB!$AL$4*V8^5+[1]RB!$AM$4*V8^4+[1]RB!$AN$4*V8^3+[1]RB!$AO$4*V8^2+[1]RB!$AP$4*V8+[1]RB!$AQ$4,"")</f>
        <v>224.2678647033396</v>
      </c>
      <c r="X8" s="20">
        <f>IF(ROW()-4&lt;=SUM($F$4:$F$11)+2,COUNTIF('Default Rankings'!$T$3:$T$77,"&lt;"&amp;$I$2*($S8-1)+IF(MOD($S8,2)=0,$I$2-$F$13,$F$13))+1,"")</f>
        <v>13</v>
      </c>
      <c r="Y8" s="64">
        <f>IF(ROW()-4&lt;=SUM($F$4:$F$11)+2,[1]WR!$AL$4*X8^5+[1]WR!$AM$4*X8^4+[1]WR!$AN$4*X8^3+[1]WR!$AO$4*X8^2+[1]WR!$AP$4*X8+[1]WR!$AQ$4,"")</f>
        <v>252.05676730553139</v>
      </c>
      <c r="Z8" s="65">
        <f>IF(ROW()-4&lt;=SUM($F$4:$F$11)+2,COUNTIF('Default Rankings'!$Y$3:$Y$32,"&lt;"&amp;$I$2*($S8-1)+IF(MOD($S8,2)=0,$I$2-$F$13,$F$13))+1,"")</f>
        <v>3</v>
      </c>
      <c r="AA8" s="66">
        <f>IF(ROW()-4&lt;=SUM($F$4:$F$11)+2,[1]TE!$AL$4*Z8^5+[1]TE!$AM$4*Z8^4+[1]TE!$AN$4*Z8^3+[1]TE!$AO$4*Z8^2+[1]TE!$AP$4*Z8+[1]TE!$AQ$4,"")</f>
        <v>237.06244540603353</v>
      </c>
      <c r="AB8" s="20">
        <f>IF(ROW()-4&lt;=SUM($F$4:$F$11)+2,COUNTIF('Default Rankings'!$AD$3:$AD$22,"&lt;"&amp;$I$2*($S8-1)+IF(MOD($S8,2)=0,$I$2-$F$13,$F$13))+1,"")</f>
        <v>1</v>
      </c>
      <c r="AC8" s="64">
        <f>IF(ROW()-4&lt;=SUM($F$4:$F$11)+2,[1]DST!$R$4*AB8^5+[1]DST!$S$4*AB8^4+[1]DST!$T$4*AB8^3+[1]DST!$U$4*AB8^2+[1]DST!$V$4*AB8+[1]DST!$W$4,"")</f>
        <v>158.63586283460145</v>
      </c>
      <c r="AD8" s="65">
        <f>IF(ROW()-4&lt;=SUM($F$4:$F$11)+2,COUNTIF('Default Rankings'!$AI$3:$AI$22,"&lt;"&amp;$I$2*($S8-1)+IF(MOD($S8,2)=0,$I$2-$F$13,$F$13))+1,"")</f>
        <v>1</v>
      </c>
      <c r="AE8" s="67">
        <f>IF(ROW()-4&lt;=SUM($F$4:$F$11)+2,[1]K!$AG$4*AD8^5+[1]K!$AH$4*AD8^4+[1]K!$AI$4*AD8^3+[1]K!$AJ$4*AD8^2+[1]K!$AK$4*AD8+[1]K!$AL$4,"")</f>
        <v>182.24678467582021</v>
      </c>
    </row>
    <row r="9" spans="2:31" ht="15" thickBot="1" x14ac:dyDescent="0.4">
      <c r="E9" s="12" t="s">
        <v>8</v>
      </c>
      <c r="F9" s="7">
        <v>1</v>
      </c>
      <c r="H9" s="6" t="s">
        <v>21</v>
      </c>
      <c r="I9" s="29">
        <f t="shared" si="1"/>
        <v>5</v>
      </c>
      <c r="J9" s="7"/>
      <c r="K9" s="25"/>
      <c r="L9" s="12" t="s">
        <v>838</v>
      </c>
      <c r="M9" s="7">
        <v>6</v>
      </c>
      <c r="O9" s="13" t="s">
        <v>9</v>
      </c>
      <c r="P9" s="31">
        <f>ROUND(F10*I2,0)+1</f>
        <v>9</v>
      </c>
      <c r="Q9" s="58">
        <f>[1]K!$AG$4*P9^5+[1]K!$AH$4*P9^4+[1]K!$AI$4*P9^3+[1]K!$AJ$4*P9^2+[1]K!$AK$4*P9+[1]K!$AL$4</f>
        <v>135.79142053618381</v>
      </c>
      <c r="S9" s="12">
        <f t="shared" si="0"/>
        <v>5</v>
      </c>
      <c r="T9" s="20">
        <f>IF(ROW()-4&lt;=SUM($F$4:$F$11)+2,COUNTIF('Default Rankings'!$J$3:$J$32,"&lt;"&amp;$I$2*($S9-1)+IF(MOD($S9,2)=0,$I$2-$F$13,$F$13))+1,"")</f>
        <v>2</v>
      </c>
      <c r="U9" s="64">
        <f>IF(ROW()-4&lt;=SUM($F$4:$F$11)+2,[1]QB!$AL$4*T9^5+[1]QB!$AM$4*T9^4+[1]QB!$AN$4*T9^3+[1]QB!$AO$4*T9^2+[1]QB!$AP$4*T9+[1]QB!$AQ$4,"")</f>
        <v>360.04776851811749</v>
      </c>
      <c r="V9" s="65">
        <f>IF(ROW()-4&lt;=SUM($F$4:$F$11)+2,COUNTIF('Default Rankings'!$O$3:$O$77,"&lt;"&amp;$I$2*($S9-1)+IF(MOD($S9,2)=0,$I$2-$F$13,$F$13))+1,"")</f>
        <v>15</v>
      </c>
      <c r="W9" s="66">
        <f>IF(ROW()-4&lt;=SUM($F$4:$F$11)+2,[1]RB!$AL$4*V9^5+[1]RB!$AM$4*V9^4+[1]RB!$AN$4*V9^3+[1]RB!$AO$4*V9^2+[1]RB!$AP$4*V9+[1]RB!$AQ$4,"")</f>
        <v>224.2678647033396</v>
      </c>
      <c r="X9" s="20">
        <f>IF(ROW()-4&lt;=SUM($F$4:$F$11)+2,COUNTIF('Default Rankings'!$T$3:$T$77,"&lt;"&amp;$I$2*($S9-1)+IF(MOD($S9,2)=0,$I$2-$F$13,$F$13))+1,"")</f>
        <v>18</v>
      </c>
      <c r="Y9" s="64">
        <f>IF(ROW()-4&lt;=SUM($F$4:$F$11)+2,[1]WR!$AL$4*X9^5+[1]WR!$AM$4*X9^4+[1]WR!$AN$4*X9^3+[1]WR!$AO$4*X9^2+[1]WR!$AP$4*X9+[1]WR!$AQ$4,"")</f>
        <v>233.08447230926572</v>
      </c>
      <c r="Z9" s="65">
        <f>IF(ROW()-4&lt;=SUM($F$4:$F$11)+2,COUNTIF('Default Rankings'!$Y$3:$Y$32,"&lt;"&amp;$I$2*($S9-1)+IF(MOD($S9,2)=0,$I$2-$F$13,$F$13))+1,"")</f>
        <v>3</v>
      </c>
      <c r="AA9" s="66">
        <f>IF(ROW()-4&lt;=SUM($F$4:$F$11)+2,[1]TE!$AL$4*Z9^5+[1]TE!$AM$4*Z9^4+[1]TE!$AN$4*Z9^3+[1]TE!$AO$4*Z9^2+[1]TE!$AP$4*Z9+[1]TE!$AQ$4,"")</f>
        <v>237.06244540603353</v>
      </c>
      <c r="AB9" s="20">
        <f>IF(ROW()-4&lt;=SUM($F$4:$F$11)+2,COUNTIF('Default Rankings'!$AD$3:$AD$22,"&lt;"&amp;$I$2*($S9-1)+IF(MOD($S9,2)=0,$I$2-$F$13,$F$13))+1,"")</f>
        <v>1</v>
      </c>
      <c r="AC9" s="64">
        <f>IF(ROW()-4&lt;=SUM($F$4:$F$11)+2,[1]DST!$R$4*AB9^5+[1]DST!$S$4*AB9^4+[1]DST!$T$4*AB9^3+[1]DST!$U$4*AB9^2+[1]DST!$V$4*AB9+[1]DST!$W$4,"")</f>
        <v>158.63586283460145</v>
      </c>
      <c r="AD9" s="65">
        <f>IF(ROW()-4&lt;=SUM($F$4:$F$11)+2,COUNTIF('Default Rankings'!$AI$3:$AI$22,"&lt;"&amp;$I$2*($S9-1)+IF(MOD($S9,2)=0,$I$2-$F$13,$F$13))+1,"")</f>
        <v>1</v>
      </c>
      <c r="AE9" s="67">
        <f>IF(ROW()-4&lt;=SUM($F$4:$F$11)+2,[1]K!$AG$4*AD9^5+[1]K!$AH$4*AD9^4+[1]K!$AI$4*AD9^3+[1]K!$AJ$4*AD9^2+[1]K!$AK$4*AD9+[1]K!$AL$4,"")</f>
        <v>182.24678467582021</v>
      </c>
    </row>
    <row r="10" spans="2:31" x14ac:dyDescent="0.35">
      <c r="E10" s="12" t="s">
        <v>9</v>
      </c>
      <c r="F10" s="7">
        <v>1</v>
      </c>
      <c r="H10" s="6" t="s">
        <v>22</v>
      </c>
      <c r="I10" s="29">
        <f t="shared" si="1"/>
        <v>6</v>
      </c>
      <c r="J10" s="7"/>
      <c r="K10" s="25"/>
      <c r="L10" s="12" t="s">
        <v>839</v>
      </c>
      <c r="M10" s="7">
        <v>-2</v>
      </c>
      <c r="S10" s="12">
        <f t="shared" si="0"/>
        <v>6</v>
      </c>
      <c r="T10" s="20">
        <f>IF(ROW()-4&lt;=SUM($F$4:$F$11)+2,COUNTIF('Default Rankings'!$J$3:$J$32,"&lt;"&amp;$I$2*($S10-1)+IF(MOD($S10,2)=0,$I$2-$F$13,$F$13))+1,"")</f>
        <v>3</v>
      </c>
      <c r="U10" s="64">
        <f>IF(ROW()-4&lt;=SUM($F$4:$F$11)+2,[1]QB!$AL$4*T10^5+[1]QB!$AM$4*T10^4+[1]QB!$AN$4*T10^3+[1]QB!$AO$4*T10^2+[1]QB!$AP$4*T10+[1]QB!$AQ$4,"")</f>
        <v>339.55692377084858</v>
      </c>
      <c r="V10" s="65">
        <f>IF(ROW()-4&lt;=SUM($F$4:$F$11)+2,COUNTIF('Default Rankings'!$O$3:$O$77,"&lt;"&amp;$I$2*($S10-1)+IF(MOD($S10,2)=0,$I$2-$F$13,$F$13))+1,"")</f>
        <v>19</v>
      </c>
      <c r="W10" s="66">
        <f>IF(ROW()-4&lt;=SUM($F$4:$F$11)+2,[1]RB!$AL$4*V10^5+[1]RB!$AM$4*V10^4+[1]RB!$AN$4*V10^3+[1]RB!$AO$4*V10^2+[1]RB!$AP$4*V10+[1]RB!$AQ$4,"")</f>
        <v>203.54962300002217</v>
      </c>
      <c r="X10" s="20">
        <f>IF(ROW()-4&lt;=SUM($F$4:$F$11)+2,COUNTIF('Default Rankings'!$T$3:$T$77,"&lt;"&amp;$I$2*($S10-1)+IF(MOD($S10,2)=0,$I$2-$F$13,$F$13))+1,"")</f>
        <v>21</v>
      </c>
      <c r="Y10" s="64">
        <f>IF(ROW()-4&lt;=SUM($F$4:$F$11)+2,[1]WR!$AL$4*X10^5+[1]WR!$AM$4*X10^4+[1]WR!$AN$4*X10^3+[1]WR!$AO$4*X10^2+[1]WR!$AP$4*X10+[1]WR!$AQ$4,"")</f>
        <v>224.09629562163906</v>
      </c>
      <c r="Z10" s="65">
        <f>IF(ROW()-4&lt;=SUM($F$4:$F$11)+2,COUNTIF('Default Rankings'!$Y$3:$Y$32,"&lt;"&amp;$I$2*($S10-1)+IF(MOD($S10,2)=0,$I$2-$F$13,$F$13))+1,"")</f>
        <v>5</v>
      </c>
      <c r="AA10" s="66">
        <f>IF(ROW()-4&lt;=SUM($F$4:$F$11)+2,[1]TE!$AL$4*Z10^5+[1]TE!$AM$4*Z10^4+[1]TE!$AN$4*Z10^3+[1]TE!$AO$4*Z10^2+[1]TE!$AP$4*Z10+[1]TE!$AQ$4,"")</f>
        <v>212.30655350834843</v>
      </c>
      <c r="AB10" s="20">
        <f>IF(ROW()-4&lt;=SUM($F$4:$F$11)+2,COUNTIF('Default Rankings'!$AD$3:$AD$22,"&lt;"&amp;$I$2*($S10-1)+IF(MOD($S10,2)=0,$I$2-$F$13,$F$13))+1,"")</f>
        <v>1</v>
      </c>
      <c r="AC10" s="64">
        <f>IF(ROW()-4&lt;=SUM($F$4:$F$11)+2,[1]DST!$R$4*AB10^5+[1]DST!$S$4*AB10^4+[1]DST!$T$4*AB10^3+[1]DST!$U$4*AB10^2+[1]DST!$V$4*AB10+[1]DST!$W$4,"")</f>
        <v>158.63586283460145</v>
      </c>
      <c r="AD10" s="65">
        <f>IF(ROW()-4&lt;=SUM($F$4:$F$11)+2,COUNTIF('Default Rankings'!$AI$3:$AI$22,"&lt;"&amp;$I$2*($S10-1)+IF(MOD($S10,2)=0,$I$2-$F$13,$F$13))+1,"")</f>
        <v>1</v>
      </c>
      <c r="AE10" s="67">
        <f>IF(ROW()-4&lt;=SUM($F$4:$F$11)+2,[1]K!$AG$4*AD10^5+[1]K!$AH$4*AD10^4+[1]K!$AI$4*AD10^3+[1]K!$AJ$4*AD10^2+[1]K!$AK$4*AD10+[1]K!$AL$4,"")</f>
        <v>182.24678467582021</v>
      </c>
    </row>
    <row r="11" spans="2:31" ht="15" thickBot="1" x14ac:dyDescent="0.4">
      <c r="E11" s="13" t="s">
        <v>10</v>
      </c>
      <c r="F11" s="9">
        <v>7</v>
      </c>
      <c r="H11" s="6" t="s">
        <v>23</v>
      </c>
      <c r="I11" s="29">
        <f t="shared" si="1"/>
        <v>7</v>
      </c>
      <c r="J11" s="7"/>
      <c r="K11" s="25"/>
      <c r="L11" s="12" t="s">
        <v>840</v>
      </c>
      <c r="M11" s="7">
        <v>-2</v>
      </c>
      <c r="S11" s="12">
        <f t="shared" si="0"/>
        <v>7</v>
      </c>
      <c r="T11" s="20">
        <f>IF(ROW()-4&lt;=SUM($F$4:$F$11)+2,COUNTIF('Default Rankings'!$J$3:$J$32,"&lt;"&amp;$I$2*($S11-1)+IF(MOD($S11,2)=0,$I$2-$F$13,$F$13))+1,"")</f>
        <v>3</v>
      </c>
      <c r="U11" s="64">
        <f>IF(ROW()-4&lt;=SUM($F$4:$F$11)+2,[1]QB!$AL$4*T11^5+[1]QB!$AM$4*T11^4+[1]QB!$AN$4*T11^3+[1]QB!$AO$4*T11^2+[1]QB!$AP$4*T11+[1]QB!$AQ$4,"")</f>
        <v>339.55692377084858</v>
      </c>
      <c r="V11" s="65">
        <f>IF(ROW()-4&lt;=SUM($F$4:$F$11)+2,COUNTIF('Default Rankings'!$O$3:$O$77,"&lt;"&amp;$I$2*($S11-1)+IF(MOD($S11,2)=0,$I$2-$F$13,$F$13))+1,"")</f>
        <v>24</v>
      </c>
      <c r="W11" s="66">
        <f>IF(ROW()-4&lt;=SUM($F$4:$F$11)+2,[1]RB!$AL$4*V11^5+[1]RB!$AM$4*V11^4+[1]RB!$AN$4*V11^3+[1]RB!$AO$4*V11^2+[1]RB!$AP$4*V11+[1]RB!$AQ$4,"")</f>
        <v>185.06260482561561</v>
      </c>
      <c r="X11" s="20">
        <f>IF(ROW()-4&lt;=SUM($F$4:$F$11)+2,COUNTIF('Default Rankings'!$T$3:$T$77,"&lt;"&amp;$I$2*($S11-1)+IF(MOD($S11,2)=0,$I$2-$F$13,$F$13))+1,"")</f>
        <v>22</v>
      </c>
      <c r="Y11" s="64">
        <f>IF(ROW()-4&lt;=SUM($F$4:$F$11)+2,[1]WR!$AL$4*X11^5+[1]WR!$AM$4*X11^4+[1]WR!$AN$4*X11^3+[1]WR!$AO$4*X11^2+[1]WR!$AP$4*X11+[1]WR!$AQ$4,"")</f>
        <v>221.38787782730913</v>
      </c>
      <c r="Z11" s="65">
        <f>IF(ROW()-4&lt;=SUM($F$4:$F$11)+2,COUNTIF('Default Rankings'!$Y$3:$Y$32,"&lt;"&amp;$I$2*($S11-1)+IF(MOD($S11,2)=0,$I$2-$F$13,$F$13))+1,"")</f>
        <v>5</v>
      </c>
      <c r="AA11" s="66">
        <f>IF(ROW()-4&lt;=SUM($F$4:$F$11)+2,[1]TE!$AL$4*Z11^5+[1]TE!$AM$4*Z11^4+[1]TE!$AN$4*Z11^3+[1]TE!$AO$4*Z11^2+[1]TE!$AP$4*Z11+[1]TE!$AQ$4,"")</f>
        <v>212.30655350834843</v>
      </c>
      <c r="AB11" s="20">
        <f>IF(ROW()-4&lt;=SUM($F$4:$F$11)+2,COUNTIF('Default Rankings'!$AD$3:$AD$22,"&lt;"&amp;$I$2*($S11-1)+IF(MOD($S11,2)=0,$I$2-$F$13,$F$13))+1,"")</f>
        <v>1</v>
      </c>
      <c r="AC11" s="64">
        <f>IF(ROW()-4&lt;=SUM($F$4:$F$11)+2,[1]DST!$R$4*AB11^5+[1]DST!$S$4*AB11^4+[1]DST!$T$4*AB11^3+[1]DST!$U$4*AB11^2+[1]DST!$V$4*AB11+[1]DST!$W$4,"")</f>
        <v>158.63586283460145</v>
      </c>
      <c r="AD11" s="65">
        <f>IF(ROW()-4&lt;=SUM($F$4:$F$11)+2,COUNTIF('Default Rankings'!$AI$3:$AI$22,"&lt;"&amp;$I$2*($S11-1)+IF(MOD($S11,2)=0,$I$2-$F$13,$F$13))+1,"")</f>
        <v>1</v>
      </c>
      <c r="AE11" s="67">
        <f>IF(ROW()-4&lt;=SUM($F$4:$F$11)+2,[1]K!$AG$4*AD11^5+[1]K!$AH$4*AD11^4+[1]K!$AI$4*AD11^3+[1]K!$AJ$4*AD11^2+[1]K!$AK$4*AD11+[1]K!$AL$4,"")</f>
        <v>182.24678467582021</v>
      </c>
    </row>
    <row r="12" spans="2:31" ht="15" thickBot="1" x14ac:dyDescent="0.4">
      <c r="H12" s="6" t="s">
        <v>24</v>
      </c>
      <c r="I12" s="29">
        <f t="shared" si="1"/>
        <v>8</v>
      </c>
      <c r="J12" s="7"/>
      <c r="K12" s="25"/>
      <c r="L12" s="12" t="s">
        <v>841</v>
      </c>
      <c r="M12" s="7">
        <v>3</v>
      </c>
      <c r="S12" s="12">
        <f t="shared" si="0"/>
        <v>8</v>
      </c>
      <c r="T12" s="20">
        <f>IF(ROW()-4&lt;=SUM($F$4:$F$11)+2,COUNTIF('Default Rankings'!$J$3:$J$32,"&lt;"&amp;$I$2*($S12-1)+IF(MOD($S12,2)=0,$I$2-$F$13,$F$13))+1,"")</f>
        <v>3</v>
      </c>
      <c r="U12" s="64">
        <f>IF(ROW()-4&lt;=SUM($F$4:$F$11)+2,[1]QB!$AL$4*T12^5+[1]QB!$AM$4*T12^4+[1]QB!$AN$4*T12^3+[1]QB!$AO$4*T12^2+[1]QB!$AP$4*T12+[1]QB!$AQ$4,"")</f>
        <v>339.55692377084858</v>
      </c>
      <c r="V12" s="65">
        <f>IF(ROW()-4&lt;=SUM($F$4:$F$11)+2,COUNTIF('Default Rankings'!$O$3:$O$77,"&lt;"&amp;$I$2*($S12-1)+IF(MOD($S12,2)=0,$I$2-$F$13,$F$13))+1,"")</f>
        <v>29</v>
      </c>
      <c r="W12" s="66">
        <f>IF(ROW()-4&lt;=SUM($F$4:$F$11)+2,[1]RB!$AL$4*V12^5+[1]RB!$AM$4*V12^4+[1]RB!$AN$4*V12^3+[1]RB!$AO$4*V12^2+[1]RB!$AP$4*V12+[1]RB!$AQ$4,"")</f>
        <v>170.92925425142909</v>
      </c>
      <c r="X12" s="20">
        <f>IF(ROW()-4&lt;=SUM($F$4:$F$11)+2,COUNTIF('Default Rankings'!$T$3:$T$77,"&lt;"&amp;$I$2*($S12-1)+IF(MOD($S12,2)=0,$I$2-$F$13,$F$13))+1,"")</f>
        <v>27</v>
      </c>
      <c r="Y12" s="64">
        <f>IF(ROW()-4&lt;=SUM($F$4:$F$11)+2,[1]WR!$AL$4*X12^5+[1]WR!$AM$4*X12^4+[1]WR!$AN$4*X12^3+[1]WR!$AO$4*X12^2+[1]WR!$AP$4*X12+[1]WR!$AQ$4,"")</f>
        <v>209.33861320383437</v>
      </c>
      <c r="Z12" s="65">
        <f>IF(ROW()-4&lt;=SUM($F$4:$F$11)+2,COUNTIF('Default Rankings'!$Y$3:$Y$32,"&lt;"&amp;$I$2*($S12-1)+IF(MOD($S12,2)=0,$I$2-$F$13,$F$13))+1,"")</f>
        <v>5</v>
      </c>
      <c r="AA12" s="66">
        <f>IF(ROW()-4&lt;=SUM($F$4:$F$11)+2,[1]TE!$AL$4*Z12^5+[1]TE!$AM$4*Z12^4+[1]TE!$AN$4*Z12^3+[1]TE!$AO$4*Z12^2+[1]TE!$AP$4*Z12+[1]TE!$AQ$4,"")</f>
        <v>212.30655350834843</v>
      </c>
      <c r="AB12" s="20">
        <f>IF(ROW()-4&lt;=SUM($F$4:$F$11)+2,COUNTIF('Default Rankings'!$AD$3:$AD$22,"&lt;"&amp;$I$2*($S12-1)+IF(MOD($S12,2)=0,$I$2-$F$13,$F$13))+1,"")</f>
        <v>1</v>
      </c>
      <c r="AC12" s="64">
        <f>IF(ROW()-4&lt;=SUM($F$4:$F$11)+2,[1]DST!$R$4*AB12^5+[1]DST!$S$4*AB12^4+[1]DST!$T$4*AB12^3+[1]DST!$U$4*AB12^2+[1]DST!$V$4*AB12+[1]DST!$W$4,"")</f>
        <v>158.63586283460145</v>
      </c>
      <c r="AD12" s="65">
        <f>IF(ROW()-4&lt;=SUM($F$4:$F$11)+2,COUNTIF('Default Rankings'!$AI$3:$AI$22,"&lt;"&amp;$I$2*($S12-1)+IF(MOD($S12,2)=0,$I$2-$F$13,$F$13))+1,"")</f>
        <v>1</v>
      </c>
      <c r="AE12" s="67">
        <f>IF(ROW()-4&lt;=SUM($F$4:$F$11)+2,[1]K!$AG$4*AD12^5+[1]K!$AH$4*AD12^4+[1]K!$AI$4*AD12^3+[1]K!$AJ$4*AD12^2+[1]K!$AK$4*AD12+[1]K!$AL$4,"")</f>
        <v>182.24678467582021</v>
      </c>
    </row>
    <row r="13" spans="2:31" ht="15" thickBot="1" x14ac:dyDescent="0.4">
      <c r="C13" s="193" t="s">
        <v>34</v>
      </c>
      <c r="D13" s="194"/>
      <c r="E13" s="195"/>
      <c r="F13" s="2">
        <v>3</v>
      </c>
      <c r="H13" s="6" t="s">
        <v>25</v>
      </c>
      <c r="I13" s="29" t="str">
        <f t="shared" si="1"/>
        <v/>
      </c>
      <c r="J13" s="7"/>
      <c r="K13" s="25"/>
      <c r="L13" s="12" t="s">
        <v>842</v>
      </c>
      <c r="M13" s="7">
        <v>4</v>
      </c>
      <c r="S13" s="12">
        <f t="shared" si="0"/>
        <v>9</v>
      </c>
      <c r="T13" s="20">
        <f>IF(ROW()-4&lt;=SUM($F$4:$F$11)+2,COUNTIF('Default Rankings'!$J$3:$J$32,"&lt;"&amp;$I$2*($S13-1)+IF(MOD($S13,2)=0,$I$2-$F$13,$F$13))+1,"")</f>
        <v>3</v>
      </c>
      <c r="U13" s="64">
        <f>IF(ROW()-4&lt;=SUM($F$4:$F$11)+2,[1]QB!$AL$4*T13^5+[1]QB!$AM$4*T13^4+[1]QB!$AN$4*T13^3+[1]QB!$AO$4*T13^2+[1]QB!$AP$4*T13+[1]QB!$AQ$4,"")</f>
        <v>339.55692377084858</v>
      </c>
      <c r="V13" s="65">
        <f>IF(ROW()-4&lt;=SUM($F$4:$F$11)+2,COUNTIF('Default Rankings'!$O$3:$O$77,"&lt;"&amp;$I$2*($S13-1)+IF(MOD($S13,2)=0,$I$2-$F$13,$F$13))+1,"")</f>
        <v>29</v>
      </c>
      <c r="W13" s="66">
        <f>IF(ROW()-4&lt;=SUM($F$4:$F$11)+2,[1]RB!$AL$4*V13^5+[1]RB!$AM$4*V13^4+[1]RB!$AN$4*V13^3+[1]RB!$AO$4*V13^2+[1]RB!$AP$4*V13+[1]RB!$AQ$4,"")</f>
        <v>170.92925425142909</v>
      </c>
      <c r="X13" s="20">
        <f>IF(ROW()-4&lt;=SUM($F$4:$F$11)+2,COUNTIF('Default Rankings'!$T$3:$T$77,"&lt;"&amp;$I$2*($S13-1)+IF(MOD($S13,2)=0,$I$2-$F$13,$F$13))+1,"")</f>
        <v>33</v>
      </c>
      <c r="Y13" s="64">
        <f>IF(ROW()-4&lt;=SUM($F$4:$F$11)+2,[1]WR!$AL$4*X13^5+[1]WR!$AM$4*X13^4+[1]WR!$AN$4*X13^3+[1]WR!$AO$4*X13^2+[1]WR!$AP$4*X13+[1]WR!$AQ$4,"")</f>
        <v>196.69365288019364</v>
      </c>
      <c r="Z13" s="65">
        <f>IF(ROW()-4&lt;=SUM($F$4:$F$11)+2,COUNTIF('Default Rankings'!$Y$3:$Y$32,"&lt;"&amp;$I$2*($S13-1)+IF(MOD($S13,2)=0,$I$2-$F$13,$F$13))+1,"")</f>
        <v>5</v>
      </c>
      <c r="AA13" s="66">
        <f>IF(ROW()-4&lt;=SUM($F$4:$F$11)+2,[1]TE!$AL$4*Z13^5+[1]TE!$AM$4*Z13^4+[1]TE!$AN$4*Z13^3+[1]TE!$AO$4*Z13^2+[1]TE!$AP$4*Z13+[1]TE!$AQ$4,"")</f>
        <v>212.30655350834843</v>
      </c>
      <c r="AB13" s="20">
        <f>IF(ROW()-4&lt;=SUM($F$4:$F$11)+2,COUNTIF('Default Rankings'!$AD$3:$AD$22,"&lt;"&amp;$I$2*($S13-1)+IF(MOD($S13,2)=0,$I$2-$F$13,$F$13))+1,"")</f>
        <v>1</v>
      </c>
      <c r="AC13" s="64">
        <f>IF(ROW()-4&lt;=SUM($F$4:$F$11)+2,[1]DST!$R$4*AB13^5+[1]DST!$S$4*AB13^4+[1]DST!$T$4*AB13^3+[1]DST!$U$4*AB13^2+[1]DST!$V$4*AB13+[1]DST!$W$4,"")</f>
        <v>158.63586283460145</v>
      </c>
      <c r="AD13" s="65">
        <f>IF(ROW()-4&lt;=SUM($F$4:$F$11)+2,COUNTIF('Default Rankings'!$AI$3:$AI$22,"&lt;"&amp;$I$2*($S13-1)+IF(MOD($S13,2)=0,$I$2-$F$13,$F$13))+1,"")</f>
        <v>1</v>
      </c>
      <c r="AE13" s="67">
        <f>IF(ROW()-4&lt;=SUM($F$4:$F$11)+2,[1]K!$AG$4*AD13^5+[1]K!$AH$4*AD13^4+[1]K!$AI$4*AD13^3+[1]K!$AJ$4*AD13^2+[1]K!$AK$4*AD13+[1]K!$AL$4,"")</f>
        <v>182.24678467582021</v>
      </c>
    </row>
    <row r="14" spans="2:31" ht="15" thickBot="1" x14ac:dyDescent="0.4">
      <c r="C14" s="16"/>
      <c r="H14" s="6" t="s">
        <v>26</v>
      </c>
      <c r="I14" s="29" t="str">
        <f t="shared" si="1"/>
        <v/>
      </c>
      <c r="J14" s="7"/>
      <c r="K14" s="25"/>
      <c r="L14" s="54" t="s">
        <v>843</v>
      </c>
      <c r="M14" s="55">
        <v>5</v>
      </c>
      <c r="S14" s="12">
        <f t="shared" si="0"/>
        <v>10</v>
      </c>
      <c r="T14" s="20">
        <f>IF(ROW()-4&lt;=SUM($F$4:$F$11)+2,COUNTIF('Default Rankings'!$J$3:$J$32,"&lt;"&amp;$I$2*($S14-1)+IF(MOD($S14,2)=0,$I$2-$F$13,$F$13))+1,"")</f>
        <v>7</v>
      </c>
      <c r="U14" s="64">
        <f>IF(ROW()-4&lt;=SUM($F$4:$F$11)+2,[1]QB!$AL$4*T14^5+[1]QB!$AM$4*T14^4+[1]QB!$AN$4*T14^3+[1]QB!$AO$4*T14^2+[1]QB!$AP$4*T14+[1]QB!$AQ$4,"")</f>
        <v>299.04483036335591</v>
      </c>
      <c r="V14" s="65">
        <f>IF(ROW()-4&lt;=SUM($F$4:$F$11)+2,COUNTIF('Default Rankings'!$O$3:$O$77,"&lt;"&amp;$I$2*($S14-1)+IF(MOD($S14,2)=0,$I$2-$F$13,$F$13))+1,"")</f>
        <v>32</v>
      </c>
      <c r="W14" s="66">
        <f>IF(ROW()-4&lt;=SUM($F$4:$F$11)+2,[1]RB!$AL$4*V14^5+[1]RB!$AM$4*V14^4+[1]RB!$AN$4*V14^3+[1]RB!$AO$4*V14^2+[1]RB!$AP$4*V14+[1]RB!$AQ$4,"")</f>
        <v>163.34508363947464</v>
      </c>
      <c r="X14" s="20">
        <f>IF(ROW()-4&lt;=SUM($F$4:$F$11)+2,COUNTIF('Default Rankings'!$T$3:$T$77,"&lt;"&amp;$I$2*($S14-1)+IF(MOD($S14,2)=0,$I$2-$F$13,$F$13))+1,"")</f>
        <v>35</v>
      </c>
      <c r="Y14" s="64">
        <f>IF(ROW()-4&lt;=SUM($F$4:$F$11)+2,[1]WR!$AL$4*X14^5+[1]WR!$AM$4*X14^4+[1]WR!$AN$4*X14^3+[1]WR!$AO$4*X14^2+[1]WR!$AP$4*X14+[1]WR!$AQ$4,"")</f>
        <v>192.63687682982436</v>
      </c>
      <c r="Z14" s="65">
        <f>IF(ROW()-4&lt;=SUM($F$4:$F$11)+2,COUNTIF('Default Rankings'!$Y$3:$Y$32,"&lt;"&amp;$I$2*($S14-1)+IF(MOD($S14,2)=0,$I$2-$F$13,$F$13))+1,"")</f>
        <v>6</v>
      </c>
      <c r="AA14" s="66">
        <f>IF(ROW()-4&lt;=SUM($F$4:$F$11)+2,[1]TE!$AL$4*Z14^5+[1]TE!$AM$4*Z14^4+[1]TE!$AN$4*Z14^3+[1]TE!$AO$4*Z14^2+[1]TE!$AP$4*Z14+[1]TE!$AQ$4,"")</f>
        <v>201.44906278735425</v>
      </c>
      <c r="AB14" s="20">
        <f>IF(ROW()-4&lt;=SUM($F$4:$F$11)+2,COUNTIF('Default Rankings'!$AD$3:$AD$22,"&lt;"&amp;$I$2*($S14-1)+IF(MOD($S14,2)=0,$I$2-$F$13,$F$13))+1,"")</f>
        <v>1</v>
      </c>
      <c r="AC14" s="64">
        <f>IF(ROW()-4&lt;=SUM($F$4:$F$11)+2,[1]DST!$R$4*AB14^5+[1]DST!$S$4*AB14^4+[1]DST!$T$4*AB14^3+[1]DST!$U$4*AB14^2+[1]DST!$V$4*AB14+[1]DST!$W$4,"")</f>
        <v>158.63586283460145</v>
      </c>
      <c r="AD14" s="65">
        <f>IF(ROW()-4&lt;=SUM($F$4:$F$11)+2,COUNTIF('Default Rankings'!$AI$3:$AI$22,"&lt;"&amp;$I$2*($S14-1)+IF(MOD($S14,2)=0,$I$2-$F$13,$F$13))+1,"")</f>
        <v>1</v>
      </c>
      <c r="AE14" s="67">
        <f>IF(ROW()-4&lt;=SUM($F$4:$F$11)+2,[1]K!$AG$4*AD14^5+[1]K!$AH$4*AD14^4+[1]K!$AI$4*AD14^3+[1]K!$AJ$4*AD14^2+[1]K!$AK$4*AD14+[1]K!$AL$4,"")</f>
        <v>182.24678467582021</v>
      </c>
    </row>
    <row r="15" spans="2:31" x14ac:dyDescent="0.35">
      <c r="E15" s="185" t="s">
        <v>1013</v>
      </c>
      <c r="F15" s="186"/>
      <c r="H15" s="6" t="s">
        <v>27</v>
      </c>
      <c r="I15" s="29" t="str">
        <f t="shared" si="1"/>
        <v/>
      </c>
      <c r="J15" s="7"/>
      <c r="K15" s="25"/>
      <c r="L15" s="54" t="s">
        <v>844</v>
      </c>
      <c r="M15" s="55">
        <v>-1</v>
      </c>
      <c r="S15" s="12">
        <f t="shared" si="0"/>
        <v>11</v>
      </c>
      <c r="T15" s="20">
        <f>IF(ROW()-4&lt;=SUM($F$4:$F$11)+2,COUNTIF('Default Rankings'!$J$3:$J$32,"&lt;"&amp;$I$2*($S15-1)+IF(MOD($S15,2)=0,$I$2-$F$13,$F$13))+1,"")</f>
        <v>7</v>
      </c>
      <c r="U15" s="64">
        <f>IF(ROW()-4&lt;=SUM($F$4:$F$11)+2,[1]QB!$AL$4*T15^5+[1]QB!$AM$4*T15^4+[1]QB!$AN$4*T15^3+[1]QB!$AO$4*T15^2+[1]QB!$AP$4*T15+[1]QB!$AQ$4,"")</f>
        <v>299.04483036335591</v>
      </c>
      <c r="V15" s="65">
        <f>IF(ROW()-4&lt;=SUM($F$4:$F$11)+2,COUNTIF('Default Rankings'!$O$3:$O$77,"&lt;"&amp;$I$2*($S15-1)+IF(MOD($S15,2)=0,$I$2-$F$13,$F$13))+1,"")</f>
        <v>32</v>
      </c>
      <c r="W15" s="66">
        <f>IF(ROW()-4&lt;=SUM($F$4:$F$11)+2,[1]RB!$AL$4*V15^5+[1]RB!$AM$4*V15^4+[1]RB!$AN$4*V15^3+[1]RB!$AO$4*V15^2+[1]RB!$AP$4*V15+[1]RB!$AQ$4,"")</f>
        <v>163.34508363947464</v>
      </c>
      <c r="X15" s="20">
        <f>IF(ROW()-4&lt;=SUM($F$4:$F$11)+2,COUNTIF('Default Rankings'!$T$3:$T$77,"&lt;"&amp;$I$2*($S15-1)+IF(MOD($S15,2)=0,$I$2-$F$13,$F$13))+1,"")</f>
        <v>40</v>
      </c>
      <c r="Y15" s="64">
        <f>IF(ROW()-4&lt;=SUM($F$4:$F$11)+2,[1]WR!$AL$4*X15^5+[1]WR!$AM$4*X15^4+[1]WR!$AN$4*X15^3+[1]WR!$AO$4*X15^2+[1]WR!$AP$4*X15+[1]WR!$AQ$4,"")</f>
        <v>182.47824488943121</v>
      </c>
      <c r="Z15" s="65">
        <f>IF(ROW()-4&lt;=SUM($F$4:$F$11)+2,COUNTIF('Default Rankings'!$Y$3:$Y$32,"&lt;"&amp;$I$2*($S15-1)+IF(MOD($S15,2)=0,$I$2-$F$13,$F$13))+1,"")</f>
        <v>7</v>
      </c>
      <c r="AA15" s="66">
        <f>IF(ROW()-4&lt;=SUM($F$4:$F$11)+2,[1]TE!$AL$4*Z15^5+[1]TE!$AM$4*Z15^4+[1]TE!$AN$4*Z15^3+[1]TE!$AO$4*Z15^2+[1]TE!$AP$4*Z15+[1]TE!$AQ$4,"")</f>
        <v>191.48847446409815</v>
      </c>
      <c r="AB15" s="20">
        <f>IF(ROW()-4&lt;=SUM($F$4:$F$11)+2,COUNTIF('Default Rankings'!$AD$3:$AD$22,"&lt;"&amp;$I$2*($S15-1)+IF(MOD($S15,2)=0,$I$2-$F$13,$F$13))+1,"")</f>
        <v>1</v>
      </c>
      <c r="AC15" s="64">
        <f>IF(ROW()-4&lt;=SUM($F$4:$F$11)+2,[1]DST!$R$4*AB15^5+[1]DST!$S$4*AB15^4+[1]DST!$T$4*AB15^3+[1]DST!$U$4*AB15^2+[1]DST!$V$4*AB15+[1]DST!$W$4,"")</f>
        <v>158.63586283460145</v>
      </c>
      <c r="AD15" s="65">
        <f>IF(ROW()-4&lt;=SUM($F$4:$F$11)+2,COUNTIF('Default Rankings'!$AI$3:$AI$22,"&lt;"&amp;$I$2*($S15-1)+IF(MOD($S15,2)=0,$I$2-$F$13,$F$13))+1,"")</f>
        <v>1</v>
      </c>
      <c r="AE15" s="67">
        <f>IF(ROW()-4&lt;=SUM($F$4:$F$11)+2,[1]K!$AG$4*AD15^5+[1]K!$AH$4*AD15^4+[1]K!$AI$4*AD15^3+[1]K!$AJ$4*AD15^2+[1]K!$AK$4*AD15+[1]K!$AL$4,"")</f>
        <v>182.24678467582021</v>
      </c>
    </row>
    <row r="16" spans="2:31" x14ac:dyDescent="0.35">
      <c r="E16" s="10" t="s">
        <v>12</v>
      </c>
      <c r="F16" s="69" t="s">
        <v>13</v>
      </c>
      <c r="H16" s="6" t="s">
        <v>28</v>
      </c>
      <c r="I16" s="29" t="str">
        <f t="shared" si="1"/>
        <v/>
      </c>
      <c r="J16" s="7"/>
      <c r="K16" s="25"/>
      <c r="L16" s="54" t="s">
        <v>845</v>
      </c>
      <c r="M16" s="55">
        <v>1</v>
      </c>
      <c r="S16" s="12">
        <f t="shared" si="0"/>
        <v>12</v>
      </c>
      <c r="T16" s="20">
        <f>IF(ROW()-4&lt;=SUM($F$4:$F$11)+2,COUNTIF('Default Rankings'!$J$3:$J$32,"&lt;"&amp;$I$2*($S16-1)+IF(MOD($S16,2)=0,$I$2-$F$13,$F$13))+1,"")</f>
        <v>7</v>
      </c>
      <c r="U16" s="64">
        <f>IF(ROW()-4&lt;=SUM($F$4:$F$11)+2,[1]QB!$AL$4*T16^5+[1]QB!$AM$4*T16^4+[1]QB!$AN$4*T16^3+[1]QB!$AO$4*T16^2+[1]QB!$AP$4*T16+[1]QB!$AQ$4,"")</f>
        <v>299.04483036335591</v>
      </c>
      <c r="V16" s="65">
        <f>IF(ROW()-4&lt;=SUM($F$4:$F$11)+2,COUNTIF('Default Rankings'!$O$3:$O$77,"&lt;"&amp;$I$2*($S16-1)+IF(MOD($S16,2)=0,$I$2-$F$13,$F$13))+1,"")</f>
        <v>40</v>
      </c>
      <c r="W16" s="66">
        <f>IF(ROW()-4&lt;=SUM($F$4:$F$11)+2,[1]RB!$AL$4*V16^5+[1]RB!$AM$4*V16^4+[1]RB!$AN$4*V16^3+[1]RB!$AO$4*V16^2+[1]RB!$AP$4*V16+[1]RB!$AQ$4,"")</f>
        <v>143.45510066158624</v>
      </c>
      <c r="X16" s="20">
        <f>IF(ROW()-4&lt;=SUM($F$4:$F$11)+2,COUNTIF('Default Rankings'!$T$3:$T$77,"&lt;"&amp;$I$2*($S16-1)+IF(MOD($S16,2)=0,$I$2-$F$13,$F$13))+1,"")</f>
        <v>41</v>
      </c>
      <c r="Y16" s="64">
        <f>IF(ROW()-4&lt;=SUM($F$4:$F$11)+2,[1]WR!$AL$4*X16^5+[1]WR!$AM$4*X16^4+[1]WR!$AN$4*X16^3+[1]WR!$AO$4*X16^2+[1]WR!$AP$4*X16+[1]WR!$AQ$4,"")</f>
        <v>180.42282182806974</v>
      </c>
      <c r="Z16" s="65">
        <f>IF(ROW()-4&lt;=SUM($F$4:$F$11)+2,COUNTIF('Default Rankings'!$Y$3:$Y$32,"&lt;"&amp;$I$2*($S16-1)+IF(MOD($S16,2)=0,$I$2-$F$13,$F$13))+1,"")</f>
        <v>8</v>
      </c>
      <c r="AA16" s="66">
        <f>IF(ROW()-4&lt;=SUM($F$4:$F$11)+2,[1]TE!$AL$4*Z16^5+[1]TE!$AM$4*Z16^4+[1]TE!$AN$4*Z16^3+[1]TE!$AO$4*Z16^2+[1]TE!$AP$4*Z16+[1]TE!$AQ$4,"")</f>
        <v>182.34522929756716</v>
      </c>
      <c r="AB16" s="20">
        <f>IF(ROW()-4&lt;=SUM($F$4:$F$11)+2,COUNTIF('Default Rankings'!$AD$3:$AD$22,"&lt;"&amp;$I$2*($S16-1)+IF(MOD($S16,2)=0,$I$2-$F$13,$F$13))+1,"")</f>
        <v>1</v>
      </c>
      <c r="AC16" s="64">
        <f>IF(ROW()-4&lt;=SUM($F$4:$F$11)+2,[1]DST!$R$4*AB16^5+[1]DST!$S$4*AB16^4+[1]DST!$T$4*AB16^3+[1]DST!$U$4*AB16^2+[1]DST!$V$4*AB16+[1]DST!$W$4,"")</f>
        <v>158.63586283460145</v>
      </c>
      <c r="AD16" s="65">
        <f>IF(ROW()-4&lt;=SUM($F$4:$F$11)+2,COUNTIF('Default Rankings'!$AI$3:$AI$22,"&lt;"&amp;$I$2*($S16-1)+IF(MOD($S16,2)=0,$I$2-$F$13,$F$13))+1,"")</f>
        <v>1</v>
      </c>
      <c r="AE16" s="67">
        <f>IF(ROW()-4&lt;=SUM($F$4:$F$11)+2,[1]K!$AG$4*AD16^5+[1]K!$AH$4*AD16^4+[1]K!$AI$4*AD16^3+[1]K!$AJ$4*AD16^2+[1]K!$AK$4*AD16+[1]K!$AL$4,"")</f>
        <v>182.24678467582021</v>
      </c>
    </row>
    <row r="17" spans="2:31" ht="15" thickBot="1" x14ac:dyDescent="0.4">
      <c r="E17" s="12" t="s">
        <v>3</v>
      </c>
      <c r="F17" s="63">
        <f>COUNTIFS('Live Draft Picks'!F3:F254,"=QB",'Live Draft Picks'!B3:B254,"=" &amp; INDEX('League Settings'!H5:H18,'League Settings'!F13))</f>
        <v>2</v>
      </c>
      <c r="H17" s="6" t="s">
        <v>29</v>
      </c>
      <c r="I17" s="29" t="str">
        <f t="shared" si="1"/>
        <v/>
      </c>
      <c r="J17" s="7"/>
      <c r="K17" s="25"/>
      <c r="L17" s="13" t="s">
        <v>846</v>
      </c>
      <c r="M17" s="9">
        <v>0</v>
      </c>
      <c r="S17" s="12">
        <f t="shared" si="0"/>
        <v>13</v>
      </c>
      <c r="T17" s="20">
        <f>IF(ROW()-4&lt;=SUM($F$4:$F$11)+2,COUNTIF('Default Rankings'!$J$3:$J$32,"&lt;"&amp;$I$2*($S17-1)+IF(MOD($S17,2)=0,$I$2-$F$13,$F$13))+1,"")</f>
        <v>7</v>
      </c>
      <c r="U17" s="64">
        <f>IF(ROW()-4&lt;=SUM($F$4:$F$11)+2,[1]QB!$AL$4*T17^5+[1]QB!$AM$4*T17^4+[1]QB!$AN$4*T17^3+[1]QB!$AO$4*T17^2+[1]QB!$AP$4*T17+[1]QB!$AQ$4,"")</f>
        <v>299.04483036335591</v>
      </c>
      <c r="V17" s="65">
        <f>IF(ROW()-4&lt;=SUM($F$4:$F$11)+2,COUNTIF('Default Rankings'!$O$3:$O$77,"&lt;"&amp;$I$2*($S17-1)+IF(MOD($S17,2)=0,$I$2-$F$13,$F$13))+1,"")</f>
        <v>41</v>
      </c>
      <c r="W17" s="66">
        <f>IF(ROW()-4&lt;=SUM($F$4:$F$11)+2,[1]RB!$AL$4*V17^5+[1]RB!$AM$4*V17^4+[1]RB!$AN$4*V17^3+[1]RB!$AO$4*V17^2+[1]RB!$AP$4*V17+[1]RB!$AQ$4,"")</f>
        <v>140.89814838037103</v>
      </c>
      <c r="X17" s="20">
        <f>IF(ROW()-4&lt;=SUM($F$4:$F$11)+2,COUNTIF('Default Rankings'!$T$3:$T$77,"&lt;"&amp;$I$2*($S17-1)+IF(MOD($S17,2)=0,$I$2-$F$13,$F$13))+1,"")</f>
        <v>46</v>
      </c>
      <c r="Y17" s="64">
        <f>IF(ROW()-4&lt;=SUM($F$4:$F$11)+2,[1]WR!$AL$4*X17^5+[1]WR!$AM$4*X17^4+[1]WR!$AN$4*X17^3+[1]WR!$AO$4*X17^2+[1]WR!$AP$4*X17+[1]WR!$AQ$4,"")</f>
        <v>169.97397637924735</v>
      </c>
      <c r="Z17" s="65">
        <f>IF(ROW()-4&lt;=SUM($F$4:$F$11)+2,COUNTIF('Default Rankings'!$Y$3:$Y$32,"&lt;"&amp;$I$2*($S17-1)+IF(MOD($S17,2)=0,$I$2-$F$13,$F$13))+1,"")</f>
        <v>8</v>
      </c>
      <c r="AA17" s="66">
        <f>IF(ROW()-4&lt;=SUM($F$4:$F$11)+2,[1]TE!$AL$4*Z17^5+[1]TE!$AM$4*Z17^4+[1]TE!$AN$4*Z17^3+[1]TE!$AO$4*Z17^2+[1]TE!$AP$4*Z17+[1]TE!$AQ$4,"")</f>
        <v>182.34522929756716</v>
      </c>
      <c r="AB17" s="20">
        <f>IF(ROW()-4&lt;=SUM($F$4:$F$11)+2,COUNTIF('Default Rankings'!$AD$3:$AD$22,"&lt;"&amp;$I$2*($S17-1)+IF(MOD($S17,2)=0,$I$2-$F$13,$F$13))+1,"")</f>
        <v>1</v>
      </c>
      <c r="AC17" s="64">
        <f>IF(ROW()-4&lt;=SUM($F$4:$F$11)+2,[1]DST!$R$4*AB17^5+[1]DST!$S$4*AB17^4+[1]DST!$T$4*AB17^3+[1]DST!$U$4*AB17^2+[1]DST!$V$4*AB17+[1]DST!$W$4,"")</f>
        <v>158.63586283460145</v>
      </c>
      <c r="AD17" s="65">
        <f>IF(ROW()-4&lt;=SUM($F$4:$F$11)+2,COUNTIF('Default Rankings'!$AI$3:$AI$22,"&lt;"&amp;$I$2*($S17-1)+IF(MOD($S17,2)=0,$I$2-$F$13,$F$13))+1,"")</f>
        <v>1</v>
      </c>
      <c r="AE17" s="67">
        <f>IF(ROW()-4&lt;=SUM($F$4:$F$11)+2,[1]K!$AG$4*AD17^5+[1]K!$AH$4*AD17^4+[1]K!$AI$4*AD17^3+[1]K!$AJ$4*AD17^2+[1]K!$AK$4*AD17+[1]K!$AL$4,"")</f>
        <v>182.24678467582021</v>
      </c>
    </row>
    <row r="18" spans="2:31" ht="15" thickBot="1" x14ac:dyDescent="0.4">
      <c r="E18" s="12" t="s">
        <v>4</v>
      </c>
      <c r="F18" s="63">
        <f>COUNTIFS('Live Draft Picks'!F3:F254,"=RB",'Live Draft Picks'!B3:B254,"=" &amp; INDEX('League Settings'!H5:H18,'League Settings'!F13))</f>
        <v>4</v>
      </c>
      <c r="H18" s="8" t="s">
        <v>30</v>
      </c>
      <c r="I18" s="31" t="str">
        <f t="shared" si="1"/>
        <v/>
      </c>
      <c r="J18" s="9"/>
      <c r="K18" s="25"/>
      <c r="S18" s="12">
        <f t="shared" si="0"/>
        <v>14</v>
      </c>
      <c r="T18" s="20">
        <f>IF(ROW()-4&lt;=SUM($F$4:$F$11)+2,COUNTIF('Default Rankings'!$J$3:$J$32,"&lt;"&amp;$I$2*($S18-1)+IF(MOD($S18,2)=0,$I$2-$F$13,$F$13))+1,"")</f>
        <v>7</v>
      </c>
      <c r="U18" s="64">
        <f>IF(ROW()-4&lt;=SUM($F$4:$F$11)+2,[1]QB!$AL$4*T18^5+[1]QB!$AM$4*T18^4+[1]QB!$AN$4*T18^3+[1]QB!$AO$4*T18^2+[1]QB!$AP$4*T18+[1]QB!$AQ$4,"")</f>
        <v>299.04483036335591</v>
      </c>
      <c r="V18" s="65">
        <f>IF(ROW()-4&lt;=SUM($F$4:$F$11)+2,COUNTIF('Default Rankings'!$O$3:$O$77,"&lt;"&amp;$I$2*($S18-1)+IF(MOD($S18,2)=0,$I$2-$F$13,$F$13))+1,"")</f>
        <v>44</v>
      </c>
      <c r="W18" s="66">
        <f>IF(ROW()-4&lt;=SUM($F$4:$F$11)+2,[1]RB!$AL$4*V18^5+[1]RB!$AM$4*V18^4+[1]RB!$AN$4*V18^3+[1]RB!$AO$4*V18^2+[1]RB!$AP$4*V18+[1]RB!$AQ$4,"")</f>
        <v>133.10388377501613</v>
      </c>
      <c r="X18" s="20">
        <f>IF(ROW()-4&lt;=SUM($F$4:$F$11)+2,COUNTIF('Default Rankings'!$T$3:$T$77,"&lt;"&amp;$I$2*($S18-1)+IF(MOD($S18,2)=0,$I$2-$F$13,$F$13))+1,"")</f>
        <v>53</v>
      </c>
      <c r="Y18" s="64">
        <f>IF(ROW()-4&lt;=SUM($F$4:$F$11)+2,[1]WR!$AL$4*X18^5+[1]WR!$AM$4*X18^4+[1]WR!$AN$4*X18^3+[1]WR!$AO$4*X18^2+[1]WR!$AP$4*X18+[1]WR!$AQ$4,"")</f>
        <v>154.99809648080833</v>
      </c>
      <c r="Z18" s="65">
        <f>IF(ROW()-4&lt;=SUM($F$4:$F$11)+2,COUNTIF('Default Rankings'!$Y$3:$Y$32,"&lt;"&amp;$I$2*($S18-1)+IF(MOD($S18,2)=0,$I$2-$F$13,$F$13))+1,"")</f>
        <v>8</v>
      </c>
      <c r="AA18" s="66">
        <f>IF(ROW()-4&lt;=SUM($F$4:$F$11)+2,[1]TE!$AL$4*Z18^5+[1]TE!$AM$4*Z18^4+[1]TE!$AN$4*Z18^3+[1]TE!$AO$4*Z18^2+[1]TE!$AP$4*Z18+[1]TE!$AQ$4,"")</f>
        <v>182.34522929756716</v>
      </c>
      <c r="AB18" s="20">
        <f>IF(ROW()-4&lt;=SUM($F$4:$F$11)+2,COUNTIF('Default Rankings'!$AD$3:$AD$22,"&lt;"&amp;$I$2*($S18-1)+IF(MOD($S18,2)=0,$I$2-$F$13,$F$13))+1,"")</f>
        <v>1</v>
      </c>
      <c r="AC18" s="64">
        <f>IF(ROW()-4&lt;=SUM($F$4:$F$11)+2,[1]DST!$R$4*AB18^5+[1]DST!$S$4*AB18^4+[1]DST!$T$4*AB18^3+[1]DST!$U$4*AB18^2+[1]DST!$V$4*AB18+[1]DST!$W$4,"")</f>
        <v>158.63586283460145</v>
      </c>
      <c r="AD18" s="65">
        <f>IF(ROW()-4&lt;=SUM($F$4:$F$11)+2,COUNTIF('Default Rankings'!$AI$3:$AI$22,"&lt;"&amp;$I$2*($S18-1)+IF(MOD($S18,2)=0,$I$2-$F$13,$F$13))+1,"")</f>
        <v>1</v>
      </c>
      <c r="AE18" s="67">
        <f>IF(ROW()-4&lt;=SUM($F$4:$F$11)+2,[1]K!$AG$4*AD18^5+[1]K!$AH$4*AD18^4+[1]K!$AI$4*AD18^3+[1]K!$AJ$4*AD18^2+[1]K!$AK$4*AD18+[1]K!$AL$4,"")</f>
        <v>182.24678467582021</v>
      </c>
    </row>
    <row r="19" spans="2:31" x14ac:dyDescent="0.35">
      <c r="E19" s="12" t="s">
        <v>5</v>
      </c>
      <c r="F19" s="63">
        <f>COUNTIFS('Live Draft Picks'!F3:F254,"=WR",'Live Draft Picks'!B3:B254,"=" &amp; INDEX('League Settings'!H5:H18,'League Settings'!F13))</f>
        <v>5</v>
      </c>
      <c r="S19" s="12">
        <f t="shared" si="0"/>
        <v>15</v>
      </c>
      <c r="T19" s="20">
        <f>IF(ROW()-4&lt;=SUM($F$4:$F$11)+2,COUNTIF('Default Rankings'!$J$3:$J$32,"&lt;"&amp;$I$2*($S19-1)+IF(MOD($S19,2)=0,$I$2-$F$13,$F$13))+1,"")</f>
        <v>7</v>
      </c>
      <c r="U19" s="64">
        <f>IF(ROW()-4&lt;=SUM($F$4:$F$11)+2,[1]QB!$AL$4*T19^5+[1]QB!$AM$4*T19^4+[1]QB!$AN$4*T19^3+[1]QB!$AO$4*T19^2+[1]QB!$AP$4*T19+[1]QB!$AQ$4,"")</f>
        <v>299.04483036335591</v>
      </c>
      <c r="V19" s="65">
        <f>IF(ROW()-4&lt;=SUM($F$4:$F$11)+2,COUNTIF('Default Rankings'!$O$3:$O$77,"&lt;"&amp;$I$2*($S19-1)+IF(MOD($S19,2)=0,$I$2-$F$13,$F$13))+1,"")</f>
        <v>44</v>
      </c>
      <c r="W19" s="66">
        <f>IF(ROW()-4&lt;=SUM($F$4:$F$11)+2,[1]RB!$AL$4*V19^5+[1]RB!$AM$4*V19^4+[1]RB!$AN$4*V19^3+[1]RB!$AO$4*V19^2+[1]RB!$AP$4*V19+[1]RB!$AQ$4,"")</f>
        <v>133.10388377501613</v>
      </c>
      <c r="X19" s="20">
        <f>IF(ROW()-4&lt;=SUM($F$4:$F$11)+2,COUNTIF('Default Rankings'!$T$3:$T$77,"&lt;"&amp;$I$2*($S19-1)+IF(MOD($S19,2)=0,$I$2-$F$13,$F$13))+1,"")</f>
        <v>54</v>
      </c>
      <c r="Y19" s="64">
        <f>IF(ROW()-4&lt;=SUM($F$4:$F$11)+2,[1]WR!$AL$4*X19^5+[1]WR!$AM$4*X19^4+[1]WR!$AN$4*X19^3+[1]WR!$AO$4*X19^2+[1]WR!$AP$4*X19+[1]WR!$AQ$4,"")</f>
        <v>152.85398559980746</v>
      </c>
      <c r="Z19" s="65">
        <f>IF(ROW()-4&lt;=SUM($F$4:$F$11)+2,COUNTIF('Default Rankings'!$Y$3:$Y$32,"&lt;"&amp;$I$2*($S19-1)+IF(MOD($S19,2)=0,$I$2-$F$13,$F$13))+1,"")</f>
        <v>13</v>
      </c>
      <c r="AA19" s="66">
        <f>IF(ROW()-4&lt;=SUM($F$4:$F$11)+2,[1]TE!$AL$4*Z19^5+[1]TE!$AM$4*Z19^4+[1]TE!$AN$4*Z19^3+[1]TE!$AO$4*Z19^2+[1]TE!$AP$4*Z19+[1]TE!$AQ$4,"")</f>
        <v>146.49192761305588</v>
      </c>
      <c r="AB19" s="20">
        <f>IF(ROW()-4&lt;=SUM($F$4:$F$11)+2,COUNTIF('Default Rankings'!$AD$3:$AD$22,"&lt;"&amp;$I$2*($S19-1)+IF(MOD($S19,2)=0,$I$2-$F$13,$F$13))+1,"")</f>
        <v>1</v>
      </c>
      <c r="AC19" s="64">
        <f>IF(ROW()-4&lt;=SUM($F$4:$F$11)+2,[1]DST!$R$4*AB19^5+[1]DST!$S$4*AB19^4+[1]DST!$T$4*AB19^3+[1]DST!$U$4*AB19^2+[1]DST!$V$4*AB19+[1]DST!$W$4,"")</f>
        <v>158.63586283460145</v>
      </c>
      <c r="AD19" s="65">
        <f>IF(ROW()-4&lt;=SUM($F$4:$F$11)+2,COUNTIF('Default Rankings'!$AI$3:$AI$22,"&lt;"&amp;$I$2*($S19-1)+IF(MOD($S19,2)=0,$I$2-$F$13,$F$13))+1,"")</f>
        <v>1</v>
      </c>
      <c r="AE19" s="67">
        <f>IF(ROW()-4&lt;=SUM($F$4:$F$11)+2,[1]K!$AG$4*AD19^5+[1]K!$AH$4*AD19^4+[1]K!$AI$4*AD19^3+[1]K!$AJ$4*AD19^2+[1]K!$AK$4*AD19+[1]K!$AL$4,"")</f>
        <v>182.24678467582021</v>
      </c>
    </row>
    <row r="20" spans="2:31" x14ac:dyDescent="0.35">
      <c r="E20" s="12" t="s">
        <v>7</v>
      </c>
      <c r="F20" s="63">
        <f>COUNTIFS('Live Draft Picks'!F3:F254,"=TE",'Live Draft Picks'!B3:B254,"=" &amp; INDEX('League Settings'!H5:H18,'League Settings'!F13))</f>
        <v>2</v>
      </c>
      <c r="S20" s="12">
        <f t="shared" si="0"/>
        <v>16</v>
      </c>
      <c r="T20" s="20">
        <f>IF(ROW()-4&lt;=SUM($F$4:$F$11)+2,COUNTIF('Default Rankings'!$J$3:$J$32,"&lt;"&amp;$I$2*($S20-1)+IF(MOD($S20,2)=0,$I$2-$F$13,$F$13))+1,"")</f>
        <v>14</v>
      </c>
      <c r="U20" s="64">
        <f>IF(ROW()-4&lt;=SUM($F$4:$F$11)+2,[1]QB!$AL$4*T20^5+[1]QB!$AM$4*T20^4+[1]QB!$AN$4*T20^3+[1]QB!$AO$4*T20^2+[1]QB!$AP$4*T20+[1]QB!$AQ$4,"")</f>
        <v>272.79901839678894</v>
      </c>
      <c r="V20" s="65">
        <f>IF(ROW()-4&lt;=SUM($F$4:$F$11)+2,COUNTIF('Default Rankings'!$O$3:$O$77,"&lt;"&amp;$I$2*($S20-1)+IF(MOD($S20,2)=0,$I$2-$F$13,$F$13))+1,"")</f>
        <v>44</v>
      </c>
      <c r="W20" s="66">
        <f>IF(ROW()-4&lt;=SUM($F$4:$F$11)+2,[1]RB!$AL$4*V20^5+[1]RB!$AM$4*V20^4+[1]RB!$AN$4*V20^3+[1]RB!$AO$4*V20^2+[1]RB!$AP$4*V20+[1]RB!$AQ$4,"")</f>
        <v>133.10388377501613</v>
      </c>
      <c r="X20" s="20">
        <f>IF(ROW()-4&lt;=SUM($F$4:$F$11)+2,COUNTIF('Default Rankings'!$T$3:$T$77,"&lt;"&amp;$I$2*($S20-1)+IF(MOD($S20,2)=0,$I$2-$F$13,$F$13))+1,"")</f>
        <v>56</v>
      </c>
      <c r="Y20" s="64">
        <f>IF(ROW()-4&lt;=SUM($F$4:$F$11)+2,[1]WR!$AL$4*X20^5+[1]WR!$AM$4*X20^4+[1]WR!$AN$4*X20^3+[1]WR!$AO$4*X20^2+[1]WR!$AP$4*X20+[1]WR!$AQ$4,"")</f>
        <v>148.58455774078362</v>
      </c>
      <c r="Z20" s="65">
        <f>IF(ROW()-4&lt;=SUM($F$4:$F$11)+2,COUNTIF('Default Rankings'!$Y$3:$Y$32,"&lt;"&amp;$I$2*($S20-1)+IF(MOD($S20,2)=0,$I$2-$F$13,$F$13))+1,"")</f>
        <v>14</v>
      </c>
      <c r="AA20" s="66">
        <f>IF(ROW()-4&lt;=SUM($F$4:$F$11)+2,[1]TE!$AL$4*Z20^5+[1]TE!$AM$4*Z20^4+[1]TE!$AN$4*Z20^3+[1]TE!$AO$4*Z20^2+[1]TE!$AP$4*Z20+[1]TE!$AQ$4,"")</f>
        <v>140.88104548162306</v>
      </c>
      <c r="AB20" s="20">
        <f>IF(ROW()-4&lt;=SUM($F$4:$F$11)+2,COUNTIF('Default Rankings'!$AD$3:$AD$22,"&lt;"&amp;$I$2*($S20-1)+IF(MOD($S20,2)=0,$I$2-$F$13,$F$13))+1,"")</f>
        <v>1</v>
      </c>
      <c r="AC20" s="64">
        <f>IF(ROW()-4&lt;=SUM($F$4:$F$11)+2,[1]DST!$R$4*AB20^5+[1]DST!$S$4*AB20^4+[1]DST!$T$4*AB20^3+[1]DST!$U$4*AB20^2+[1]DST!$V$4*AB20+[1]DST!$W$4,"")</f>
        <v>158.63586283460145</v>
      </c>
      <c r="AD20" s="65">
        <f>IF(ROW()-4&lt;=SUM($F$4:$F$11)+2,COUNTIF('Default Rankings'!$AI$3:$AI$22,"&lt;"&amp;$I$2*($S20-1)+IF(MOD($S20,2)=0,$I$2-$F$13,$F$13))+1,"")</f>
        <v>1</v>
      </c>
      <c r="AE20" s="67">
        <f>IF(ROW()-4&lt;=SUM($F$4:$F$11)+2,[1]K!$AG$4*AD20^5+[1]K!$AH$4*AD20^4+[1]K!$AI$4*AD20^3+[1]K!$AJ$4*AD20^2+[1]K!$AK$4*AD20+[1]K!$AL$4,"")</f>
        <v>182.24678467582021</v>
      </c>
    </row>
    <row r="21" spans="2:31" x14ac:dyDescent="0.35">
      <c r="E21" s="12" t="s">
        <v>8</v>
      </c>
      <c r="F21" s="63">
        <f>COUNTIFS('Live Draft Picks'!F3:F254,"=DST",'Live Draft Picks'!B3:B254,"=" &amp; INDEX('League Settings'!H5:H18,'League Settings'!F13))</f>
        <v>1</v>
      </c>
      <c r="S21" s="12">
        <f>IF(ROW()-4&lt;=SUM($F$4:$F$11)+2,ROW()-4,"")</f>
        <v>17</v>
      </c>
      <c r="T21" s="20">
        <f>IF(ROW()-4&lt;=SUM($F$4:$F$11)+2,COUNTIF('Default Rankings'!$J$3:$J$32,"&lt;"&amp;$I$2*($S21-1)+IF(MOD($S21,2)=0,$I$2-$F$13,$F$13))+1,"")</f>
        <v>14</v>
      </c>
      <c r="U21" s="64">
        <f>IF(ROW()-4&lt;=SUM($F$4:$F$11)+2,[1]QB!$AL$4*T21^5+[1]QB!$AM$4*T21^4+[1]QB!$AN$4*T21^3+[1]QB!$AO$4*T21^2+[1]QB!$AP$4*T21+[1]QB!$AQ$4,"")</f>
        <v>272.79901839678894</v>
      </c>
      <c r="V21" s="65">
        <f>IF(ROW()-4&lt;=SUM($F$4:$F$11)+2,COUNTIF('Default Rankings'!$O$3:$O$77,"&lt;"&amp;$I$2*($S21-1)+IF(MOD($S21,2)=0,$I$2-$F$13,$F$13))+1,"")</f>
        <v>47</v>
      </c>
      <c r="W21" s="66">
        <f>IF(ROW()-4&lt;=SUM($F$4:$F$11)+2,[1]RB!$AL$4*V21^5+[1]RB!$AM$4*V21^4+[1]RB!$AN$4*V21^3+[1]RB!$AO$4*V21^2+[1]RB!$AP$4*V21+[1]RB!$AQ$4,"")</f>
        <v>125.17066927134397</v>
      </c>
      <c r="X21" s="20">
        <f>IF(ROW()-4&lt;=SUM($F$4:$F$11)+2,COUNTIF('Default Rankings'!$T$3:$T$77,"&lt;"&amp;$I$2*($S21-1)+IF(MOD($S21,2)=0,$I$2-$F$13,$F$13))+1,"")</f>
        <v>59</v>
      </c>
      <c r="Y21" s="64">
        <f>IF(ROW()-4&lt;=SUM($F$4:$F$11)+2,[1]WR!$AL$4*X21^5+[1]WR!$AM$4*X21^4+[1]WR!$AN$4*X21^3+[1]WR!$AO$4*X21^2+[1]WR!$AP$4*X21+[1]WR!$AQ$4,"")</f>
        <v>142.26308903788657</v>
      </c>
      <c r="Z21" s="65">
        <f>IF(ROW()-4&lt;=SUM($F$4:$F$11)+2,COUNTIF('Default Rankings'!$Y$3:$Y$32,"&lt;"&amp;$I$2*($S21-1)+IF(MOD($S21,2)=0,$I$2-$F$13,$F$13))+1,"")</f>
        <v>14</v>
      </c>
      <c r="AA21" s="66">
        <f>IF(ROW()-4&lt;=SUM($F$4:$F$11)+2,[1]TE!$AL$4*Z21^5+[1]TE!$AM$4*Z21^4+[1]TE!$AN$4*Z21^3+[1]TE!$AO$4*Z21^2+[1]TE!$AP$4*Z21+[1]TE!$AQ$4,"")</f>
        <v>140.88104548162306</v>
      </c>
      <c r="AB21" s="20">
        <f>IF(ROW()-4&lt;=SUM($F$4:$F$11)+2,COUNTIF('Default Rankings'!$AD$3:$AD$22,"&lt;"&amp;$I$2*($S21-1)+IF(MOD($S21,2)=0,$I$2-$F$13,$F$13))+1,"")</f>
        <v>1</v>
      </c>
      <c r="AC21" s="64">
        <f>IF(ROW()-4&lt;=SUM($F$4:$F$11)+2,[1]DST!$R$4*AB21^5+[1]DST!$S$4*AB21^4+[1]DST!$T$4*AB21^3+[1]DST!$U$4*AB21^2+[1]DST!$V$4*AB21+[1]DST!$W$4,"")</f>
        <v>158.63586283460145</v>
      </c>
      <c r="AD21" s="65">
        <f>IF(ROW()-4&lt;=SUM($F$4:$F$11)+2,COUNTIF('Default Rankings'!$AI$3:$AI$22,"&lt;"&amp;$I$2*($S21-1)+IF(MOD($S21,2)=0,$I$2-$F$13,$F$13))+1,"")</f>
        <v>1</v>
      </c>
      <c r="AE21" s="67">
        <f>IF(ROW()-4&lt;=SUM($F$4:$F$11)+2,[1]K!$AG$4*AD21^5+[1]K!$AH$4*AD21^4+[1]K!$AI$4*AD21^3+[1]K!$AJ$4*AD21^2+[1]K!$AK$4*AD21+[1]K!$AL$4,"")</f>
        <v>182.24678467582021</v>
      </c>
    </row>
    <row r="22" spans="2:31" ht="15" thickBot="1" x14ac:dyDescent="0.4">
      <c r="E22" s="13" t="s">
        <v>9</v>
      </c>
      <c r="F22" s="72">
        <f>COUNTIFS('Live Draft Picks'!F3:F254,"=K",'Live Draft Picks'!B3:B254,"=" &amp; INDEX('League Settings'!H5:H18,'League Settings'!F13))</f>
        <v>1</v>
      </c>
      <c r="S22" s="12">
        <f>IF(ROW()-4&lt;=SUM($F$4:$F$11)+2,ROW()-4,"")</f>
        <v>18</v>
      </c>
      <c r="T22" s="20">
        <f>IF(ROW()-4&lt;=SUM($F$4:$F$11)+2,COUNTIF('Default Rankings'!$J$3:$J$32,"&lt;"&amp;$I$2*($S22-1)+IF(MOD($S22,2)=0,$I$2-$F$13,$F$13))+1,"")</f>
        <v>16</v>
      </c>
      <c r="U22" s="64">
        <f>IF(ROW()-4&lt;=SUM($F$4:$F$11)+2,[1]QB!$AL$4*T22^5+[1]QB!$AM$4*T22^4+[1]QB!$AN$4*T22^3+[1]QB!$AO$4*T22^2+[1]QB!$AP$4*T22+[1]QB!$AQ$4,"")</f>
        <v>264.02939740120075</v>
      </c>
      <c r="V22" s="65">
        <f>IF(ROW()-4&lt;=SUM($F$4:$F$11)+2,COUNTIF('Default Rankings'!$O$3:$O$77,"&lt;"&amp;$I$2*($S22-1)+IF(MOD($S22,2)=0,$I$2-$F$13,$F$13))+1,"")</f>
        <v>52</v>
      </c>
      <c r="W22" s="66">
        <f>IF(ROW()-4&lt;=SUM($F$4:$F$11)+2,[1]RB!$AL$4*V22^5+[1]RB!$AM$4*V22^4+[1]RB!$AN$4*V22^3+[1]RB!$AO$4*V22^2+[1]RB!$AP$4*V22+[1]RB!$AQ$4,"")</f>
        <v>111.92287313001975</v>
      </c>
      <c r="X22" s="20">
        <f>IF(ROW()-4&lt;=SUM($F$4:$F$11)+2,COUNTIF('Default Rankings'!$T$3:$T$77,"&lt;"&amp;$I$2*($S22-1)+IF(MOD($S22,2)=0,$I$2-$F$13,$F$13))+1,"")</f>
        <v>59</v>
      </c>
      <c r="Y22" s="64">
        <f>IF(ROW()-4&lt;=SUM($F$4:$F$11)+2,[1]WR!$AL$4*X22^5+[1]WR!$AM$4*X22^4+[1]WR!$AN$4*X22^3+[1]WR!$AO$4*X22^2+[1]WR!$AP$4*X22+[1]WR!$AQ$4,"")</f>
        <v>142.26308903788657</v>
      </c>
      <c r="Z22" s="65">
        <f>IF(ROW()-4&lt;=SUM($F$4:$F$11)+2,COUNTIF('Default Rankings'!$Y$3:$Y$32,"&lt;"&amp;$I$2*($S22-1)+IF(MOD($S22,2)=0,$I$2-$F$13,$F$13))+1,"")</f>
        <v>17</v>
      </c>
      <c r="AA22" s="66">
        <f>IF(ROW()-4&lt;=SUM($F$4:$F$11)+2,[1]TE!$AL$4*Z22^5+[1]TE!$AM$4*Z22^4+[1]TE!$AN$4*Z22^3+[1]TE!$AO$4*Z22^2+[1]TE!$AP$4*Z22+[1]TE!$AQ$4,"")</f>
        <v>126.2780919703421</v>
      </c>
      <c r="AB22" s="20">
        <f>IF(ROW()-4&lt;=SUM($F$4:$F$11)+2,COUNTIF('Default Rankings'!$AD$3:$AD$22,"&lt;"&amp;$I$2*($S22-1)+IF(MOD($S22,2)=0,$I$2-$F$13,$F$13))+1,"")</f>
        <v>1</v>
      </c>
      <c r="AC22" s="64">
        <f>IF(ROW()-4&lt;=SUM($F$4:$F$11)+2,[1]DST!$R$4*AB22^5+[1]DST!$S$4*AB22^4+[1]DST!$T$4*AB22^3+[1]DST!$U$4*AB22^2+[1]DST!$V$4*AB22+[1]DST!$W$4,"")</f>
        <v>158.63586283460145</v>
      </c>
      <c r="AD22" s="65">
        <f>IF(ROW()-4&lt;=SUM($F$4:$F$11)+2,COUNTIF('Default Rankings'!$AI$3:$AI$22,"&lt;"&amp;$I$2*($S22-1)+IF(MOD($S22,2)=0,$I$2-$F$13,$F$13))+1,"")</f>
        <v>1</v>
      </c>
      <c r="AE22" s="67">
        <f>IF(ROW()-4&lt;=SUM($F$4:$F$11)+2,[1]K!$AG$4*AD22^5+[1]K!$AH$4*AD22^4+[1]K!$AI$4*AD22^3+[1]K!$AJ$4*AD22^2+[1]K!$AK$4*AD22+[1]K!$AL$4,"")</f>
        <v>182.24678467582021</v>
      </c>
    </row>
    <row r="24" spans="2:31" x14ac:dyDescent="0.35">
      <c r="B24" s="1" t="s">
        <v>3</v>
      </c>
      <c r="C24" s="1" t="s">
        <v>4</v>
      </c>
      <c r="D24" s="1" t="s">
        <v>5</v>
      </c>
      <c r="E24" s="1" t="s">
        <v>7</v>
      </c>
    </row>
    <row r="25" spans="2:31" x14ac:dyDescent="0.35">
      <c r="B25" s="1">
        <f>1/9^(1/F$4)^(ROW()-25)</f>
        <v>1</v>
      </c>
      <c r="C25" s="1">
        <f>1/9^(1/(F$5+F$8/2))^(ROW()-25)</f>
        <v>1</v>
      </c>
      <c r="D25" s="1">
        <f>1/9^(1/(F$6+F$8/2))^(ROW()-25)</f>
        <v>1</v>
      </c>
      <c r="E25" s="1">
        <f>1/9^(1/F$7)^(ROW()-25)</f>
        <v>1</v>
      </c>
    </row>
    <row r="26" spans="2:31" x14ac:dyDescent="0.35">
      <c r="B26" s="1">
        <f t="shared" ref="B26:B34" si="2">1/9^(1/F$4)^(ROW()-25)</f>
        <v>0.1111111111111111</v>
      </c>
      <c r="C26" s="1">
        <f t="shared" ref="C26:C34" si="3">1/9^(1/(F$5+F$8/2))^(ROW()-25)</f>
        <v>0.41524364653850571</v>
      </c>
      <c r="D26" s="1">
        <f t="shared" ref="D26:D34" si="4">1/9^(1/(F$6+F$8/2))^(ROW()-25)</f>
        <v>0.41524364653850571</v>
      </c>
      <c r="E26" s="1">
        <f t="shared" ref="E26:E34" si="5">1/9^(1/F$7)^(ROW()-25)</f>
        <v>0.1111111111111111</v>
      </c>
    </row>
    <row r="27" spans="2:31" x14ac:dyDescent="0.35">
      <c r="B27" s="1">
        <f t="shared" si="2"/>
        <v>1.2345679012345678E-2</v>
      </c>
      <c r="C27" s="1">
        <f t="shared" si="3"/>
        <v>0.17242728599059548</v>
      </c>
      <c r="D27" s="1">
        <f t="shared" si="4"/>
        <v>0.17242728599059548</v>
      </c>
      <c r="E27" s="1">
        <f t="shared" si="5"/>
        <v>1.2345679012345678E-2</v>
      </c>
    </row>
    <row r="28" spans="2:31" x14ac:dyDescent="0.35">
      <c r="B28" s="1">
        <f t="shared" si="2"/>
        <v>1.3717421124828531E-3</v>
      </c>
      <c r="C28" s="1">
        <f t="shared" si="3"/>
        <v>7.1599334997472674E-2</v>
      </c>
      <c r="D28" s="1">
        <f t="shared" si="4"/>
        <v>7.1599334997472674E-2</v>
      </c>
      <c r="E28" s="1">
        <f t="shared" si="5"/>
        <v>1.3717421124828531E-3</v>
      </c>
    </row>
    <row r="29" spans="2:31" x14ac:dyDescent="0.35">
      <c r="B29" s="1">
        <f t="shared" si="2"/>
        <v>1.5241579027587258E-4</v>
      </c>
      <c r="C29" s="1">
        <f t="shared" si="3"/>
        <v>2.97311689540826E-2</v>
      </c>
      <c r="D29" s="1">
        <f t="shared" si="4"/>
        <v>2.97311689540826E-2</v>
      </c>
      <c r="E29" s="1">
        <f t="shared" si="5"/>
        <v>1.5241579027587258E-4</v>
      </c>
    </row>
    <row r="30" spans="2:31" x14ac:dyDescent="0.35">
      <c r="B30" s="1">
        <f t="shared" si="2"/>
        <v>1.6935087808430286E-5</v>
      </c>
      <c r="C30" s="1">
        <f t="shared" si="3"/>
        <v>1.234567901234567E-2</v>
      </c>
      <c r="D30" s="1">
        <f t="shared" si="4"/>
        <v>1.234567901234567E-2</v>
      </c>
      <c r="E30" s="1">
        <f t="shared" si="5"/>
        <v>1.6935087808430286E-5</v>
      </c>
    </row>
    <row r="31" spans="2:31" x14ac:dyDescent="0.35">
      <c r="B31" s="1">
        <f t="shared" si="2"/>
        <v>1.8816764231589208E-6</v>
      </c>
      <c r="C31" s="1">
        <f t="shared" si="3"/>
        <v>5.1264647720803136E-3</v>
      </c>
      <c r="D31" s="1">
        <f t="shared" si="4"/>
        <v>5.1264647720803136E-3</v>
      </c>
      <c r="E31" s="1">
        <f t="shared" si="5"/>
        <v>1.8816764231589208E-6</v>
      </c>
    </row>
    <row r="32" spans="2:31" x14ac:dyDescent="0.35">
      <c r="B32" s="1">
        <f t="shared" si="2"/>
        <v>2.0907515812876897E-7</v>
      </c>
      <c r="C32" s="1">
        <f t="shared" si="3"/>
        <v>2.1287319258098195E-3</v>
      </c>
      <c r="D32" s="1">
        <f t="shared" si="4"/>
        <v>2.1287319258098195E-3</v>
      </c>
      <c r="E32" s="1">
        <f t="shared" si="5"/>
        <v>2.0907515812876897E-7</v>
      </c>
    </row>
    <row r="33" spans="2:10" x14ac:dyDescent="0.35">
      <c r="B33" s="1">
        <f t="shared" si="2"/>
        <v>2.3230573125418773E-8</v>
      </c>
      <c r="C33" s="1">
        <f t="shared" si="3"/>
        <v>8.8394240737620501E-4</v>
      </c>
      <c r="D33" s="1">
        <f t="shared" si="4"/>
        <v>8.8394240737620501E-4</v>
      </c>
      <c r="E33" s="1">
        <f t="shared" si="5"/>
        <v>2.3230573125418773E-8</v>
      </c>
    </row>
    <row r="34" spans="2:10" x14ac:dyDescent="0.35">
      <c r="B34" s="1">
        <f t="shared" si="2"/>
        <v>2.5811747917131971E-9</v>
      </c>
      <c r="C34" s="1">
        <f t="shared" si="3"/>
        <v>3.6705146856892072E-4</v>
      </c>
      <c r="D34" s="1">
        <f t="shared" si="4"/>
        <v>3.6705146856892072E-4</v>
      </c>
      <c r="E34" s="1">
        <f t="shared" si="5"/>
        <v>2.5811747917131971E-9</v>
      </c>
    </row>
    <row r="35" spans="2:10" x14ac:dyDescent="0.35">
      <c r="H35" s="1" t="s">
        <v>1014</v>
      </c>
      <c r="I35" s="1" t="s">
        <v>1015</v>
      </c>
    </row>
    <row r="36" spans="2:10" x14ac:dyDescent="0.35">
      <c r="B36" s="1">
        <f>SUM(C25:C30)</f>
        <v>1.7013471154930022</v>
      </c>
      <c r="C36" s="1">
        <f>C25/$B$36</f>
        <v>0.58776953326789416</v>
      </c>
      <c r="D36" s="1">
        <f>C25*(C36/(SUM(C25:C34)-C25)+C37/(SUM(C25:C34)-C26)+C38/(SUM(C25:C34)-C27)+C39/(SUM(C25:C34)-C28)+C40/(SUM(C25:C34)-C29)+C41/(SUM(C25:C34)-C30)+C42/(SUM(C25:C34)-C31)+C43/(SUM(C25:C34)-C32)+C44/(SUM(C25:C34)-C33)+C45/(SUM(C25:C34)-C34)-C36/(SUM(C25:C34)-C25))</f>
        <v>0.29774076071534383</v>
      </c>
      <c r="E36" s="1">
        <f>1-C36-D36-F36-G36</f>
        <v>6.3853817516311029E-2</v>
      </c>
      <c r="F36" s="1">
        <f>D40</f>
        <v>3.3160813200800943E-2</v>
      </c>
      <c r="G36" s="1">
        <f>C40</f>
        <v>1.7475075299650037E-2</v>
      </c>
      <c r="H36" s="1">
        <v>0.9</v>
      </c>
      <c r="I36" s="1">
        <v>1</v>
      </c>
      <c r="J36" s="1" t="s">
        <v>1569</v>
      </c>
    </row>
    <row r="37" spans="2:10" x14ac:dyDescent="0.35">
      <c r="C37" s="1">
        <f t="shared" ref="C37:C45" si="6">C26/$B$36</f>
        <v>0.24406756431839594</v>
      </c>
      <c r="D37" s="1">
        <f>C26*(C36/(SUM(C25:C34)-C25)+C37/(SUM(C25:C34)-C26)+C38/(SUM(C25:C34)-C27)+C39/(SUM(C25:C34)-C28)+C40/(SUM(C25:C34)-C29)+C41/(SUM(C25:C34)-C30)+C42/(SUM(C25:C34)-C31)+C43/(SUM(C25:C34)-C32)+C44/(SUM(C25:C34)-C33)+C45/(SUM(C25:C34)-C34)-C37/(SUM(C25:C34)-C26))</f>
        <v>0.38917891232554808</v>
      </c>
      <c r="E37" s="1">
        <f>1-C37-D37-F37-G37</f>
        <v>0.24590547963453138</v>
      </c>
      <c r="F37" s="1">
        <f>D39</f>
        <v>7.8764136007768507E-2</v>
      </c>
      <c r="G37" s="1">
        <f>C39</f>
        <v>4.2083907713756114E-2</v>
      </c>
      <c r="H37" s="1">
        <v>0.8</v>
      </c>
      <c r="I37" s="1">
        <v>2</v>
      </c>
    </row>
    <row r="38" spans="2:10" x14ac:dyDescent="0.35">
      <c r="C38" s="1">
        <f t="shared" si="6"/>
        <v>0.10134750540934202</v>
      </c>
      <c r="D38" s="1">
        <f>C27*(C36/(SUM(C25:C34)-C25)+C37/(SUM(C25:C34)-C26)+C38/(SUM(C25:C34)-C27)+C39/(SUM(C25:C34)-C28)+C40/(SUM(C25:C34)-C29)+C41/(SUM(C25:C34)-C30)+C42/(SUM(C25:C34)-C31)+C43/(SUM(C25:C34)-C32)+C44/(SUM(C25:C34)-C33)+C45/(SUM(C25:C34)-C34)-C38/(SUM(C25:C34)-C27))</f>
        <v>0.1827446454968272</v>
      </c>
      <c r="E38" s="1">
        <f>1-C38-D38-F38-G38</f>
        <v>0.43181569818766152</v>
      </c>
      <c r="F38" s="1">
        <f>D38</f>
        <v>0.1827446454968272</v>
      </c>
      <c r="G38" s="1">
        <f>C38</f>
        <v>0.10134750540934202</v>
      </c>
      <c r="H38" s="1">
        <f t="shared" ref="H37:H40" si="7">C38+D38+E38*0.5</f>
        <v>0.5</v>
      </c>
      <c r="I38" s="1">
        <v>3</v>
      </c>
    </row>
    <row r="39" spans="2:10" x14ac:dyDescent="0.35">
      <c r="C39" s="1">
        <f t="shared" si="6"/>
        <v>4.2083907713756114E-2</v>
      </c>
      <c r="D39" s="1">
        <f>C28*(C36/(SUM(C25:C34)-C25)+C37/(SUM(C25:C34)-C26)+C38/(SUM(C25:C34)-C27)+C39/(SUM(C25:C34)-C28)+C40/(SUM(C25:C34)-C29)+C41/(SUM(C25:C34)-C30)+C42/(SUM(C25:C34)-C31)+C43/(SUM(C25:C34)-C32)+C44/(SUM(C25:C34)-C33)+C45/(SUM(C25:C34)-C34)-C39/(SUM(C25:C34)-C28))</f>
        <v>7.8764136007768507E-2</v>
      </c>
      <c r="E39" s="1">
        <f>1-C39-D39-F39-G39</f>
        <v>0.2459054796345313</v>
      </c>
      <c r="F39" s="1">
        <f>D37</f>
        <v>0.38917891232554808</v>
      </c>
      <c r="G39" s="1">
        <f>C37</f>
        <v>0.24406756431839594</v>
      </c>
      <c r="H39" s="1">
        <v>0.2</v>
      </c>
      <c r="I39" s="1">
        <v>4</v>
      </c>
    </row>
    <row r="40" spans="2:10" x14ac:dyDescent="0.35">
      <c r="C40" s="1">
        <f t="shared" si="6"/>
        <v>1.7475075299650037E-2</v>
      </c>
      <c r="D40" s="1">
        <f>C29*(C36/(SUM(C25:C34)-C25)+C37/(SUM(C25:C34)-C26)+C38/(SUM(C25:C34)-C27)+C39/(SUM(C25:C34)-C28)+C40/(SUM(C25:C34)-C29)+C41/(SUM(C25:C34)-C30)+C42/(SUM(C25:C34)-C31)+C43/(SUM(C25:C34)-C32)+C44/(SUM(C25:C34)-C33)+C45/(SUM(C25:C34)-C34)-C40/(SUM(C25:C34)-C29))</f>
        <v>3.3160813200800943E-2</v>
      </c>
      <c r="E40" s="1">
        <f>1-C40-D40-F40-G40</f>
        <v>6.3853817516311029E-2</v>
      </c>
      <c r="F40" s="1">
        <f>D36</f>
        <v>0.29774076071534383</v>
      </c>
      <c r="G40" s="1">
        <f>C36</f>
        <v>0.58776953326789416</v>
      </c>
      <c r="H40" s="1">
        <v>0.1</v>
      </c>
      <c r="I40" s="1">
        <v>5</v>
      </c>
    </row>
    <row r="41" spans="2:10" x14ac:dyDescent="0.35">
      <c r="C41" s="1">
        <f t="shared" si="6"/>
        <v>7.256413990961651E-3</v>
      </c>
      <c r="D41" s="1">
        <f>C30*(C36/(SUM(C25:C34)-C25)+C37/(SUM(C25:C34)-C26)+C38/(SUM(C25:C34)-C27)+C39/(SUM(C25:C34)-C28)+C40/(SUM(C25:C34)-C29)+C41/(SUM(C25:C34)-C30)+C42/(SUM(C25:C34)-C31)+C43/(SUM(C25:C34)-C32)+C44/(SUM(C25:C34)-C33)+C45/(SUM(C25:C34)-C34)-C41/(SUM(C25:C34)-C30))</f>
        <v>1.3845450678889407E-2</v>
      </c>
      <c r="H41" s="1">
        <v>0</v>
      </c>
      <c r="I41" s="1">
        <v>6</v>
      </c>
    </row>
    <row r="42" spans="2:10" x14ac:dyDescent="0.35">
      <c r="C42" s="1">
        <f t="shared" si="6"/>
        <v>3.0131798063999476E-3</v>
      </c>
      <c r="D42" s="1">
        <f>C31*(C36/(SUM(C25:C34)-C25)+C37/(SUM(C25:C34)-C26)+C38/(SUM(C25:C34)-C27)+C39/(SUM(C25:C34)-C28)+C40/(SUM(C25:C34)-C29)+C41/(SUM(C25:C34)-C30)+C42/(SUM(C25:C34)-C31)+C43/(SUM(C25:C34)-C32)+C44/(SUM(C25:C34)-C33)+C45/(SUM(C25:C34)-C34)-C42/(SUM(C25:C34)-C31))</f>
        <v>5.7620885104382657E-3</v>
      </c>
    </row>
    <row r="43" spans="2:10" x14ac:dyDescent="0.35">
      <c r="C43" s="1">
        <f t="shared" si="6"/>
        <v>1.2512037704857032E-3</v>
      </c>
      <c r="D43" s="1">
        <f>C32*(C36/(SUM(C25:C34)-C25)+C37/(SUM(C25:C34)-C26)+C38/(SUM(C25:C34)-C27)+C39/(SUM(C25:C34)-C28)+C40/(SUM(C25:C34)-C29)+C41/(SUM(C25:C34)-C30)+C42/(SUM(C25:C34)-C31)+C43/(SUM(C25:C34)-C32)+C44/(SUM(C25:C34)-C33)+C45/(SUM(C25:C34)-C34)-C43/(SUM(C25:C34)-C32))</f>
        <v>2.3948736077175291E-3</v>
      </c>
    </row>
    <row r="44" spans="2:10" x14ac:dyDescent="0.35">
      <c r="C44" s="1">
        <f t="shared" si="6"/>
        <v>5.1955441621921077E-4</v>
      </c>
      <c r="D44" s="1">
        <f>C33*(C36/(SUM(C25:C34)-C25)+C37/(SUM(C25:C34)-C26)+C38/(SUM(C25:C34)-C27)+C39/(SUM(C25:C34)-C28)+C40/(SUM(C25:C34)-C29)+C41/(SUM(C25:C34)-C30)+C42/(SUM(C25:C34)-C31)+C43/(SUM(C25:C34)-C32)+C44/(SUM(C25:C34)-C33)+C45/(SUM(C25:C34)-C34)-C44/(SUM(C25:C34)-C33))</f>
        <v>9.9483495781149765E-4</v>
      </c>
    </row>
    <row r="45" spans="2:10" x14ac:dyDescent="0.35">
      <c r="C45" s="1">
        <f t="shared" si="6"/>
        <v>2.1574167036604968E-4</v>
      </c>
      <c r="D45" s="1">
        <f>C34*(C36/(SUM(C25:C34)-C25)+C37/(SUM(C25:C34)-C26)+C38/(SUM(C25:C34)-C27)+C39/(SUM(C25:C34)-C28)+C40/(SUM(C25:C34)-C29)+C41/(SUM(C25:C34)-C30)+C42/(SUM(C25:C34)-C31)+C43/(SUM(C25:C34)-C32)+C44/(SUM(C25:C34)-C33)+C45/(SUM(C25:C34)-C34)-C45/(SUM(C25:C34)-C34))</f>
        <v>4.1316416232520394E-4</v>
      </c>
    </row>
    <row r="46" spans="2:10" x14ac:dyDescent="0.35">
      <c r="D46" s="1" t="s">
        <v>3</v>
      </c>
      <c r="E46" s="1" t="s">
        <v>4</v>
      </c>
      <c r="F46" s="1" t="s">
        <v>5</v>
      </c>
    </row>
    <row r="47" spans="2:10" x14ac:dyDescent="0.35">
      <c r="C47" s="1">
        <f>($I$2+1)/2</f>
        <v>4.5</v>
      </c>
      <c r="D47" s="207">
        <f>[1]RB!$AL$4*C47^5+[1]RB!$AM$4*C47^4+[1]RB!$AN$4*C47^3+[1]RB!$AO$4*C47^2+[1]RB!$AP$4*C47+[1]RB!$AQ$4</f>
        <v>329.01556859938074</v>
      </c>
    </row>
    <row r="48" spans="2:10" x14ac:dyDescent="0.35">
      <c r="C48" s="1">
        <f>C47+$I$2</f>
        <v>12.5</v>
      </c>
      <c r="D48" s="207">
        <f>[1]RB!$AL$4*C48^5+[1]RB!$AM$4*C48^4+[1]RB!$AN$4*C48^3+[1]RB!$AO$4*C48^2+[1]RB!$AP$4*C48+[1]RB!$AQ$4</f>
        <v>241.2848905633509</v>
      </c>
    </row>
    <row r="49" spans="3:4" x14ac:dyDescent="0.35">
      <c r="C49" s="1">
        <f t="shared" ref="C49:C56" si="8">C48+$I$2</f>
        <v>20.5</v>
      </c>
      <c r="D49" s="207">
        <f>[1]RB!$AL$4*C49^5+[1]RB!$AM$4*C49^4+[1]RB!$AN$4*C49^3+[1]RB!$AO$4*C49^2+[1]RB!$AP$4*C49+[1]RB!$AQ$4</f>
        <v>197.32588157116825</v>
      </c>
    </row>
    <row r="50" spans="3:4" x14ac:dyDescent="0.35">
      <c r="C50" s="1">
        <f t="shared" si="8"/>
        <v>28.5</v>
      </c>
      <c r="D50" s="207">
        <f>[1]RB!$AL$4*C50^5+[1]RB!$AM$4*C50^4+[1]RB!$AN$4*C50^3+[1]RB!$AO$4*C50^2+[1]RB!$AP$4*C50+[1]RB!$AQ$4</f>
        <v>172.23527560987338</v>
      </c>
    </row>
    <row r="51" spans="3:4" x14ac:dyDescent="0.35">
      <c r="C51" s="1">
        <f t="shared" si="8"/>
        <v>36.5</v>
      </c>
      <c r="D51" s="207">
        <f>[1]RB!$AL$4*C51^5+[1]RB!$AM$4*C51^4+[1]RB!$AN$4*C51^3+[1]RB!$AO$4*C51^2+[1]RB!$AP$4*C51+[1]RB!$AQ$4</f>
        <v>152.24206559177958</v>
      </c>
    </row>
    <row r="52" spans="3:4" x14ac:dyDescent="0.35">
      <c r="C52" s="1">
        <f t="shared" si="8"/>
        <v>44.5</v>
      </c>
      <c r="D52" s="207">
        <f>[1]RB!$AL$4*C52^5+[1]RB!$AM$4*C52^4+[1]RB!$AN$4*C52^3+[1]RB!$AO$4*C52^2+[1]RB!$AP$4*C52+[1]RB!$AQ$4</f>
        <v>131.78916405493578</v>
      </c>
    </row>
    <row r="53" spans="3:4" x14ac:dyDescent="0.35">
      <c r="C53" s="1">
        <f t="shared" si="8"/>
        <v>52.5</v>
      </c>
      <c r="D53" s="207">
        <f>[1]RB!$AL$4*C53^5+[1]RB!$AM$4*C53^4+[1]RB!$AN$4*C53^3+[1]RB!$AO$4*C53^2+[1]RB!$AP$4*C53+[1]RB!$AQ$4</f>
        <v>110.61506386358769</v>
      </c>
    </row>
    <row r="54" spans="3:4" x14ac:dyDescent="0.35">
      <c r="C54" s="1">
        <f t="shared" si="8"/>
        <v>60.5</v>
      </c>
      <c r="D54" s="207">
        <f>[1]RB!$AL$4*C54^5+[1]RB!$AM$4*C54^4+[1]RB!$AN$4*C54^3+[1]RB!$AO$4*C54^2+[1]RB!$AP$4*C54+[1]RB!$AQ$4</f>
        <v>90.835498908644468</v>
      </c>
    </row>
    <row r="55" spans="3:4" x14ac:dyDescent="0.35">
      <c r="C55" s="1">
        <f t="shared" si="8"/>
        <v>68.5</v>
      </c>
      <c r="D55" s="207">
        <f>[1]RB!$AL$4*C55^5+[1]RB!$AM$4*C55^4+[1]RB!$AN$4*C55^3+[1]RB!$AO$4*C55^2+[1]RB!$AP$4*C55+[1]RB!$AQ$4</f>
        <v>74.025104808137485</v>
      </c>
    </row>
    <row r="56" spans="3:4" x14ac:dyDescent="0.35">
      <c r="C56" s="1">
        <f t="shared" si="8"/>
        <v>76.5</v>
      </c>
      <c r="D56" s="207">
        <f>[1]RB!$AL$4*C56^5+[1]RB!$AM$4*C56^4+[1]RB!$AN$4*C56^3+[1]RB!$AO$4*C56^2+[1]RB!$AP$4*C56+[1]RB!$AQ$4</f>
        <v>58.299079607681733</v>
      </c>
    </row>
  </sheetData>
  <mergeCells count="14">
    <mergeCell ref="B4:B5"/>
    <mergeCell ref="E2:F2"/>
    <mergeCell ref="C13:E13"/>
    <mergeCell ref="L2:M2"/>
    <mergeCell ref="O2:Q2"/>
    <mergeCell ref="E15:F15"/>
    <mergeCell ref="AB3:AC3"/>
    <mergeCell ref="AD3:AE3"/>
    <mergeCell ref="S2:AE2"/>
    <mergeCell ref="S3:S4"/>
    <mergeCell ref="T3:U3"/>
    <mergeCell ref="V3:W3"/>
    <mergeCell ref="X3:Y3"/>
    <mergeCell ref="Z3:AA3"/>
  </mergeCells>
  <conditionalFormatting sqref="H5:J18">
    <cfRule type="expression" dxfId="9" priority="1">
      <formula>ROW()-4&gt;$I$2</formula>
    </cfRule>
  </conditionalFormatting>
  <dataValidations count="5">
    <dataValidation type="list" allowBlank="1" showInputMessage="1" showErrorMessage="1" sqref="C2" xr:uid="{48605E05-A78A-45A1-A35F-B4EF90A5AC25}">
      <formula1>$B$6</formula1>
    </dataValidation>
    <dataValidation type="whole" allowBlank="1" showInputMessage="1" showErrorMessage="1" sqref="F13" xr:uid="{83BBED66-64E4-4F85-AD90-A8348CA97E3B}">
      <formula1>1</formula1>
      <formula2>$I$2</formula2>
    </dataValidation>
    <dataValidation type="whole" allowBlank="1" showInputMessage="1" showErrorMessage="1" sqref="I2" xr:uid="{C0247A8A-8BE0-4C64-8096-CAD1AB31985B}">
      <formula1>1</formula1>
      <formula2>14</formula2>
    </dataValidation>
    <dataValidation type="decimal" operator="greaterThanOrEqual" allowBlank="1" showInputMessage="1" showErrorMessage="1" sqref="M3:M11" xr:uid="{57E3DE40-3984-4BE1-9B39-8CF8A081C1CA}">
      <formula1>-100</formula1>
    </dataValidation>
    <dataValidation type="whole" allowBlank="1" showInputMessage="1" showErrorMessage="1" sqref="F4:F11 F17:F22" xr:uid="{0302E974-8F02-4E12-B8AF-3D69BFD6AF7F}">
      <formula1>0</formula1>
      <formula2>18</formula2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F860EE-9FB7-4F13-82A6-8FE075564868}">
  <sheetPr codeName="Sheet8"/>
  <dimension ref="B1:AD332"/>
  <sheetViews>
    <sheetView tabSelected="1" zoomScale="80" zoomScaleNormal="80" workbookViewId="0">
      <selection activeCell="R12" sqref="R12"/>
    </sheetView>
  </sheetViews>
  <sheetFormatPr defaultRowHeight="14.5" x14ac:dyDescent="0.35"/>
  <cols>
    <col min="1" max="1" width="1.36328125" style="1" bestFit="1" customWidth="1" collapsed="1"/>
    <col min="2" max="2" width="3.26953125" style="1" bestFit="1" customWidth="1" collapsed="1"/>
    <col min="3" max="3" width="20.90625" style="1" bestFit="1" customWidth="1" collapsed="1"/>
    <col min="4" max="4" width="4.36328125" style="1" customWidth="1" collapsed="1"/>
    <col min="5" max="5" width="5.6328125" style="1" bestFit="1" customWidth="1" collapsed="1"/>
    <col min="6" max="6" width="1.453125" style="1" bestFit="1" customWidth="1" collapsed="1"/>
    <col min="7" max="7" width="3" style="1" bestFit="1" customWidth="1" collapsed="1"/>
    <col min="8" max="8" width="22.81640625" style="1" bestFit="1" customWidth="1" collapsed="1"/>
    <col min="9" max="9" width="4.36328125" style="1" customWidth="1" collapsed="1"/>
    <col min="10" max="10" width="5.6328125" style="1" bestFit="1" customWidth="1" collapsed="1"/>
    <col min="11" max="11" width="1.453125" style="1" bestFit="1" customWidth="1" collapsed="1"/>
    <col min="12" max="12" width="3.7265625" style="1" bestFit="1" customWidth="1" collapsed="1"/>
    <col min="13" max="13" width="20.36328125" style="1" bestFit="1" customWidth="1" collapsed="1"/>
    <col min="14" max="14" width="4.36328125" style="1" customWidth="1" collapsed="1"/>
    <col min="15" max="15" width="5.6328125" style="1" bestFit="1" customWidth="1" collapsed="1"/>
    <col min="16" max="16" width="1.453125" style="1" bestFit="1" customWidth="1" collapsed="1"/>
    <col min="17" max="17" width="2.81640625" style="1" bestFit="1" customWidth="1" collapsed="1"/>
    <col min="18" max="18" width="18.453125" style="1" bestFit="1" customWidth="1" collapsed="1"/>
    <col min="19" max="19" width="4.36328125" style="1" bestFit="1" customWidth="1" collapsed="1"/>
    <col min="20" max="20" width="5.6328125" style="1" bestFit="1" customWidth="1" collapsed="1"/>
    <col min="21" max="21" width="1.453125" style="1" bestFit="1" customWidth="1" collapsed="1"/>
    <col min="22" max="22" width="4" style="1" bestFit="1" customWidth="1" collapsed="1"/>
    <col min="23" max="23" width="16.36328125" style="1" bestFit="1" customWidth="1" collapsed="1"/>
    <col min="24" max="24" width="4.36328125" style="1" bestFit="1" customWidth="1" collapsed="1"/>
    <col min="25" max="25" width="5.6328125" style="1" bestFit="1" customWidth="1" collapsed="1"/>
    <col min="26" max="26" width="1.453125" style="1" bestFit="1" customWidth="1" collapsed="1"/>
    <col min="27" max="27" width="2.81640625" style="1" bestFit="1" customWidth="1" collapsed="1"/>
    <col min="28" max="28" width="20.90625" style="1" bestFit="1" customWidth="1" collapsed="1"/>
    <col min="29" max="29" width="4.36328125" style="1" bestFit="1" customWidth="1" collapsed="1"/>
    <col min="30" max="30" width="5.6328125" style="1" bestFit="1" customWidth="1" collapsed="1"/>
    <col min="31" max="31" width="4.36328125" style="1" bestFit="1" customWidth="1" collapsed="1"/>
    <col min="32" max="33" width="2.81640625" style="1" bestFit="1" customWidth="1" collapsed="1"/>
    <col min="34" max="34" width="20.453125" style="1" bestFit="1" customWidth="1" collapsed="1"/>
    <col min="35" max="35" width="4.08984375" style="1" bestFit="1" customWidth="1" collapsed="1"/>
    <col min="36" max="36" width="4.36328125" style="1" bestFit="1" customWidth="1" collapsed="1"/>
    <col min="37" max="37" width="8.7265625" style="1" collapsed="1"/>
    <col min="38" max="38" width="8.7265625" style="1" customWidth="1" collapsed="1"/>
    <col min="39" max="39" width="8.7265625" style="1" collapsed="1"/>
    <col min="40" max="40" width="8.7265625" style="1" customWidth="1" collapsed="1"/>
    <col min="41" max="16384" width="8.7265625" style="1" collapsed="1"/>
  </cols>
  <sheetData>
    <row r="1" spans="2:30" ht="15" thickBot="1" x14ac:dyDescent="0.4"/>
    <row r="2" spans="2:30" ht="15" thickBot="1" x14ac:dyDescent="0.4">
      <c r="B2" s="197" t="s">
        <v>829</v>
      </c>
      <c r="C2" s="198"/>
      <c r="D2" s="79">
        <f ca="1">INDEX('League Settings'!B25:B30,'League Settings'!F17+1)/SUM(OFFSET('League Settings'!$B$25,0,0,'League Settings'!F4*2))</f>
        <v>1.111111111111111E-2</v>
      </c>
      <c r="E2" s="76" t="s">
        <v>1016</v>
      </c>
      <c r="I2" s="75">
        <f>INDEX('League Settings'!H36:H41,'League Settings'!F18+1)</f>
        <v>0.1</v>
      </c>
      <c r="J2" s="76" t="s">
        <v>1016</v>
      </c>
      <c r="N2" s="77">
        <f>INDEX('League Settings'!H36:H41,'League Settings'!F19+1)</f>
        <v>0</v>
      </c>
      <c r="O2" s="76" t="s">
        <v>1016</v>
      </c>
      <c r="S2" s="75">
        <f ca="1">INDEX('League Settings'!E25:E30,'League Settings'!F20+1)/SUM(OFFSET('League Settings'!$E$25,0,0,'League Settings'!F7*2))</f>
        <v>1.111111111111111E-2</v>
      </c>
      <c r="T2" s="78" t="s">
        <v>1016</v>
      </c>
      <c r="X2" s="75">
        <f ca="1">INDEX('League Settings'!E25:E30,'League Settings'!F21+1)/SUM(OFFSET('League Settings'!$E$25,0,0,'League Settings'!F8*2))</f>
        <v>9.9999999999999992E-2</v>
      </c>
      <c r="Y2" s="78" t="s">
        <v>1016</v>
      </c>
      <c r="AC2" s="75">
        <f ca="1">INDEX('League Settings'!E25:E30,'League Settings'!F22+1)/SUM(OFFSET('League Settings'!$E$25,0,0,'League Settings'!F9*2))</f>
        <v>9.9999999999999992E-2</v>
      </c>
      <c r="AD2" s="78" t="s">
        <v>1016</v>
      </c>
    </row>
    <row r="3" spans="2:30" ht="14.5" customHeight="1" x14ac:dyDescent="0.35">
      <c r="B3" s="14" t="s">
        <v>3</v>
      </c>
      <c r="C3" s="19" t="s">
        <v>814</v>
      </c>
      <c r="D3" s="19" t="s">
        <v>1221</v>
      </c>
      <c r="E3" s="15" t="s">
        <v>813</v>
      </c>
      <c r="G3" s="14" t="s">
        <v>4</v>
      </c>
      <c r="H3" s="19" t="s">
        <v>814</v>
      </c>
      <c r="I3" s="19" t="s">
        <v>1221</v>
      </c>
      <c r="J3" s="15" t="s">
        <v>813</v>
      </c>
      <c r="L3" s="14" t="s">
        <v>5</v>
      </c>
      <c r="M3" s="19" t="s">
        <v>814</v>
      </c>
      <c r="N3" s="19" t="s">
        <v>1221</v>
      </c>
      <c r="O3" s="15" t="s">
        <v>813</v>
      </c>
      <c r="Q3" s="14" t="s">
        <v>7</v>
      </c>
      <c r="R3" s="19" t="s">
        <v>814</v>
      </c>
      <c r="S3" s="19" t="s">
        <v>1221</v>
      </c>
      <c r="T3" s="74" t="s">
        <v>813</v>
      </c>
      <c r="V3" s="14" t="s">
        <v>8</v>
      </c>
      <c r="W3" s="19" t="s">
        <v>814</v>
      </c>
      <c r="X3" s="19" t="s">
        <v>1221</v>
      </c>
      <c r="Y3" s="15" t="s">
        <v>813</v>
      </c>
      <c r="AA3" s="14" t="s">
        <v>9</v>
      </c>
      <c r="AB3" s="19" t="s">
        <v>814</v>
      </c>
      <c r="AC3" s="19" t="s">
        <v>1221</v>
      </c>
      <c r="AD3" s="15" t="s">
        <v>813</v>
      </c>
    </row>
    <row r="4" spans="2:30" x14ac:dyDescent="0.35">
      <c r="B4" s="12">
        <v>1</v>
      </c>
      <c r="C4" s="34" t="str">
        <f>IF(ISBLANK('Personal Rankings'!C3),"",'Personal Rankings'!C3)</f>
        <v>Patrick Mahomes KC</v>
      </c>
      <c r="D4" s="62">
        <f ca="1">IF(ISBLANK('Personal Rankings'!C3),"",([1]QB!$AL$4*B4^5+[1]QB!$AM$4*B4^4+[1]QB!$AN$4*B4^3+[1]QB!$AO$4*B4^2+[1]QB!$AP$4*B4+[1]QB!$AQ$4-'League Settings'!$Q$4)*D$2)</f>
        <v>1.4214629046292693</v>
      </c>
      <c r="E4" s="35">
        <f>IF(ISBLANK('Personal Rankings'!C3),"",'Personal Rankings'!D3)</f>
        <v>35</v>
      </c>
      <c r="G4" s="12">
        <v>1</v>
      </c>
      <c r="H4" s="34" t="str">
        <f>IF(ISBLANK('Personal Rankings'!H3),"",'Personal Rankings'!H3)</f>
        <v>Christian McCaffrey CAR</v>
      </c>
      <c r="I4" s="62">
        <f>IF(ISBLANK('Personal Rankings'!H3),"",([1]RB!$AL$4*G4^5+[1]RB!$AM$4*G4^4+[1]RB!$AN$4*G4^3+[1]RB!$AO$4*G4^2+[1]RB!$AP$4*G4+[1]RB!$AQ$4-'League Settings'!$Q$5)*I$2)</f>
        <v>24.963927001025368</v>
      </c>
      <c r="J4" s="35">
        <f>IF(ISBLANK('Personal Rankings'!H3),"",'Personal Rankings'!I3)</f>
        <v>1</v>
      </c>
      <c r="L4" s="12">
        <v>1</v>
      </c>
      <c r="M4" s="34" t="str">
        <f>IF(ISBLANK('Personal Rankings'!M3),"",'Personal Rankings'!M3)</f>
        <v>Michael Thomas NO</v>
      </c>
      <c r="N4" s="62">
        <f>IF(ISBLANK('Personal Rankings'!M3),"",([1]WR!$AL$4*L4^5+[1]WR!$AM$4*L4^4+[1]WR!$AN$4*L4^3+[1]WR!$AO$4*L4^2+[1]WR!$AP$4*L4+[1]WR!$AQ$4-'League Settings'!$Q$6)*N$2)</f>
        <v>0</v>
      </c>
      <c r="O4" s="35">
        <f>IF(ISBLANK('Personal Rankings'!M3),"",'Personal Rankings'!N3)</f>
        <v>6</v>
      </c>
      <c r="Q4" s="12">
        <v>1</v>
      </c>
      <c r="R4" s="34" t="str">
        <f>IF(ISBLANK('Personal Rankings'!R3),"",'Personal Rankings'!R3)</f>
        <v>Travis Kelce KC</v>
      </c>
      <c r="S4" s="62">
        <f ca="1">IF(ISBLANK('Personal Rankings'!R3),"",([1]TE!$AL$4*Q4^5+[1]TE!$AM$4*Q4^4+[1]TE!$AN$4*Q4^3+[1]TE!$AO$4*Q4^2+[1]TE!$AP$4*Q4+[1]TE!$AQ$4-'League Settings'!$Q$7)*S$2)</f>
        <v>1.5583157233685472</v>
      </c>
      <c r="T4" s="35">
        <f>IF(ISBLANK('Personal Rankings'!R3),"",'Personal Rankings'!S3)</f>
        <v>20</v>
      </c>
      <c r="V4" s="12">
        <v>1</v>
      </c>
      <c r="W4" s="34" t="str">
        <f>IF(ISBLANK('Personal Rankings'!W3),"",'Personal Rankings'!W3)</f>
        <v xml:space="preserve">49ers D/ST </v>
      </c>
      <c r="X4" s="62">
        <f ca="1">IF(ISBLANK('Personal Rankings'!W3),"",([1]DST!$R$4*V4^5+[1]DST!$S$4*V4^4+[1]DST!$T$4*V4^3+[1]DST!$U$4*V4^2+[1]DST!$V$4*V4+[1]DST!$W$4-'League Settings'!$Q$8)*X$2)</f>
        <v>4.5318338208560514</v>
      </c>
      <c r="Y4" s="35">
        <f>IF(ISBLANK('Personal Rankings'!W3),"",'Personal Rankings'!X3)</f>
        <v>172</v>
      </c>
      <c r="AA4" s="12">
        <v>1</v>
      </c>
      <c r="AB4" s="34" t="str">
        <f>IF(ISBLANK('Personal Rankings'!AB3),"",'Personal Rankings'!AB3)</f>
        <v>Harrison Butker KC</v>
      </c>
      <c r="AC4" s="62">
        <f ca="1">IF(ISBLANK('Personal Rankings'!AB3),"",([1]K!$AG$4*AA4^5+[1]K!$AH$4*AA4^4+[1]K!$AI$4*AA4^3+[1]K!$AJ$4*AA4^2+[1]K!$AK$4*AA4+[1]K!$AL$4-'League Settings'!$Q$9)*AC$2)</f>
        <v>4.6455364139636401</v>
      </c>
      <c r="AD4" s="35">
        <f>IF(ISBLANK('Personal Rankings'!AB3),"",'Personal Rankings'!AC3)</f>
        <v>183</v>
      </c>
    </row>
    <row r="5" spans="2:30" x14ac:dyDescent="0.35">
      <c r="B5" s="12">
        <f>B4+1</f>
        <v>2</v>
      </c>
      <c r="C5" s="34" t="str">
        <f>IF(ISBLANK('Personal Rankings'!C4),"",'Personal Rankings'!C4)</f>
        <v>Lamar Jackson BAL</v>
      </c>
      <c r="D5" s="62">
        <f ca="1">IF(ISBLANK('Personal Rankings'!C4),"",([1]QB!$AL$4*B5^5+[1]QB!$AM$4*B5^4+[1]QB!$AN$4*B5^3+[1]QB!$AO$4*B5^2+[1]QB!$AP$4*B5+[1]QB!$AQ$4-'League Settings'!$Q$4)*D$2)</f>
        <v>1.1186615127188517</v>
      </c>
      <c r="E5" s="35">
        <f>IF(ISBLANK('Personal Rankings'!C4),"",'Personal Rankings'!D4)</f>
        <v>34</v>
      </c>
      <c r="G5" s="12">
        <f>G4+1</f>
        <v>2</v>
      </c>
      <c r="H5" s="34" t="str">
        <f>IF(ISBLANK('Personal Rankings'!H4),"",'Personal Rankings'!H4)</f>
        <v>Saquon Barkley NYG</v>
      </c>
      <c r="I5" s="62">
        <f>IF(ISBLANK('Personal Rankings'!H4),"",([1]RB!$AL$4*G5^5+[1]RB!$AM$4*G5^4+[1]RB!$AN$4*G5^3+[1]RB!$AO$4*G5^2+[1]RB!$AP$4*G5+[1]RB!$AQ$4-'League Settings'!$Q$5)*I$2)</f>
        <v>23.023344874032002</v>
      </c>
      <c r="J5" s="35">
        <f>IF(ISBLANK('Personal Rankings'!H4),"",'Personal Rankings'!I4)</f>
        <v>2</v>
      </c>
      <c r="L5" s="12">
        <f>L4+1</f>
        <v>2</v>
      </c>
      <c r="M5" s="34" t="str">
        <f>IF(ISBLANK('Personal Rankings'!M4),"",'Personal Rankings'!M4)</f>
        <v>Tyreek Hill KC</v>
      </c>
      <c r="N5" s="62">
        <f>IF(ISBLANK('Personal Rankings'!M4),"",([1]WR!$AL$4*L5^5+[1]WR!$AM$4*L5^4+[1]WR!$AN$4*L5^3+[1]WR!$AO$4*L5^2+[1]WR!$AP$4*L5+[1]WR!$AQ$4-'League Settings'!$Q$6)*N$2)</f>
        <v>0</v>
      </c>
      <c r="O5" s="35">
        <f>IF(ISBLANK('Personal Rankings'!M4),"",'Personal Rankings'!N4)</f>
        <v>17</v>
      </c>
      <c r="Q5" s="12">
        <f>Q4+1</f>
        <v>2</v>
      </c>
      <c r="R5" s="34" t="str">
        <f>IF(ISBLANK('Personal Rankings'!R4),"",'Personal Rankings'!R4)</f>
        <v>George Kittle SF</v>
      </c>
      <c r="S5" s="62">
        <f ca="1">IF(ISBLANK('Personal Rankings'!R4),"",([1]TE!$AL$4*Q5^5+[1]TE!$AM$4*Q5^4+[1]TE!$AN$4*Q5^3+[1]TE!$AO$4*Q5^2+[1]TE!$AP$4*Q5+[1]TE!$AQ$4-'League Settings'!$Q$7)*S$2)</f>
        <v>1.3875014324470949</v>
      </c>
      <c r="T5" s="35">
        <f>IF(ISBLANK('Personal Rankings'!R4),"",'Personal Rankings'!S4)</f>
        <v>23</v>
      </c>
      <c r="V5" s="12">
        <f>V4+1</f>
        <v>2</v>
      </c>
      <c r="W5" s="34" t="str">
        <f>IF(ISBLANK('Personal Rankings'!W4),"",'Personal Rankings'!W4)</f>
        <v xml:space="preserve">Steelers D/ST </v>
      </c>
      <c r="X5" s="62">
        <f ca="1">IF(ISBLANK('Personal Rankings'!W4),"",([1]DST!$R$4*V5^5+[1]DST!$S$4*V5^4+[1]DST!$T$4*V5^3+[1]DST!$U$4*V5^2+[1]DST!$V$4*V5+[1]DST!$W$4-'League Settings'!$Q$8)*X$2)</f>
        <v>3.5346317363536044</v>
      </c>
      <c r="Y5" s="35">
        <f>IF(ISBLANK('Personal Rankings'!W4),"",'Personal Rankings'!X4)</f>
        <v>170</v>
      </c>
      <c r="AA5" s="12">
        <f>AA4+1</f>
        <v>2</v>
      </c>
      <c r="AB5" s="34" t="str">
        <f>IF(ISBLANK('Personal Rankings'!AB4),"",'Personal Rankings'!AB4)</f>
        <v>Justin Tucker BAL</v>
      </c>
      <c r="AC5" s="62">
        <f ca="1">IF(ISBLANK('Personal Rankings'!AB4),"",([1]K!$AG$4*AA5^5+[1]K!$AH$4*AA5^4+[1]K!$AI$4*AA5^3+[1]K!$AJ$4*AA5^2+[1]K!$AK$4*AA5+[1]K!$AL$4-'League Settings'!$Q$9)*AC$2)</f>
        <v>3.3122652819226968</v>
      </c>
      <c r="AD5" s="35">
        <f>IF(ISBLANK('Personal Rankings'!AB4),"",'Personal Rankings'!AC4)</f>
        <v>182</v>
      </c>
    </row>
    <row r="6" spans="2:30" x14ac:dyDescent="0.35">
      <c r="B6" s="12">
        <f t="shared" ref="B6:B33" si="0">B5+1</f>
        <v>3</v>
      </c>
      <c r="C6" s="34" t="str">
        <f>IF(ISBLANK('Personal Rankings'!C5),"",'Personal Rankings'!C5)</f>
        <v>Dak Prescott DAL</v>
      </c>
      <c r="D6" s="62">
        <f ca="1">IF(ISBLANK('Personal Rankings'!C5),"",([1]QB!$AL$4*B6^5+[1]QB!$AM$4*B6^4+[1]QB!$AN$4*B6^3+[1]QB!$AO$4*B6^2+[1]QB!$AP$4*B6+[1]QB!$AQ$4-'League Settings'!$Q$4)*D$2)</f>
        <v>0.89098545997141942</v>
      </c>
      <c r="E6" s="35">
        <f>IF(ISBLANK('Personal Rankings'!C5),"",'Personal Rankings'!D5)</f>
        <v>75</v>
      </c>
      <c r="G6" s="12">
        <f t="shared" ref="G6:G69" si="1">G5+1</f>
        <v>3</v>
      </c>
      <c r="H6" s="34" t="str">
        <f>IF(ISBLANK('Personal Rankings'!H5),"",'Personal Rankings'!H5)</f>
        <v>Ezekiel Elliott DAL</v>
      </c>
      <c r="I6" s="62">
        <f>IF(ISBLANK('Personal Rankings'!H5),"",([1]RB!$AL$4*G6^5+[1]RB!$AM$4*G6^4+[1]RB!$AN$4*G6^3+[1]RB!$AO$4*G6^2+[1]RB!$AP$4*G6+[1]RB!$AQ$4-'League Settings'!$Q$5)*I$2)</f>
        <v>21.23397310055293</v>
      </c>
      <c r="J6" s="35">
        <f>IF(ISBLANK('Personal Rankings'!H5),"",'Personal Rankings'!I5)</f>
        <v>3</v>
      </c>
      <c r="L6" s="12">
        <f t="shared" ref="L6:L69" si="2">L5+1</f>
        <v>3</v>
      </c>
      <c r="M6" s="34" t="str">
        <f>IF(ISBLANK('Personal Rankings'!M5),"",'Personal Rankings'!M5)</f>
        <v>Davante Adams GB</v>
      </c>
      <c r="N6" s="62">
        <f>IF(ISBLANK('Personal Rankings'!M5),"",([1]WR!$AL$4*L6^5+[1]WR!$AM$4*L6^4+[1]WR!$AN$4*L6^3+[1]WR!$AO$4*L6^2+[1]WR!$AP$4*L6+[1]WR!$AQ$4-'League Settings'!$Q$6)*N$2)</f>
        <v>0</v>
      </c>
      <c r="O6" s="35">
        <f>IF(ISBLANK('Personal Rankings'!M5),"",'Personal Rankings'!N5)</f>
        <v>16</v>
      </c>
      <c r="Q6" s="12">
        <f t="shared" ref="Q6:Q33" si="3">Q5+1</f>
        <v>3</v>
      </c>
      <c r="R6" s="34" t="str">
        <f>IF(ISBLANK('Personal Rankings'!R5),"",'Personal Rankings'!R5)</f>
        <v>Mark Andrews BAL</v>
      </c>
      <c r="S6" s="62">
        <f ca="1">IF(ISBLANK('Personal Rankings'!R5),"",([1]TE!$AL$4*Q6^5+[1]TE!$AM$4*Q6^4+[1]TE!$AN$4*Q6^3+[1]TE!$AO$4*Q6^2+[1]TE!$AP$4*Q6+[1]TE!$AQ$4-'League Settings'!$Q$7)*S$2)</f>
        <v>1.2309372603965714</v>
      </c>
      <c r="T6" s="35">
        <f>IF(ISBLANK('Personal Rankings'!R5),"",'Personal Rankings'!S5)</f>
        <v>41</v>
      </c>
      <c r="V6" s="12">
        <f t="shared" ref="V6:V23" si="4">V5+1</f>
        <v>3</v>
      </c>
      <c r="W6" s="34" t="str">
        <f>IF(ISBLANK('Personal Rankings'!W5),"",'Personal Rankings'!W5)</f>
        <v xml:space="preserve">Ravens D/ST </v>
      </c>
      <c r="X6" s="62">
        <f ca="1">IF(ISBLANK('Personal Rankings'!W5),"",([1]DST!$R$4*V6^5+[1]DST!$S$4*V6^4+[1]DST!$T$4*V6^3+[1]DST!$U$4*V6^2+[1]DST!$V$4*V6+[1]DST!$W$4-'League Settings'!$Q$8)*X$2)</f>
        <v>2.7215239421735884</v>
      </c>
      <c r="Y6" s="35">
        <f>IF(ISBLANK('Personal Rankings'!W5),"",'Personal Rankings'!X5)</f>
        <v>173</v>
      </c>
      <c r="AA6" s="12">
        <f t="shared" ref="AA6:AA23" si="5">AA5+1</f>
        <v>3</v>
      </c>
      <c r="AB6" s="34" t="str">
        <f>IF(ISBLANK('Personal Rankings'!AB5),"",'Personal Rankings'!AB5)</f>
        <v>Greg Zuerlein DAL</v>
      </c>
      <c r="AC6" s="62">
        <f ca="1">IF(ISBLANK('Personal Rankings'!AB5),"",([1]K!$AG$4*AA6^5+[1]K!$AH$4*AA6^4+[1]K!$AI$4*AA6^3+[1]K!$AJ$4*AA6^2+[1]K!$AK$4*AA6+[1]K!$AL$4-'League Settings'!$Q$9)*AC$2)</f>
        <v>2.3199990666380983</v>
      </c>
      <c r="AD6" s="35">
        <f>IF(ISBLANK('Personal Rankings'!AB5),"",'Personal Rankings'!AC5)</f>
        <v>187</v>
      </c>
    </row>
    <row r="7" spans="2:30" x14ac:dyDescent="0.35">
      <c r="B7" s="12">
        <f t="shared" si="0"/>
        <v>4</v>
      </c>
      <c r="C7" s="34" t="str">
        <f>IF(ISBLANK('Personal Rankings'!C6),"",'Personal Rankings'!C6)</f>
        <v>Russell Wilson SEA</v>
      </c>
      <c r="D7" s="62">
        <f ca="1">IF(ISBLANK('Personal Rankings'!C6),"",([1]QB!$AL$4*B7^5+[1]QB!$AM$4*B7^4+[1]QB!$AN$4*B7^3+[1]QB!$AO$4*B7^2+[1]QB!$AP$4*B7+[1]QB!$AQ$4-'League Settings'!$Q$4)*D$2)</f>
        <v>0.72220814346952111</v>
      </c>
      <c r="E7" s="35">
        <f>IF(ISBLANK('Personal Rankings'!C6),"",'Personal Rankings'!D6)</f>
        <v>76</v>
      </c>
      <c r="G7" s="12">
        <f t="shared" si="1"/>
        <v>4</v>
      </c>
      <c r="H7" s="34" t="str">
        <f>IF(ISBLANK('Personal Rankings'!H6),"",'Personal Rankings'!H6)</f>
        <v>Alvin Kamara NO</v>
      </c>
      <c r="I7" s="62">
        <f>IF(ISBLANK('Personal Rankings'!H6),"",([1]RB!$AL$4*G7^5+[1]RB!$AM$4*G7^4+[1]RB!$AN$4*G7^3+[1]RB!$AO$4*G7^2+[1]RB!$AP$4*G7+[1]RB!$AQ$4-'League Settings'!$Q$5)*I$2)</f>
        <v>19.585841391420043</v>
      </c>
      <c r="J7" s="35">
        <f>IF(ISBLANK('Personal Rankings'!H6),"",'Personal Rankings'!I6)</f>
        <v>5</v>
      </c>
      <c r="L7" s="12">
        <f t="shared" si="2"/>
        <v>4</v>
      </c>
      <c r="M7" s="34" t="str">
        <f>IF(ISBLANK('Personal Rankings'!M6),"",'Personal Rankings'!M6)</f>
        <v>Julio Jones ATL</v>
      </c>
      <c r="N7" s="62">
        <f>IF(ISBLANK('Personal Rankings'!M6),"",([1]WR!$AL$4*L7^5+[1]WR!$AM$4*L7^4+[1]WR!$AN$4*L7^3+[1]WR!$AO$4*L7^2+[1]WR!$AP$4*L7+[1]WR!$AQ$4-'League Settings'!$Q$6)*N$2)</f>
        <v>0</v>
      </c>
      <c r="O7" s="35">
        <f>IF(ISBLANK('Personal Rankings'!M6),"",'Personal Rankings'!N6)</f>
        <v>18</v>
      </c>
      <c r="Q7" s="12">
        <f t="shared" si="3"/>
        <v>4</v>
      </c>
      <c r="R7" s="34" t="str">
        <f>IF(ISBLANK('Personal Rankings'!R6),"",'Personal Rankings'!R6)</f>
        <v>Zach Ertz PHI</v>
      </c>
      <c r="S7" s="62">
        <f ca="1">IF(ISBLANK('Personal Rankings'!R6),"",([1]TE!$AL$4*Q7^5+[1]TE!$AM$4*Q7^4+[1]TE!$AN$4*Q7^3+[1]TE!$AO$4*Q7^2+[1]TE!$AP$4*Q7+[1]TE!$AQ$4-'League Settings'!$Q$7)*S$2)</f>
        <v>1.087430235432715</v>
      </c>
      <c r="T7" s="35">
        <f>IF(ISBLANK('Personal Rankings'!R6),"",'Personal Rankings'!S6)</f>
        <v>42</v>
      </c>
      <c r="V7" s="12">
        <f t="shared" si="4"/>
        <v>4</v>
      </c>
      <c r="W7" s="34" t="str">
        <f>IF(ISBLANK('Personal Rankings'!W6),"",'Personal Rankings'!W6)</f>
        <v xml:space="preserve">Bills D/ST </v>
      </c>
      <c r="X7" s="62">
        <f ca="1">IF(ISBLANK('Personal Rankings'!W6),"",([1]DST!$R$4*V7^5+[1]DST!$S$4*V7^4+[1]DST!$T$4*V7^3+[1]DST!$U$4*V7^2+[1]DST!$V$4*V7+[1]DST!$W$4-'League Settings'!$Q$8)*X$2)</f>
        <v>2.0557353048252889</v>
      </c>
      <c r="Y7" s="35">
        <f>IF(ISBLANK('Personal Rankings'!W6),"",'Personal Rankings'!X6)</f>
        <v>171</v>
      </c>
      <c r="AA7" s="12">
        <f t="shared" si="5"/>
        <v>4</v>
      </c>
      <c r="AB7" s="34" t="str">
        <f>IF(ISBLANK('Personal Rankings'!AB6),"",'Personal Rankings'!AB6)</f>
        <v>Wil Lutz NO</v>
      </c>
      <c r="AC7" s="62">
        <f ca="1">IF(ISBLANK('Personal Rankings'!AB6),"",([1]K!$AG$4*AA7^5+[1]K!$AH$4*AA7^4+[1]K!$AI$4*AA7^3+[1]K!$AJ$4*AA7^2+[1]K!$AK$4*AA7+[1]K!$AL$4-'League Settings'!$Q$9)*AC$2)</f>
        <v>1.5928405435981288</v>
      </c>
      <c r="AD7" s="35">
        <f>IF(ISBLANK('Personal Rankings'!AB6),"",'Personal Rankings'!AC6)</f>
        <v>184</v>
      </c>
    </row>
    <row r="8" spans="2:30" x14ac:dyDescent="0.35">
      <c r="B8" s="12">
        <f t="shared" si="0"/>
        <v>5</v>
      </c>
      <c r="C8" s="34" t="str">
        <f>IF(ISBLANK('Personal Rankings'!C7),"",'Personal Rankings'!C7)</f>
        <v>Kyler Murray ARI</v>
      </c>
      <c r="D8" s="62">
        <f ca="1">IF(ISBLANK('Personal Rankings'!C7),"",([1]QB!$AL$4*B8^5+[1]QB!$AM$4*B8^4+[1]QB!$AN$4*B8^3+[1]QB!$AO$4*B8^2+[1]QB!$AP$4*B8+[1]QB!$AQ$4-'League Settings'!$Q$4)*D$2)</f>
        <v>0.59842675111355614</v>
      </c>
      <c r="E8" s="35">
        <f>IF(ISBLANK('Personal Rankings'!C7),"",'Personal Rankings'!D7)</f>
        <v>74</v>
      </c>
      <c r="G8" s="12">
        <f t="shared" si="1"/>
        <v>5</v>
      </c>
      <c r="H8" s="34" t="str">
        <f>IF(ISBLANK('Personal Rankings'!H7),"",'Personal Rankings'!H7)</f>
        <v>Dalvin Cook MIN</v>
      </c>
      <c r="I8" s="62">
        <f>IF(ISBLANK('Personal Rankings'!H7),"",([1]RB!$AL$4*G8^5+[1]RB!$AM$4*G8^4+[1]RB!$AN$4*G8^3+[1]RB!$AO$4*G8^2+[1]RB!$AP$4*G8+[1]RB!$AQ$4-'League Settings'!$Q$5)*I$2)</f>
        <v>18.06940709726365</v>
      </c>
      <c r="J8" s="35">
        <f>IF(ISBLANK('Personal Rankings'!H7),"",'Personal Rankings'!I7)</f>
        <v>4</v>
      </c>
      <c r="L8" s="12">
        <f t="shared" si="2"/>
        <v>5</v>
      </c>
      <c r="M8" s="34" t="str">
        <f>IF(ISBLANK('Personal Rankings'!M7),"",'Personal Rankings'!M7)</f>
        <v>Chris Godwin TB</v>
      </c>
      <c r="N8" s="62">
        <f>IF(ISBLANK('Personal Rankings'!M7),"",([1]WR!$AL$4*L8^5+[1]WR!$AM$4*L8^4+[1]WR!$AN$4*L8^3+[1]WR!$AO$4*L8^2+[1]WR!$AP$4*L8+[1]WR!$AQ$4-'League Settings'!$Q$6)*N$2)</f>
        <v>0</v>
      </c>
      <c r="O8" s="35">
        <f>IF(ISBLANK('Personal Rankings'!M7),"",'Personal Rankings'!N7)</f>
        <v>21</v>
      </c>
      <c r="Q8" s="12">
        <f t="shared" si="3"/>
        <v>5</v>
      </c>
      <c r="R8" s="34" t="str">
        <f>IF(ISBLANK('Personal Rankings'!R7),"",'Personal Rankings'!R7)</f>
        <v>Darren Waller LV</v>
      </c>
      <c r="S8" s="62">
        <f ca="1">IF(ISBLANK('Personal Rankings'!R7),"",([1]TE!$AL$4*Q8^5+[1]TE!$AM$4*Q8^4+[1]TE!$AN$4*Q8^3+[1]TE!$AO$4*Q8^2+[1]TE!$AP$4*Q8+[1]TE!$AQ$4-'League Settings'!$Q$7)*S$2)</f>
        <v>0.95587179486673679</v>
      </c>
      <c r="T8" s="35">
        <f>IF(ISBLANK('Personal Rankings'!R7),"",'Personal Rankings'!S7)</f>
        <v>69</v>
      </c>
      <c r="V8" s="12">
        <f t="shared" si="4"/>
        <v>5</v>
      </c>
      <c r="W8" s="34" t="str">
        <f>IF(ISBLANK('Personal Rankings'!W7),"",'Personal Rankings'!W7)</f>
        <v xml:space="preserve">Saints D/ST </v>
      </c>
      <c r="X8" s="62">
        <f ca="1">IF(ISBLANK('Personal Rankings'!W7),"",([1]DST!$R$4*V8^5+[1]DST!$S$4*V8^4+[1]DST!$T$4*V8^3+[1]DST!$U$4*V8^2+[1]DST!$V$4*V8+[1]DST!$W$4-'League Settings'!$Q$8)*X$2)</f>
        <v>1.5058127981795122</v>
      </c>
      <c r="Y8" s="35">
        <f>IF(ISBLANK('Personal Rankings'!W7),"",'Personal Rankings'!X7)</f>
        <v>179</v>
      </c>
      <c r="AA8" s="12">
        <f t="shared" si="5"/>
        <v>5</v>
      </c>
      <c r="AB8" s="34" t="str">
        <f>IF(ISBLANK('Personal Rankings'!AB7),"",'Personal Rankings'!AB7)</f>
        <v>Robbie Gould SF</v>
      </c>
      <c r="AC8" s="62">
        <f ca="1">IF(ISBLANK('Personal Rankings'!AB7),"",([1]K!$AG$4*AA8^5+[1]K!$AH$4*AA8^4+[1]K!$AI$4*AA8^3+[1]K!$AJ$4*AA8^2+[1]K!$AK$4*AA8+[1]K!$AL$4-'League Settings'!$Q$9)*AC$2)</f>
        <v>1.0658425786881138</v>
      </c>
      <c r="AD8" s="35">
        <f>IF(ISBLANK('Personal Rankings'!AB7),"",'Personal Rankings'!AC7)</f>
        <v>188</v>
      </c>
    </row>
    <row r="9" spans="2:30" x14ac:dyDescent="0.35">
      <c r="B9" s="12">
        <f t="shared" si="0"/>
        <v>6</v>
      </c>
      <c r="C9" s="34" t="str">
        <f>IF(ISBLANK('Personal Rankings'!C8),"",'Personal Rankings'!C8)</f>
        <v>Deshaun Watson HOU</v>
      </c>
      <c r="D9" s="62">
        <f ca="1">IF(ISBLANK('Personal Rankings'!C8),"",([1]QB!$AL$4*B9^5+[1]QB!$AM$4*B9^4+[1]QB!$AN$4*B9^3+[1]QB!$AO$4*B9^2+[1]QB!$AP$4*B9+[1]QB!$AQ$4-'League Settings'!$Q$4)*D$2)</f>
        <v>0.5078942023295705</v>
      </c>
      <c r="E9" s="35">
        <f>IF(ISBLANK('Personal Rankings'!C8),"",'Personal Rankings'!D8)</f>
        <v>73</v>
      </c>
      <c r="G9" s="12">
        <f t="shared" si="1"/>
        <v>6</v>
      </c>
      <c r="H9" s="34" t="str">
        <f>IF(ISBLANK('Personal Rankings'!H8),"",'Personal Rankings'!H8)</f>
        <v>Derrick Henry TEN</v>
      </c>
      <c r="I9" s="62">
        <f>IF(ISBLANK('Personal Rankings'!H8),"",([1]RB!$AL$4*G9^5+[1]RB!$AM$4*G9^4+[1]RB!$AN$4*G9^3+[1]RB!$AO$4*G9^2+[1]RB!$AP$4*G9+[1]RB!$AQ$4-'League Settings'!$Q$5)*I$2)</f>
        <v>16.675546302447721</v>
      </c>
      <c r="J9" s="35">
        <f>IF(ISBLANK('Personal Rankings'!H8),"",'Personal Rankings'!I8)</f>
        <v>7</v>
      </c>
      <c r="L9" s="12">
        <f t="shared" si="2"/>
        <v>6</v>
      </c>
      <c r="M9" s="34" t="str">
        <f>IF(ISBLANK('Personal Rankings'!M8),"",'Personal Rankings'!M8)</f>
        <v>DeAndre Hopkins ARI</v>
      </c>
      <c r="N9" s="62">
        <f>IF(ISBLANK('Personal Rankings'!M8),"",([1]WR!$AL$4*L9^5+[1]WR!$AM$4*L9^4+[1]WR!$AN$4*L9^3+[1]WR!$AO$4*L9^2+[1]WR!$AP$4*L9+[1]WR!$AQ$4-'League Settings'!$Q$6)*N$2)</f>
        <v>0</v>
      </c>
      <c r="O9" s="35">
        <f>IF(ISBLANK('Personal Rankings'!M8),"",'Personal Rankings'!N8)</f>
        <v>19</v>
      </c>
      <c r="Q9" s="12">
        <f t="shared" si="3"/>
        <v>6</v>
      </c>
      <c r="R9" s="34" t="str">
        <f>IF(ISBLANK('Personal Rankings'!R8),"",'Personal Rankings'!R8)</f>
        <v>Tyler Higbee LAR</v>
      </c>
      <c r="S9" s="62">
        <f ca="1">IF(ISBLANK('Personal Rankings'!R8),"",([1]TE!$AL$4*Q9^5+[1]TE!$AM$4*Q9^4+[1]TE!$AN$4*Q9^3+[1]TE!$AO$4*Q9^2+[1]TE!$AP$4*Q9+[1]TE!$AQ$4-'League Settings'!$Q$7)*S$2)</f>
        <v>0.83523300907791265</v>
      </c>
      <c r="T9" s="35">
        <f>IF(ISBLANK('Personal Rankings'!R8),"",'Personal Rankings'!S8)</f>
        <v>83</v>
      </c>
      <c r="V9" s="12">
        <f t="shared" si="4"/>
        <v>6</v>
      </c>
      <c r="W9" s="34" t="str">
        <f>IF(ISBLANK('Personal Rankings'!W8),"",'Personal Rankings'!W8)</f>
        <v xml:space="preserve">Bears D/ST </v>
      </c>
      <c r="X9" s="62">
        <f ca="1">IF(ISBLANK('Personal Rankings'!W8),"",([1]DST!$R$4*V9^5+[1]DST!$S$4*V9^4+[1]DST!$T$4*V9^3+[1]DST!$U$4*V9^2+[1]DST!$V$4*V9+[1]DST!$W$4-'League Settings'!$Q$8)*X$2)</f>
        <v>1.0452326942955252</v>
      </c>
      <c r="Y9" s="35">
        <f>IF(ISBLANK('Personal Rankings'!W8),"",'Personal Rankings'!X8)</f>
        <v>176</v>
      </c>
      <c r="AA9" s="12">
        <f t="shared" si="5"/>
        <v>6</v>
      </c>
      <c r="AB9" s="34" t="str">
        <f>IF(ISBLANK('Personal Rankings'!AB8),"",'Personal Rankings'!AB8)</f>
        <v>Matt Prater DET</v>
      </c>
      <c r="AC9" s="62">
        <f ca="1">IF(ISBLANK('Personal Rankings'!AB8),"",([1]K!$AG$4*AA9^5+[1]K!$AH$4*AA9^4+[1]K!$AI$4*AA9^3+[1]K!$AJ$4*AA9^2+[1]K!$AK$4*AA9+[1]K!$AL$4-'League Settings'!$Q$9)*AC$2)</f>
        <v>0.68422657851274371</v>
      </c>
      <c r="AD9" s="35">
        <f>IF(ISBLANK('Personal Rankings'!AB8),"",'Personal Rankings'!AC8)</f>
        <v>185</v>
      </c>
    </row>
    <row r="10" spans="2:30" x14ac:dyDescent="0.35">
      <c r="B10" s="12">
        <f t="shared" si="0"/>
        <v>7</v>
      </c>
      <c r="C10" s="34" t="str">
        <f>IF(ISBLANK('Personal Rankings'!C9),"",'Personal Rankings'!C9)</f>
        <v>Matt Ryan ATL</v>
      </c>
      <c r="D10" s="62">
        <f ca="1">IF(ISBLANK('Personal Rankings'!C9),"",([1]QB!$AL$4*B10^5+[1]QB!$AM$4*B10^4+[1]QB!$AN$4*B10^3+[1]QB!$AO$4*B10^2+[1]QB!$AP$4*B10+[1]QB!$AQ$4-'League Settings'!$Q$4)*D$2)</f>
        <v>0.44085108877705648</v>
      </c>
      <c r="E10" s="35">
        <f>IF(ISBLANK('Personal Rankings'!C9),"",'Personal Rankings'!D9)</f>
        <v>116</v>
      </c>
      <c r="G10" s="12">
        <f t="shared" si="1"/>
        <v>7</v>
      </c>
      <c r="H10" s="34" t="str">
        <f>IF(ISBLANK('Personal Rankings'!H9),"",'Personal Rankings'!H9)</f>
        <v>Clyde Edwards-Helaire KC</v>
      </c>
      <c r="I10" s="62">
        <f>IF(ISBLANK('Personal Rankings'!H9),"",([1]RB!$AL$4*G10^5+[1]RB!$AM$4*G10^4+[1]RB!$AN$4*G10^3+[1]RB!$AO$4*G10^2+[1]RB!$AP$4*G10+[1]RB!$AQ$4-'League Settings'!$Q$5)*I$2)</f>
        <v>15.395544919005102</v>
      </c>
      <c r="J10" s="35">
        <f>IF(ISBLANK('Personal Rankings'!H9),"",'Personal Rankings'!I9)</f>
        <v>8</v>
      </c>
      <c r="L10" s="12">
        <f t="shared" si="2"/>
        <v>7</v>
      </c>
      <c r="M10" s="34" t="str">
        <f>IF(ISBLANK('Personal Rankings'!M9),"",'Personal Rankings'!M9)</f>
        <v>Kenny Golladay DET</v>
      </c>
      <c r="N10" s="62">
        <f>IF(ISBLANK('Personal Rankings'!M9),"",([1]WR!$AL$4*L10^5+[1]WR!$AM$4*L10^4+[1]WR!$AN$4*L10^3+[1]WR!$AO$4*L10^2+[1]WR!$AP$4*L10+[1]WR!$AQ$4-'League Settings'!$Q$6)*N$2)</f>
        <v>0</v>
      </c>
      <c r="O10" s="35">
        <f>IF(ISBLANK('Personal Rankings'!M9),"",'Personal Rankings'!N9)</f>
        <v>24</v>
      </c>
      <c r="Q10" s="12">
        <f t="shared" si="3"/>
        <v>7</v>
      </c>
      <c r="R10" s="34" t="str">
        <f>IF(ISBLANK('Personal Rankings'!R9),"",'Personal Rankings'!R9)</f>
        <v>Hayden Hurst ATL</v>
      </c>
      <c r="S10" s="62">
        <f ca="1">IF(ISBLANK('Personal Rankings'!R9),"",([1]TE!$AL$4*Q10^5+[1]TE!$AM$4*Q10^4+[1]TE!$AN$4*Q10^3+[1]TE!$AO$4*Q10^2+[1]TE!$AP$4*Q10+[1]TE!$AQ$4-'League Settings'!$Q$7)*S$2)</f>
        <v>0.72455980548617815</v>
      </c>
      <c r="T10" s="35">
        <f>IF(ISBLANK('Personal Rankings'!R9),"",'Personal Rankings'!S9)</f>
        <v>114</v>
      </c>
      <c r="V10" s="12">
        <f t="shared" si="4"/>
        <v>7</v>
      </c>
      <c r="W10" s="34" t="str">
        <f>IF(ISBLANK('Personal Rankings'!W9),"",'Personal Rankings'!W9)</f>
        <v xml:space="preserve">Patriots D/ST </v>
      </c>
      <c r="X10" s="62">
        <f ca="1">IF(ISBLANK('Personal Rankings'!W9),"",([1]DST!$R$4*V10^5+[1]DST!$S$4*V10^4+[1]DST!$T$4*V10^3+[1]DST!$U$4*V10^2+[1]DST!$V$4*V10+[1]DST!$W$4-'League Settings'!$Q$8)*X$2)</f>
        <v>0.65200775424801938</v>
      </c>
      <c r="Y10" s="35">
        <f>IF(ISBLANK('Personal Rankings'!W9),"",'Personal Rankings'!X9)</f>
        <v>174</v>
      </c>
      <c r="AA10" s="12">
        <f t="shared" si="5"/>
        <v>7</v>
      </c>
      <c r="AB10" s="34" t="str">
        <f>IF(ISBLANK('Personal Rankings'!AB9),"",'Personal Rankings'!AB9)</f>
        <v>Zane Gonzalez ARI</v>
      </c>
      <c r="AC10" s="62">
        <f ca="1">IF(ISBLANK('Personal Rankings'!AB9),"",([1]K!$AG$4*AA10^5+[1]K!$AH$4*AA10^4+[1]K!$AI$4*AA10^3+[1]K!$AJ$4*AA10^2+[1]K!$AK$4*AA10+[1]K!$AL$4-'League Settings'!$Q$9)*AC$2)</f>
        <v>0.40260094071834657</v>
      </c>
      <c r="AD10" s="35">
        <f>IF(ISBLANK('Personal Rankings'!AB9),"",'Personal Rankings'!AC9)</f>
        <v>189</v>
      </c>
    </row>
    <row r="11" spans="2:30" x14ac:dyDescent="0.35">
      <c r="B11" s="12">
        <f t="shared" si="0"/>
        <v>8</v>
      </c>
      <c r="C11" s="34" t="str">
        <f>IF(ISBLANK('Personal Rankings'!C10),"",'Personal Rankings'!C10)</f>
        <v>Tom Brady TB</v>
      </c>
      <c r="D11" s="62">
        <f ca="1">IF(ISBLANK('Personal Rankings'!C10),"",([1]QB!$AL$4*B11^5+[1]QB!$AM$4*B11^4+[1]QB!$AN$4*B11^3+[1]QB!$AO$4*B11^2+[1]QB!$AP$4*B11+[1]QB!$AQ$4-'League Settings'!$Q$4)*D$2)</f>
        <v>0.38935761505675442</v>
      </c>
      <c r="E11" s="35">
        <f>IF(ISBLANK('Personal Rankings'!C10),"",'Personal Rankings'!D10)</f>
        <v>117</v>
      </c>
      <c r="G11" s="12">
        <f t="shared" si="1"/>
        <v>8</v>
      </c>
      <c r="H11" s="34" t="str">
        <f>IF(ISBLANK('Personal Rankings'!H10),"",'Personal Rankings'!H10)</f>
        <v>Joe Mixon CIN</v>
      </c>
      <c r="I11" s="62">
        <f>IF(ISBLANK('Personal Rankings'!H10),"",([1]RB!$AL$4*G11^5+[1]RB!$AM$4*G11^4+[1]RB!$AN$4*G11^3+[1]RB!$AO$4*G11^2+[1]RB!$AP$4*G11+[1]RB!$AQ$4-'League Settings'!$Q$5)*I$2)</f>
        <v>14.221089780572823</v>
      </c>
      <c r="J11" s="35">
        <f>IF(ISBLANK('Personal Rankings'!H10),"",'Personal Rankings'!I10)</f>
        <v>12</v>
      </c>
      <c r="L11" s="12">
        <f t="shared" si="2"/>
        <v>8</v>
      </c>
      <c r="M11" s="34" t="str">
        <f>IF(ISBLANK('Personal Rankings'!M10),"",'Personal Rankings'!M10)</f>
        <v>Allen Robinson II CHI</v>
      </c>
      <c r="N11" s="62">
        <f>IF(ISBLANK('Personal Rankings'!M10),"",([1]WR!$AL$4*L11^5+[1]WR!$AM$4*L11^4+[1]WR!$AN$4*L11^3+[1]WR!$AO$4*L11^2+[1]WR!$AP$4*L11+[1]WR!$AQ$4-'League Settings'!$Q$6)*N$2)</f>
        <v>0</v>
      </c>
      <c r="O11" s="35">
        <f>IF(ISBLANK('Personal Rankings'!M10),"",'Personal Rankings'!N10)</f>
        <v>28</v>
      </c>
      <c r="Q11" s="12">
        <f t="shared" si="3"/>
        <v>8</v>
      </c>
      <c r="R11" s="34" t="str">
        <f>IF(ISBLANK('Personal Rankings'!R10),"",'Personal Rankings'!R10)</f>
        <v>Hunter Henry LAC</v>
      </c>
      <c r="S11" s="62">
        <f ca="1">IF(ISBLANK('Personal Rankings'!R10),"",([1]TE!$AL$4*Q11^5+[1]TE!$AM$4*Q11^4+[1]TE!$AN$4*Q11^3+[1]TE!$AO$4*Q11^2+[1]TE!$AP$4*Q11+[1]TE!$AQ$4-'League Settings'!$Q$7)*S$2)</f>
        <v>0.6229681925247228</v>
      </c>
      <c r="T11" s="35">
        <f>IF(ISBLANK('Personal Rankings'!R10),"",'Personal Rankings'!S10)</f>
        <v>110</v>
      </c>
      <c r="V11" s="12">
        <f t="shared" si="4"/>
        <v>8</v>
      </c>
      <c r="W11" s="34" t="str">
        <f>IF(ISBLANK('Personal Rankings'!W10),"",'Personal Rankings'!W10)</f>
        <v xml:space="preserve">Chiefs D/ST </v>
      </c>
      <c r="X11" s="62">
        <f ca="1">IF(ISBLANK('Personal Rankings'!W10),"",([1]DST!$R$4*V11^5+[1]DST!$S$4*V11^4+[1]DST!$T$4*V11^3+[1]DST!$U$4*V11^2+[1]DST!$V$4*V11+[1]DST!$W$4-'League Settings'!$Q$8)*X$2)</f>
        <v>0.30829441895405124</v>
      </c>
      <c r="Y11" s="35">
        <f>IF(ISBLANK('Personal Rankings'!W10),"",'Personal Rankings'!X10)</f>
        <v>296</v>
      </c>
      <c r="AA11" s="12">
        <f t="shared" si="5"/>
        <v>8</v>
      </c>
      <c r="AB11" s="34" t="str">
        <f>IF(ISBLANK('Personal Rankings'!AB10),"",'Personal Rankings'!AB10)</f>
        <v/>
      </c>
      <c r="AC11" s="62" t="str">
        <f>IF(ISBLANK('Personal Rankings'!AB10),"",([1]K!$AG$4*AA11^5+[1]K!$AH$4*AA11^4+[1]K!$AI$4*AA11^3+[1]K!$AJ$4*AA11^2+[1]K!$AK$4*AA11+[1]K!$AL$4-'League Settings'!$Q$9)*AC$2)</f>
        <v/>
      </c>
      <c r="AD11" s="35" t="str">
        <f>IF(ISBLANK('Personal Rankings'!AB10),"",'Personal Rankings'!AC10)</f>
        <v/>
      </c>
    </row>
    <row r="12" spans="2:30" x14ac:dyDescent="0.35">
      <c r="B12" s="12">
        <f t="shared" si="0"/>
        <v>9</v>
      </c>
      <c r="C12" s="34" t="str">
        <f>IF(ISBLANK('Personal Rankings'!C11),"",'Personal Rankings'!C11)</f>
        <v>Drew Brees NO</v>
      </c>
      <c r="D12" s="62">
        <f ca="1">IF(ISBLANK('Personal Rankings'!C11),"",([1]QB!$AL$4*B12^5+[1]QB!$AM$4*B12^4+[1]QB!$AN$4*B12^3+[1]QB!$AO$4*B12^2+[1]QB!$AP$4*B12+[1]QB!$AQ$4-'League Settings'!$Q$4)*D$2)</f>
        <v>0.34712553941844815</v>
      </c>
      <c r="E12" s="35">
        <f>IF(ISBLANK('Personal Rankings'!C11),"",'Personal Rankings'!D11)</f>
        <v>120</v>
      </c>
      <c r="G12" s="12">
        <f t="shared" si="1"/>
        <v>9</v>
      </c>
      <c r="H12" s="34" t="str">
        <f>IF(ISBLANK('Personal Rankings'!H11),"",'Personal Rankings'!H11)</f>
        <v>Josh Jacobs LV</v>
      </c>
      <c r="I12" s="62">
        <f>IF(ISBLANK('Personal Rankings'!H11),"",([1]RB!$AL$4*G12^5+[1]RB!$AM$4*G12^4+[1]RB!$AN$4*G12^3+[1]RB!$AO$4*G12^2+[1]RB!$AP$4*G12+[1]RB!$AQ$4-'League Settings'!$Q$5)*I$2)</f>
        <v>13.144259736327264</v>
      </c>
      <c r="J12" s="35">
        <f>IF(ISBLANK('Personal Rankings'!H11),"",'Personal Rankings'!I11)</f>
        <v>10</v>
      </c>
      <c r="L12" s="12">
        <f t="shared" si="2"/>
        <v>9</v>
      </c>
      <c r="M12" s="34" t="str">
        <f>IF(ISBLANK('Personal Rankings'!M11),"",'Personal Rankings'!M11)</f>
        <v>Mike Evans TB</v>
      </c>
      <c r="N12" s="62">
        <f>IF(ISBLANK('Personal Rankings'!M11),"",([1]WR!$AL$4*L12^5+[1]WR!$AM$4*L12^4+[1]WR!$AN$4*L12^3+[1]WR!$AO$4*L12^2+[1]WR!$AP$4*L12+[1]WR!$AQ$4-'League Settings'!$Q$6)*N$2)</f>
        <v>0</v>
      </c>
      <c r="O12" s="35">
        <f>IF(ISBLANK('Personal Rankings'!M11),"",'Personal Rankings'!N11)</f>
        <v>22</v>
      </c>
      <c r="Q12" s="12">
        <f t="shared" si="3"/>
        <v>9</v>
      </c>
      <c r="R12" s="34" t="str">
        <f>IF(ISBLANK('Personal Rankings'!R11),"",'Personal Rankings'!R11)</f>
        <v>Evan Engram NYG</v>
      </c>
      <c r="S12" s="62">
        <f ca="1">IF(ISBLANK('Personal Rankings'!R11),"",([1]TE!$AL$4*Q12^5+[1]TE!$AM$4*Q12^4+[1]TE!$AN$4*Q12^3+[1]TE!$AO$4*Q12^2+[1]TE!$AP$4*Q12+[1]TE!$AQ$4-'League Settings'!$Q$7)*S$2)</f>
        <v>0.52963948361258506</v>
      </c>
      <c r="T12" s="35">
        <f>IF(ISBLANK('Personal Rankings'!R11),"",'Personal Rankings'!S11)</f>
        <v>82</v>
      </c>
      <c r="V12" s="12">
        <f t="shared" si="4"/>
        <v>9</v>
      </c>
      <c r="W12" s="34" t="str">
        <f>IF(ISBLANK('Personal Rankings'!W11),"",'Personal Rankings'!W11)</f>
        <v xml:space="preserve">Broncos D/ST </v>
      </c>
      <c r="X12" s="62">
        <f ca="1">IF(ISBLANK('Personal Rankings'!W11),"",([1]DST!$R$4*V12^5+[1]DST!$S$4*V12^4+[1]DST!$T$4*V12^3+[1]DST!$U$4*V12^2+[1]DST!$V$4*V12+[1]DST!$W$4-'League Settings'!$Q$8)*X$2)</f>
        <v>0</v>
      </c>
      <c r="Y12" s="35">
        <f>IF(ISBLANK('Personal Rankings'!W11),"",'Personal Rankings'!X11)</f>
        <v>178</v>
      </c>
      <c r="AA12" s="12">
        <f t="shared" si="5"/>
        <v>9</v>
      </c>
      <c r="AB12" s="34" t="str">
        <f>IF(ISBLANK('Personal Rankings'!AB11),"",'Personal Rankings'!AB11)</f>
        <v>Younghoe Koo ATL</v>
      </c>
      <c r="AC12" s="62">
        <f ca="1">IF(ISBLANK('Personal Rankings'!AB11),"",([1]K!$AG$4*AA12^5+[1]K!$AH$4*AA12^4+[1]K!$AI$4*AA12^3+[1]K!$AJ$4*AA12^2+[1]K!$AK$4*AA12+[1]K!$AL$4-'League Settings'!$Q$9)*AC$2)</f>
        <v>0</v>
      </c>
      <c r="AD12" s="35">
        <f>IF(ISBLANK('Personal Rankings'!AB11),"",'Personal Rankings'!AC11)</f>
        <v>226</v>
      </c>
    </row>
    <row r="13" spans="2:30" x14ac:dyDescent="0.35">
      <c r="B13" s="12">
        <f t="shared" si="0"/>
        <v>10</v>
      </c>
      <c r="C13" s="34" t="str">
        <f>IF(ISBLANK('Personal Rankings'!C12),"",'Personal Rankings'!C12)</f>
        <v>Matthew Stafford DET</v>
      </c>
      <c r="D13" s="62">
        <f ca="1">IF(ISBLANK('Personal Rankings'!C12),"",([1]QB!$AL$4*B13^5+[1]QB!$AM$4*B13^4+[1]QB!$AN$4*B13^3+[1]QB!$AO$4*B13^2+[1]QB!$AP$4*B13+[1]QB!$AQ$4-'League Settings'!$Q$4)*D$2)</f>
        <v>0.30935011446876748</v>
      </c>
      <c r="E13" s="35">
        <f>IF(ISBLANK('Personal Rankings'!C12),"",'Personal Rankings'!D12)</f>
        <v>121</v>
      </c>
      <c r="G13" s="12">
        <f t="shared" si="1"/>
        <v>10</v>
      </c>
      <c r="H13" s="34" t="str">
        <f>IF(ISBLANK('Personal Rankings'!H12),"",'Personal Rankings'!H12)</f>
        <v>Nick Chubb CLE</v>
      </c>
      <c r="I13" s="62">
        <f>IF(ISBLANK('Personal Rankings'!H12),"",([1]RB!$AL$4*G13^5+[1]RB!$AM$4*G13^4+[1]RB!$AN$4*G13^3+[1]RB!$AO$4*G13^2+[1]RB!$AP$4*G13+[1]RB!$AQ$4-'League Settings'!$Q$5)*I$2)</f>
        <v>12.157516744919441</v>
      </c>
      <c r="J13" s="35">
        <f>IF(ISBLANK('Personal Rankings'!H12),"",'Personal Rankings'!I12)</f>
        <v>11</v>
      </c>
      <c r="L13" s="12">
        <f t="shared" si="2"/>
        <v>10</v>
      </c>
      <c r="M13" s="34" t="str">
        <f>IF(ISBLANK('Personal Rankings'!M12),"",'Personal Rankings'!M12)</f>
        <v>JuJu Smith-Schuster PIT</v>
      </c>
      <c r="N13" s="62">
        <f>IF(ISBLANK('Personal Rankings'!M12),"",([1]WR!$AL$4*L13^5+[1]WR!$AM$4*L13^4+[1]WR!$AN$4*L13^3+[1]WR!$AO$4*L13^2+[1]WR!$AP$4*L13+[1]WR!$AQ$4-'League Settings'!$Q$6)*N$2)</f>
        <v>0</v>
      </c>
      <c r="O13" s="35">
        <f>IF(ISBLANK('Personal Rankings'!M12),"",'Personal Rankings'!N12)</f>
        <v>30</v>
      </c>
      <c r="Q13" s="12">
        <f t="shared" si="3"/>
        <v>10</v>
      </c>
      <c r="R13" s="34" t="str">
        <f>IF(ISBLANK('Personal Rankings'!R12),"",'Personal Rankings'!R12)</f>
        <v>Jared Cook NO</v>
      </c>
      <c r="S13" s="62">
        <f ca="1">IF(ISBLANK('Personal Rankings'!R12),"",([1]TE!$AL$4*Q13^5+[1]TE!$AM$4*Q13^4+[1]TE!$AN$4*Q13^3+[1]TE!$AO$4*Q13^2+[1]TE!$AP$4*Q13+[1]TE!$AQ$4-'League Settings'!$Q$7)*S$2)</f>
        <v>0.44381552112724493</v>
      </c>
      <c r="T13" s="35">
        <f>IF(ISBLANK('Personal Rankings'!R12),"",'Personal Rankings'!S12)</f>
        <v>111</v>
      </c>
      <c r="V13" s="12">
        <f t="shared" si="4"/>
        <v>10</v>
      </c>
      <c r="W13" s="34" t="str">
        <f>IF(ISBLANK('Personal Rankings'!W12),"",'Personal Rankings'!W12)</f>
        <v xml:space="preserve">Chargers D/ST </v>
      </c>
      <c r="X13" s="62">
        <f ca="1">IF(ISBLANK('Personal Rankings'!W12),"",([1]DST!$R$4*V13^5+[1]DST!$S$4*V13^4+[1]DST!$T$4*V13^3+[1]DST!$U$4*V13^2+[1]DST!$V$4*V13+[1]DST!$W$4-'League Settings'!$Q$8)*X$2)</f>
        <v>-0.28361012953148329</v>
      </c>
      <c r="Y13" s="35">
        <f>IF(ISBLANK('Personal Rankings'!W12),"",'Personal Rankings'!X12)</f>
        <v>181</v>
      </c>
      <c r="AA13" s="12">
        <f t="shared" si="5"/>
        <v>10</v>
      </c>
      <c r="AB13" s="34" t="str">
        <f>IF(ISBLANK('Personal Rankings'!AB12),"",'Personal Rankings'!AB12)</f>
        <v>Jake Elliott PHI</v>
      </c>
      <c r="AC13" s="62">
        <f ca="1">IF(ISBLANK('Personal Rankings'!AB12),"",([1]K!$AG$4*AA13^5+[1]K!$AH$4*AA13^4+[1]K!$AI$4*AA13^3+[1]K!$AJ$4*AA13^2+[1]K!$AK$4*AA13+[1]K!$AL$4-'League Settings'!$Q$9)*AC$2)</f>
        <v>-0.1718574995221985</v>
      </c>
      <c r="AD13" s="35">
        <f>IF(ISBLANK('Personal Rankings'!AB12),"",'Personal Rankings'!AC12)</f>
        <v>190</v>
      </c>
    </row>
    <row r="14" spans="2:30" x14ac:dyDescent="0.35">
      <c r="B14" s="12">
        <f t="shared" si="0"/>
        <v>11</v>
      </c>
      <c r="C14" s="34" t="str">
        <f>IF(ISBLANK('Personal Rankings'!C13),"",'Personal Rankings'!C13)</f>
        <v>Carson Wentz PHI</v>
      </c>
      <c r="D14" s="62">
        <f ca="1">IF(ISBLANK('Personal Rankings'!C13),"",([1]QB!$AL$4*B14^5+[1]QB!$AM$4*B14^4+[1]QB!$AN$4*B14^3+[1]QB!$AO$4*B14^2+[1]QB!$AP$4*B14+[1]QB!$AQ$4-'League Settings'!$Q$4)*D$2)</f>
        <v>0.27254202787898402</v>
      </c>
      <c r="E14" s="35">
        <f>IF(ISBLANK('Personal Rankings'!C13),"",'Personal Rankings'!D13)</f>
        <v>118</v>
      </c>
      <c r="G14" s="12">
        <f t="shared" si="1"/>
        <v>11</v>
      </c>
      <c r="H14" s="34" t="str">
        <f>IF(ISBLANK('Personal Rankings'!H13),"",'Personal Rankings'!H13)</f>
        <v>Austin Ekeler LAC</v>
      </c>
      <c r="I14" s="62">
        <f>IF(ISBLANK('Personal Rankings'!H13),"",([1]RB!$AL$4*G14^5+[1]RB!$AM$4*G14^4+[1]RB!$AN$4*G14^3+[1]RB!$AO$4*G14^2+[1]RB!$AP$4*G14+[1]RB!$AQ$4-'League Settings'!$Q$5)*I$2)</f>
        <v>11.253696968410253</v>
      </c>
      <c r="J14" s="35">
        <f>IF(ISBLANK('Personal Rankings'!H13),"",'Personal Rankings'!I13)</f>
        <v>15</v>
      </c>
      <c r="L14" s="12">
        <f t="shared" si="2"/>
        <v>11</v>
      </c>
      <c r="M14" s="34" t="str">
        <f>IF(ISBLANK('Personal Rankings'!M13),"",'Personal Rankings'!M13)</f>
        <v>DJ Moore CAR</v>
      </c>
      <c r="N14" s="62">
        <f>IF(ISBLANK('Personal Rankings'!M13),"",([1]WR!$AL$4*L14^5+[1]WR!$AM$4*L14^4+[1]WR!$AN$4*L14^3+[1]WR!$AO$4*L14^2+[1]WR!$AP$4*L14+[1]WR!$AQ$4-'League Settings'!$Q$6)*N$2)</f>
        <v>0</v>
      </c>
      <c r="O14" s="35">
        <f>IF(ISBLANK('Personal Rankings'!M13),"",'Personal Rankings'!N13)</f>
        <v>25</v>
      </c>
      <c r="Q14" s="12">
        <f t="shared" si="3"/>
        <v>11</v>
      </c>
      <c r="R14" s="34" t="str">
        <f>IF(ISBLANK('Personal Rankings'!R13),"",'Personal Rankings'!R13)</f>
        <v>Rob Gronkowski TB</v>
      </c>
      <c r="S14" s="62">
        <f ca="1">IF(ISBLANK('Personal Rankings'!R13),"",([1]TE!$AL$4*Q14^5+[1]TE!$AM$4*Q14^4+[1]TE!$AN$4*Q14^3+[1]TE!$AO$4*Q14^2+[1]TE!$AP$4*Q14+[1]TE!$AQ$4-'League Settings'!$Q$7)*S$2)</f>
        <v>0.3647939003772197</v>
      </c>
      <c r="T14" s="35">
        <f>IF(ISBLANK('Personal Rankings'!R13),"",'Personal Rankings'!S13)</f>
        <v>112</v>
      </c>
      <c r="V14" s="12">
        <f t="shared" si="4"/>
        <v>11</v>
      </c>
      <c r="W14" s="34" t="str">
        <f>IF(ISBLANK('Personal Rankings'!W13),"",'Personal Rankings'!W13)</f>
        <v/>
      </c>
      <c r="X14" s="62" t="str">
        <f>IF(ISBLANK('Personal Rankings'!W13),"",([1]DST!$R$4*V14^5+[1]DST!$S$4*V14^4+[1]DST!$T$4*V14^3+[1]DST!$U$4*V14^2+[1]DST!$V$4*V14+[1]DST!$W$4-'League Settings'!$Q$8)*X$2)</f>
        <v/>
      </c>
      <c r="Y14" s="35" t="str">
        <f>IF(ISBLANK('Personal Rankings'!W13),"",'Personal Rankings'!X13)</f>
        <v/>
      </c>
      <c r="AA14" s="12">
        <f t="shared" si="5"/>
        <v>11</v>
      </c>
      <c r="AB14" s="34" t="str">
        <f>IF(ISBLANK('Personal Rankings'!AB13),"",'Personal Rankings'!AB13)</f>
        <v/>
      </c>
      <c r="AC14" s="62" t="str">
        <f>IF(ISBLANK('Personal Rankings'!AB13),"",([1]K!$AG$4*AA14^5+[1]K!$AH$4*AA14^4+[1]K!$AI$4*AA14^3+[1]K!$AJ$4*AA14^2+[1]K!$AK$4*AA14+[1]K!$AL$4-'League Settings'!$Q$9)*AC$2)</f>
        <v/>
      </c>
      <c r="AD14" s="35" t="str">
        <f>IF(ISBLANK('Personal Rankings'!AB13),"",'Personal Rankings'!AC13)</f>
        <v/>
      </c>
    </row>
    <row r="15" spans="2:30" x14ac:dyDescent="0.35">
      <c r="B15" s="12">
        <f t="shared" si="0"/>
        <v>12</v>
      </c>
      <c r="C15" s="34" t="str">
        <f>IF(ISBLANK('Personal Rankings'!C14),"",'Personal Rankings'!C14)</f>
        <v>Josh Allen BUF</v>
      </c>
      <c r="D15" s="62">
        <f ca="1">IF(ISBLANK('Personal Rankings'!C14),"",([1]QB!$AL$4*B15^5+[1]QB!$AM$4*B15^4+[1]QB!$AN$4*B15^3+[1]QB!$AO$4*B15^2+[1]QB!$AP$4*B15+[1]QB!$AQ$4-'League Settings'!$Q$4)*D$2)</f>
        <v>0.23435934309281692</v>
      </c>
      <c r="E15" s="35">
        <f>IF(ISBLANK('Personal Rankings'!C14),"",'Personal Rankings'!D14)</f>
        <v>119</v>
      </c>
      <c r="G15" s="12">
        <f t="shared" si="1"/>
        <v>12</v>
      </c>
      <c r="H15" s="34" t="str">
        <f>IF(ISBLANK('Personal Rankings'!H14),"",'Personal Rankings'!H14)</f>
        <v>Kenyan Drake ARI</v>
      </c>
      <c r="I15" s="62">
        <f>IF(ISBLANK('Personal Rankings'!H14),"",([1]RB!$AL$4*G15^5+[1]RB!$AM$4*G15^4+[1]RB!$AN$4*G15^3+[1]RB!$AO$4*G15^2+[1]RB!$AP$4*G15+[1]RB!$AQ$4-'League Settings'!$Q$5)*I$2)</f>
        <v>10.426001866205713</v>
      </c>
      <c r="J15" s="35">
        <f>IF(ISBLANK('Personal Rankings'!H14),"",'Personal Rankings'!I14)</f>
        <v>13</v>
      </c>
      <c r="L15" s="12">
        <f t="shared" si="2"/>
        <v>12</v>
      </c>
      <c r="M15" s="34" t="str">
        <f>IF(ISBLANK('Personal Rankings'!M14),"",'Personal Rankings'!M14)</f>
        <v>Adam Thielen MIN</v>
      </c>
      <c r="N15" s="62">
        <f>IF(ISBLANK('Personal Rankings'!M14),"",([1]WR!$AL$4*L15^5+[1]WR!$AM$4*L15^4+[1]WR!$AN$4*L15^3+[1]WR!$AO$4*L15^2+[1]WR!$AP$4*L15+[1]WR!$AQ$4-'League Settings'!$Q$6)*N$2)</f>
        <v>0</v>
      </c>
      <c r="O15" s="35">
        <f>IF(ISBLANK('Personal Rankings'!M14),"",'Personal Rankings'!N14)</f>
        <v>26</v>
      </c>
      <c r="Q15" s="12">
        <f t="shared" si="3"/>
        <v>12</v>
      </c>
      <c r="R15" s="34" t="str">
        <f>IF(ISBLANK('Personal Rankings'!R14),"",'Personal Rankings'!R14)</f>
        <v>Mike Gesicki MIA</v>
      </c>
      <c r="S15" s="62">
        <f ca="1">IF(ISBLANK('Personal Rankings'!R14),"",([1]TE!$AL$4*Q15^5+[1]TE!$AM$4*Q15^4+[1]TE!$AN$4*Q15^3+[1]TE!$AO$4*Q15^2+[1]TE!$AP$4*Q15+[1]TE!$AQ$4-'League Settings'!$Q$7)*S$2)</f>
        <v>0.2919231935746574</v>
      </c>
      <c r="T15" s="35">
        <f>IF(ISBLANK('Personal Rankings'!R14),"",'Personal Rankings'!S14)</f>
        <v>134</v>
      </c>
      <c r="V15" s="12">
        <f t="shared" si="4"/>
        <v>12</v>
      </c>
      <c r="W15" s="34" t="str">
        <f>IF(ISBLANK('Personal Rankings'!W14),"",'Personal Rankings'!W14)</f>
        <v/>
      </c>
      <c r="X15" s="62" t="str">
        <f>IF(ISBLANK('Personal Rankings'!W14),"",([1]DST!$R$4*V15^5+[1]DST!$S$4*V15^4+[1]DST!$T$4*V15^3+[1]DST!$U$4*V15^2+[1]DST!$V$4*V15+[1]DST!$W$4-'League Settings'!$Q$8)*X$2)</f>
        <v/>
      </c>
      <c r="Y15" s="35" t="str">
        <f>IF(ISBLANK('Personal Rankings'!W14),"",'Personal Rankings'!X14)</f>
        <v/>
      </c>
      <c r="AA15" s="12">
        <f t="shared" si="5"/>
        <v>12</v>
      </c>
      <c r="AB15" s="34" t="str">
        <f>IF(ISBLANK('Personal Rankings'!AB14),"",'Personal Rankings'!AB14)</f>
        <v/>
      </c>
      <c r="AC15" s="62" t="str">
        <f>IF(ISBLANK('Personal Rankings'!AB14),"",([1]K!$AG$4*AA15^5+[1]K!$AH$4*AA15^4+[1]K!$AI$4*AA15^3+[1]K!$AJ$4*AA15^2+[1]K!$AK$4*AA15+[1]K!$AL$4-'League Settings'!$Q$9)*AC$2)</f>
        <v/>
      </c>
      <c r="AD15" s="35" t="str">
        <f>IF(ISBLANK('Personal Rankings'!AB14),"",'Personal Rankings'!AC14)</f>
        <v/>
      </c>
    </row>
    <row r="16" spans="2:30" x14ac:dyDescent="0.35">
      <c r="B16" s="12">
        <f t="shared" si="0"/>
        <v>13</v>
      </c>
      <c r="C16" s="34" t="str">
        <f>IF(ISBLANK('Personal Rankings'!C15),"",'Personal Rankings'!C15)</f>
        <v>Joe Burrow CIN</v>
      </c>
      <c r="D16" s="62">
        <f ca="1">IF(ISBLANK('Personal Rankings'!C15),"",([1]QB!$AL$4*B16^5+[1]QB!$AM$4*B16^4+[1]QB!$AN$4*B16^3+[1]QB!$AO$4*B16^2+[1]QB!$AP$4*B16+[1]QB!$AQ$4-'League Settings'!$Q$4)*D$2)</f>
        <v>0.19343944003422214</v>
      </c>
      <c r="E16" s="35">
        <f>IF(ISBLANK('Personal Rankings'!C15),"",'Personal Rankings'!D15)</f>
        <v>221</v>
      </c>
      <c r="G16" s="12">
        <f t="shared" si="1"/>
        <v>13</v>
      </c>
      <c r="H16" s="34" t="str">
        <f>IF(ISBLANK('Personal Rankings'!H15),"",'Personal Rankings'!H15)</f>
        <v>Miles Sanders PHI</v>
      </c>
      <c r="I16" s="62">
        <f>IF(ISBLANK('Personal Rankings'!H15),"",([1]RB!$AL$4*G16^5+[1]RB!$AM$4*G16^4+[1]RB!$AN$4*G16^3+[1]RB!$AO$4*G16^2+[1]RB!$AP$4*G16+[1]RB!$AQ$4-'League Settings'!$Q$5)*I$2)</f>
        <v>9.6679892889921817</v>
      </c>
      <c r="J16" s="35">
        <f>IF(ISBLANK('Personal Rankings'!H15),"",'Personal Rankings'!I15)</f>
        <v>9</v>
      </c>
      <c r="L16" s="12">
        <f t="shared" si="2"/>
        <v>13</v>
      </c>
      <c r="M16" s="34" t="str">
        <f>IF(ISBLANK('Personal Rankings'!M15),"",'Personal Rankings'!M15)</f>
        <v>Amari Cooper DAL</v>
      </c>
      <c r="N16" s="62">
        <f>IF(ISBLANK('Personal Rankings'!M15),"",([1]WR!$AL$4*L16^5+[1]WR!$AM$4*L16^4+[1]WR!$AN$4*L16^3+[1]WR!$AO$4*L16^2+[1]WR!$AP$4*L16+[1]WR!$AQ$4-'League Settings'!$Q$6)*N$2)</f>
        <v>0</v>
      </c>
      <c r="O16" s="35">
        <f>IF(ISBLANK('Personal Rankings'!M15),"",'Personal Rankings'!N15)</f>
        <v>27</v>
      </c>
      <c r="Q16" s="12">
        <f t="shared" si="3"/>
        <v>13</v>
      </c>
      <c r="R16" s="34" t="str">
        <f>IF(ISBLANK('Personal Rankings'!R15),"",'Personal Rankings'!R15)</f>
        <v>Blake Jarwin DAL</v>
      </c>
      <c r="S16" s="62">
        <f ca="1">IF(ISBLANK('Personal Rankings'!R15),"",([1]TE!$AL$4*Q16^5+[1]TE!$AM$4*Q16^4+[1]TE!$AN$4*Q16^3+[1]TE!$AO$4*Q16^2+[1]TE!$AP$4*Q16+[1]TE!$AQ$4-'League Settings'!$Q$7)*S$2)</f>
        <v>0.22459817380793082</v>
      </c>
      <c r="T16" s="35">
        <f>IF(ISBLANK('Personal Rankings'!R15),"",'Personal Rankings'!S15)</f>
        <v>212</v>
      </c>
      <c r="V16" s="12">
        <f t="shared" si="4"/>
        <v>13</v>
      </c>
      <c r="W16" s="34" t="str">
        <f>IF(ISBLANK('Personal Rankings'!W15),"",'Personal Rankings'!W15)</f>
        <v/>
      </c>
      <c r="X16" s="62" t="str">
        <f>IF(ISBLANK('Personal Rankings'!W15),"",([1]DST!$R$4*V16^5+[1]DST!$S$4*V16^4+[1]DST!$T$4*V16^3+[1]DST!$U$4*V16^2+[1]DST!$V$4*V16+[1]DST!$W$4-'League Settings'!$Q$8)*X$2)</f>
        <v/>
      </c>
      <c r="Y16" s="35" t="str">
        <f>IF(ISBLANK('Personal Rankings'!W15),"",'Personal Rankings'!X15)</f>
        <v/>
      </c>
      <c r="AA16" s="12">
        <f t="shared" si="5"/>
        <v>13</v>
      </c>
      <c r="AB16" s="34" t="str">
        <f>IF(ISBLANK('Personal Rankings'!AB15),"",'Personal Rankings'!AB15)</f>
        <v/>
      </c>
      <c r="AC16" s="62" t="str">
        <f>IF(ISBLANK('Personal Rankings'!AB15),"",([1]K!$AG$4*AA16^5+[1]K!$AH$4*AA16^4+[1]K!$AI$4*AA16^3+[1]K!$AJ$4*AA16^2+[1]K!$AK$4*AA16+[1]K!$AL$4-'League Settings'!$Q$9)*AC$2)</f>
        <v/>
      </c>
      <c r="AD16" s="35" t="str">
        <f>IF(ISBLANK('Personal Rankings'!AB15),"",'Personal Rankings'!AC15)</f>
        <v/>
      </c>
    </row>
    <row r="17" spans="2:30" x14ac:dyDescent="0.35">
      <c r="B17" s="12">
        <f t="shared" si="0"/>
        <v>14</v>
      </c>
      <c r="C17" s="34" t="str">
        <f>IF(ISBLANK('Personal Rankings'!C16),"",'Personal Rankings'!C16)</f>
        <v>Ben Roethlisberger PIT</v>
      </c>
      <c r="D17" s="62">
        <f ca="1">IF(ISBLANK('Personal Rankings'!C16),"",([1]QB!$AL$4*B17^5+[1]QB!$AM$4*B17^4+[1]QB!$AN$4*B17^3+[1]QB!$AO$4*B17^2+[1]QB!$AP$4*B17+[1]QB!$AQ$4-'League Settings'!$Q$4)*D$2)</f>
        <v>0.14923095581520124</v>
      </c>
      <c r="E17" s="35">
        <f>IF(ISBLANK('Personal Rankings'!C16),"",'Personal Rankings'!D16)</f>
        <v>165</v>
      </c>
      <c r="G17" s="12">
        <f t="shared" si="1"/>
        <v>14</v>
      </c>
      <c r="H17" s="34" t="str">
        <f>IF(ISBLANK('Personal Rankings'!H16),"",'Personal Rankings'!H16)</f>
        <v>Aaron Jones GB</v>
      </c>
      <c r="I17" s="62">
        <f>IF(ISBLANK('Personal Rankings'!H16),"",([1]RB!$AL$4*G17^5+[1]RB!$AM$4*G17^4+[1]RB!$AN$4*G17^3+[1]RB!$AO$4*G17^2+[1]RB!$AP$4*G17+[1]RB!$AQ$4-'League Settings'!$Q$5)*I$2)</f>
        <v>8.97356457267162</v>
      </c>
      <c r="J17" s="35">
        <f>IF(ISBLANK('Personal Rankings'!H16),"",'Personal Rankings'!I16)</f>
        <v>14</v>
      </c>
      <c r="L17" s="12">
        <f t="shared" si="2"/>
        <v>14</v>
      </c>
      <c r="M17" s="34" t="str">
        <f>IF(ISBLANK('Personal Rankings'!M16),"",'Personal Rankings'!M16)</f>
        <v>Odell Beckham Jr. CLE</v>
      </c>
      <c r="N17" s="62">
        <f>IF(ISBLANK('Personal Rankings'!M16),"",([1]WR!$AL$4*L17^5+[1]WR!$AM$4*L17^4+[1]WR!$AN$4*L17^3+[1]WR!$AO$4*L17^2+[1]WR!$AP$4*L17+[1]WR!$AQ$4-'League Settings'!$Q$6)*N$2)</f>
        <v>0</v>
      </c>
      <c r="O17" s="35">
        <f>IF(ISBLANK('Personal Rankings'!M16),"",'Personal Rankings'!N16)</f>
        <v>29</v>
      </c>
      <c r="Q17" s="12">
        <f t="shared" si="3"/>
        <v>14</v>
      </c>
      <c r="R17" s="34" t="str">
        <f>IF(ISBLANK('Personal Rankings'!R16),"",'Personal Rankings'!R16)</f>
        <v>T.J. Hockenson DET</v>
      </c>
      <c r="S17" s="62">
        <f ca="1">IF(ISBLANK('Personal Rankings'!R16),"",([1]TE!$AL$4*Q17^5+[1]TE!$AM$4*Q17^4+[1]TE!$AN$4*Q17^3+[1]TE!$AO$4*Q17^2+[1]TE!$AP$4*Q17+[1]TE!$AQ$4-'League Settings'!$Q$7)*S$2)</f>
        <v>0.16225503901423285</v>
      </c>
      <c r="T17" s="35">
        <f>IF(ISBLANK('Personal Rankings'!R16),"",'Personal Rankings'!S16)</f>
        <v>115</v>
      </c>
      <c r="V17" s="12">
        <f t="shared" si="4"/>
        <v>14</v>
      </c>
      <c r="W17" s="34" t="str">
        <f>IF(ISBLANK('Personal Rankings'!W16),"",'Personal Rankings'!W16)</f>
        <v/>
      </c>
      <c r="X17" s="62" t="str">
        <f>IF(ISBLANK('Personal Rankings'!W16),"",([1]DST!$R$4*V17^5+[1]DST!$S$4*V17^4+[1]DST!$T$4*V17^3+[1]DST!$U$4*V17^2+[1]DST!$V$4*V17+[1]DST!$W$4-'League Settings'!$Q$8)*X$2)</f>
        <v/>
      </c>
      <c r="Y17" s="35" t="str">
        <f>IF(ISBLANK('Personal Rankings'!W16),"",'Personal Rankings'!X16)</f>
        <v/>
      </c>
      <c r="AA17" s="12">
        <f t="shared" si="5"/>
        <v>14</v>
      </c>
      <c r="AB17" s="34" t="str">
        <f>IF(ISBLANK('Personal Rankings'!AB16),"",'Personal Rankings'!AB16)</f>
        <v/>
      </c>
      <c r="AC17" s="62" t="str">
        <f>IF(ISBLANK('Personal Rankings'!AB16),"",([1]K!$AG$4*AA17^5+[1]K!$AH$4*AA17^4+[1]K!$AI$4*AA17^3+[1]K!$AJ$4*AA17^2+[1]K!$AK$4*AA17+[1]K!$AL$4-'League Settings'!$Q$9)*AC$2)</f>
        <v/>
      </c>
      <c r="AD17" s="35" t="str">
        <f>IF(ISBLANK('Personal Rankings'!AB16),"",'Personal Rankings'!AC16)</f>
        <v/>
      </c>
    </row>
    <row r="18" spans="2:30" x14ac:dyDescent="0.35">
      <c r="B18" s="12">
        <f t="shared" si="0"/>
        <v>15</v>
      </c>
      <c r="C18" s="34" t="str">
        <f>IF(ISBLANK('Personal Rankings'!C17),"",'Personal Rankings'!C17)</f>
        <v>Cam Newton NE</v>
      </c>
      <c r="D18" s="62">
        <f ca="1">IF(ISBLANK('Personal Rankings'!C17),"",([1]QB!$AL$4*B18^5+[1]QB!$AM$4*B18^4+[1]QB!$AN$4*B18^3+[1]QB!$AO$4*B18^2+[1]QB!$AP$4*B18+[1]QB!$AQ$4-'League Settings'!$Q$4)*D$2)</f>
        <v>0.10182572544359419</v>
      </c>
      <c r="E18" s="35">
        <f>IF(ISBLANK('Personal Rankings'!C17),"",'Personal Rankings'!D17)</f>
        <v>138</v>
      </c>
      <c r="G18" s="12">
        <f t="shared" si="1"/>
        <v>15</v>
      </c>
      <c r="H18" s="34" t="str">
        <f>IF(ISBLANK('Personal Rankings'!H17),"",'Personal Rankings'!H17)</f>
        <v>Todd Gurley II ATL</v>
      </c>
      <c r="I18" s="62">
        <f>IF(ISBLANK('Personal Rankings'!H17),"",([1]RB!$AL$4*G18^5+[1]RB!$AM$4*G18^4+[1]RB!$AN$4*G18^3+[1]RB!$AO$4*G18^2+[1]RB!$AP$4*G18+[1]RB!$AQ$4-'League Settings'!$Q$5)*I$2)</f>
        <v>8.3369716322968568</v>
      </c>
      <c r="J18" s="35">
        <f>IF(ISBLANK('Personal Rankings'!H17),"",'Personal Rankings'!I17)</f>
        <v>43</v>
      </c>
      <c r="L18" s="12">
        <f t="shared" si="2"/>
        <v>15</v>
      </c>
      <c r="M18" s="34" t="str">
        <f>IF(ISBLANK('Personal Rankings'!M17),"",'Personal Rankings'!M17)</f>
        <v>Calvin Ridley ATL</v>
      </c>
      <c r="N18" s="62">
        <f>IF(ISBLANK('Personal Rankings'!M17),"",([1]WR!$AL$4*L18^5+[1]WR!$AM$4*L18^4+[1]WR!$AN$4*L18^3+[1]WR!$AO$4*L18^2+[1]WR!$AP$4*L18+[1]WR!$AQ$4-'League Settings'!$Q$6)*N$2)</f>
        <v>0</v>
      </c>
      <c r="O18" s="35">
        <f>IF(ISBLANK('Personal Rankings'!M17),"",'Personal Rankings'!N17)</f>
        <v>33</v>
      </c>
      <c r="Q18" s="12">
        <f t="shared" si="3"/>
        <v>15</v>
      </c>
      <c r="R18" s="34" t="str">
        <f>IF(ISBLANK('Personal Rankings'!R17),"",'Personal Rankings'!R17)</f>
        <v>Austin Hooper CLE</v>
      </c>
      <c r="S18" s="62">
        <f ca="1">IF(ISBLANK('Personal Rankings'!R17),"",([1]TE!$AL$4*Q18^5+[1]TE!$AM$4*Q18^4+[1]TE!$AN$4*Q18^3+[1]TE!$AO$4*Q18^2+[1]TE!$AP$4*Q18+[1]TE!$AQ$4-'League Settings'!$Q$7)*S$2)</f>
        <v>0.10436663595216909</v>
      </c>
      <c r="T18" s="35">
        <f>IF(ISBLANK('Personal Rankings'!R17),"",'Personal Rankings'!S17)</f>
        <v>136</v>
      </c>
      <c r="V18" s="12">
        <f t="shared" si="4"/>
        <v>15</v>
      </c>
      <c r="W18" s="34" t="str">
        <f>IF(ISBLANK('Personal Rankings'!W17),"",'Personal Rankings'!W17)</f>
        <v/>
      </c>
      <c r="X18" s="62" t="str">
        <f>IF(ISBLANK('Personal Rankings'!W17),"",([1]DST!$R$4*V18^5+[1]DST!$S$4*V18^4+[1]DST!$T$4*V18^3+[1]DST!$U$4*V18^2+[1]DST!$V$4*V18+[1]DST!$W$4-'League Settings'!$Q$8)*X$2)</f>
        <v/>
      </c>
      <c r="Y18" s="35" t="str">
        <f>IF(ISBLANK('Personal Rankings'!W17),"",'Personal Rankings'!X17)</f>
        <v/>
      </c>
      <c r="AA18" s="12">
        <f t="shared" si="5"/>
        <v>15</v>
      </c>
      <c r="AB18" s="34" t="str">
        <f>IF(ISBLANK('Personal Rankings'!AB17),"",'Personal Rankings'!AB17)</f>
        <v/>
      </c>
      <c r="AC18" s="62" t="str">
        <f>IF(ISBLANK('Personal Rankings'!AB17),"",([1]K!$AG$4*AA18^5+[1]K!$AH$4*AA18^4+[1]K!$AI$4*AA18^3+[1]K!$AJ$4*AA18^2+[1]K!$AK$4*AA18+[1]K!$AL$4-'League Settings'!$Q$9)*AC$2)</f>
        <v/>
      </c>
      <c r="AD18" s="35" t="str">
        <f>IF(ISBLANK('Personal Rankings'!AB17),"",'Personal Rankings'!AC17)</f>
        <v/>
      </c>
    </row>
    <row r="19" spans="2:30" x14ac:dyDescent="0.35">
      <c r="B19" s="12">
        <f t="shared" si="0"/>
        <v>16</v>
      </c>
      <c r="C19" s="34" t="str">
        <f>IF(ISBLANK('Personal Rankings'!C18),"",'Personal Rankings'!C18)</f>
        <v>Aaron Rodgers GB</v>
      </c>
      <c r="D19" s="62">
        <f ca="1">IF(ISBLANK('Personal Rankings'!C18),"",([1]QB!$AL$4*B19^5+[1]QB!$AM$4*B19^4+[1]QB!$AN$4*B19^3+[1]QB!$AO$4*B19^2+[1]QB!$AP$4*B19+[1]QB!$AQ$4-'League Settings'!$Q$4)*D$2)</f>
        <v>5.1790722530888102E-2</v>
      </c>
      <c r="E19" s="35">
        <f>IF(ISBLANK('Personal Rankings'!C18),"",'Personal Rankings'!D18)</f>
        <v>122</v>
      </c>
      <c r="G19" s="12">
        <f t="shared" si="1"/>
        <v>16</v>
      </c>
      <c r="H19" s="34" t="str">
        <f>IF(ISBLANK('Personal Rankings'!H18),"",'Personal Rankings'!H18)</f>
        <v>James Conner PIT</v>
      </c>
      <c r="I19" s="62">
        <f>IF(ISBLANK('Personal Rankings'!H18),"",([1]RB!$AL$4*G19^5+[1]RB!$AM$4*G19^4+[1]RB!$AN$4*G19^3+[1]RB!$AO$4*G19^2+[1]RB!$AP$4*G19+[1]RB!$AQ$4-'League Settings'!$Q$5)*I$2)</f>
        <v>7.7527840560067833</v>
      </c>
      <c r="J19" s="35">
        <f>IF(ISBLANK('Personal Rankings'!H18),"",'Personal Rankings'!I18)</f>
        <v>44</v>
      </c>
      <c r="L19" s="12">
        <f t="shared" si="2"/>
        <v>16</v>
      </c>
      <c r="M19" s="34" t="str">
        <f>IF(ISBLANK('Personal Rankings'!M18),"",'Personal Rankings'!M18)</f>
        <v>A.J. Brown TEN</v>
      </c>
      <c r="N19" s="62">
        <f>IF(ISBLANK('Personal Rankings'!M18),"",([1]WR!$AL$4*L19^5+[1]WR!$AM$4*L19^4+[1]WR!$AN$4*L19^3+[1]WR!$AO$4*L19^2+[1]WR!$AP$4*L19+[1]WR!$AQ$4-'League Settings'!$Q$6)*N$2)</f>
        <v>0</v>
      </c>
      <c r="O19" s="35">
        <f>IF(ISBLANK('Personal Rankings'!M18),"",'Personal Rankings'!N18)</f>
        <v>32</v>
      </c>
      <c r="Q19" s="12">
        <f t="shared" si="3"/>
        <v>16</v>
      </c>
      <c r="R19" s="34" t="str">
        <f>IF(ISBLANK('Personal Rankings'!R18),"",'Personal Rankings'!R18)</f>
        <v>Dallas Goedert PHI</v>
      </c>
      <c r="S19" s="62">
        <f ca="1">IF(ISBLANK('Personal Rankings'!R18),"",([1]TE!$AL$4*Q19^5+[1]TE!$AM$4*Q19^4+[1]TE!$AN$4*Q19^3+[1]TE!$AO$4*Q19^2+[1]TE!$AP$4*Q19+[1]TE!$AQ$4-'League Settings'!$Q$7)*S$2)</f>
        <v>5.04376841743528E-2</v>
      </c>
      <c r="T19" s="35">
        <f>IF(ISBLANK('Personal Rankings'!R18),"",'Personal Rankings'!S18)</f>
        <v>211</v>
      </c>
      <c r="V19" s="12">
        <f t="shared" si="4"/>
        <v>16</v>
      </c>
      <c r="W19" s="34" t="str">
        <f>IF(ISBLANK('Personal Rankings'!W18),"",'Personal Rankings'!W18)</f>
        <v/>
      </c>
      <c r="X19" s="62" t="str">
        <f>IF(ISBLANK('Personal Rankings'!W18),"",([1]DST!$R$4*V19^5+[1]DST!$S$4*V19^4+[1]DST!$T$4*V19^3+[1]DST!$U$4*V19^2+[1]DST!$V$4*V19+[1]DST!$W$4-'League Settings'!$Q$8)*X$2)</f>
        <v/>
      </c>
      <c r="Y19" s="35" t="str">
        <f>IF(ISBLANK('Personal Rankings'!W18),"",'Personal Rankings'!X18)</f>
        <v/>
      </c>
      <c r="AA19" s="12">
        <f t="shared" si="5"/>
        <v>16</v>
      </c>
      <c r="AB19" s="34" t="str">
        <f>IF(ISBLANK('Personal Rankings'!AB18),"",'Personal Rankings'!AB18)</f>
        <v/>
      </c>
      <c r="AC19" s="62" t="str">
        <f>IF(ISBLANK('Personal Rankings'!AB18),"",([1]K!$AG$4*AA19^5+[1]K!$AH$4*AA19^4+[1]K!$AI$4*AA19^3+[1]K!$AJ$4*AA19^2+[1]K!$AK$4*AA19+[1]K!$AL$4-'League Settings'!$Q$9)*AC$2)</f>
        <v/>
      </c>
      <c r="AD19" s="35" t="str">
        <f>IF(ISBLANK('Personal Rankings'!AB18),"",'Personal Rankings'!AC18)</f>
        <v/>
      </c>
    </row>
    <row r="20" spans="2:30" x14ac:dyDescent="0.35">
      <c r="B20" s="12">
        <f t="shared" si="0"/>
        <v>17</v>
      </c>
      <c r="C20" s="34" t="str">
        <f>IF(ISBLANK('Personal Rankings'!C19),"",'Personal Rankings'!C19)</f>
        <v>Jared Goff LAR</v>
      </c>
      <c r="D20" s="62">
        <f ca="1">IF(ISBLANK('Personal Rankings'!C19),"",([1]QB!$AL$4*B20^5+[1]QB!$AM$4*B20^4+[1]QB!$AN$4*B20^3+[1]QB!$AO$4*B20^2+[1]QB!$AP$4*B20+[1]QB!$AQ$4-'League Settings'!$Q$4)*D$2)</f>
        <v>0</v>
      </c>
      <c r="E20" s="35">
        <f>IF(ISBLANK('Personal Rankings'!C19),"",'Personal Rankings'!D19)</f>
        <v>167</v>
      </c>
      <c r="G20" s="12">
        <f t="shared" si="1"/>
        <v>17</v>
      </c>
      <c r="H20" s="34" t="str">
        <f>IF(ISBLANK('Personal Rankings'!H19),"",'Personal Rankings'!H19)</f>
        <v>Chris Carson SEA</v>
      </c>
      <c r="I20" s="62">
        <f>IF(ISBLANK('Personal Rankings'!H19),"",([1]RB!$AL$4*G20^5+[1]RB!$AM$4*G20^4+[1]RB!$AN$4*G20^3+[1]RB!$AO$4*G20^2+[1]RB!$AP$4*G20+[1]RB!$AQ$4-'League Settings'!$Q$5)*I$2)</f>
        <v>7.2158961989616301</v>
      </c>
      <c r="J20" s="35">
        <f>IF(ISBLANK('Personal Rankings'!H19),"",'Personal Rankings'!I19)</f>
        <v>39</v>
      </c>
      <c r="L20" s="12">
        <f t="shared" si="2"/>
        <v>17</v>
      </c>
      <c r="M20" s="34" t="str">
        <f>IF(ISBLANK('Personal Rankings'!M19),"",'Personal Rankings'!M19)</f>
        <v>Terry McLaurin WAS</v>
      </c>
      <c r="N20" s="62">
        <f>IF(ISBLANK('Personal Rankings'!M19),"",([1]WR!$AL$4*L20^5+[1]WR!$AM$4*L20^4+[1]WR!$AN$4*L20^3+[1]WR!$AO$4*L20^2+[1]WR!$AP$4*L20+[1]WR!$AQ$4-'League Settings'!$Q$6)*N$2)</f>
        <v>0</v>
      </c>
      <c r="O20" s="35">
        <f>IF(ISBLANK('Personal Rankings'!M19),"",'Personal Rankings'!N19)</f>
        <v>50</v>
      </c>
      <c r="Q20" s="12">
        <f t="shared" si="3"/>
        <v>17</v>
      </c>
      <c r="R20" s="34" t="str">
        <f>IF(ISBLANK('Personal Rankings'!R19),"",'Personal Rankings'!R19)</f>
        <v>Chris Herndon NYJ</v>
      </c>
      <c r="S20" s="62">
        <f ca="1">IF(ISBLANK('Personal Rankings'!R19),"",([1]TE!$AL$4*Q20^5+[1]TE!$AM$4*Q20^4+[1]TE!$AN$4*Q20^3+[1]TE!$AO$4*Q20^2+[1]TE!$AP$4*Q20+[1]TE!$AQ$4-'League Settings'!$Q$7)*S$2)</f>
        <v>0</v>
      </c>
      <c r="T20" s="35">
        <f>IF(ISBLANK('Personal Rankings'!R19),"",'Personal Rankings'!S19)</f>
        <v>135</v>
      </c>
      <c r="V20" s="12">
        <f t="shared" si="4"/>
        <v>17</v>
      </c>
      <c r="W20" s="34" t="str">
        <f>IF(ISBLANK('Personal Rankings'!W19),"",'Personal Rankings'!W19)</f>
        <v/>
      </c>
      <c r="X20" s="62" t="str">
        <f>IF(ISBLANK('Personal Rankings'!W19),"",([1]DST!$R$4*V20^5+[1]DST!$S$4*V20^4+[1]DST!$T$4*V20^3+[1]DST!$U$4*V20^2+[1]DST!$V$4*V20+[1]DST!$W$4-'League Settings'!$Q$8)*X$2)</f>
        <v/>
      </c>
      <c r="Y20" s="35" t="str">
        <f>IF(ISBLANK('Personal Rankings'!W19),"",'Personal Rankings'!X19)</f>
        <v/>
      </c>
      <c r="AA20" s="12">
        <f t="shared" si="5"/>
        <v>17</v>
      </c>
      <c r="AB20" s="34" t="str">
        <f>IF(ISBLANK('Personal Rankings'!AB19),"",'Personal Rankings'!AB19)</f>
        <v/>
      </c>
      <c r="AC20" s="62" t="str">
        <f>IF(ISBLANK('Personal Rankings'!AB19),"",([1]K!$AG$4*AA20^5+[1]K!$AH$4*AA20^4+[1]K!$AI$4*AA20^3+[1]K!$AJ$4*AA20^2+[1]K!$AK$4*AA20+[1]K!$AL$4-'League Settings'!$Q$9)*AC$2)</f>
        <v/>
      </c>
      <c r="AD20" s="35" t="str">
        <f>IF(ISBLANK('Personal Rankings'!AB19),"",'Personal Rankings'!AC19)</f>
        <v/>
      </c>
    </row>
    <row r="21" spans="2:30" x14ac:dyDescent="0.35">
      <c r="B21" s="12">
        <f t="shared" si="0"/>
        <v>18</v>
      </c>
      <c r="C21" s="34" t="str">
        <f>IF(ISBLANK('Personal Rankings'!C20),"",'Personal Rankings'!C20)</f>
        <v>Gardner Minshew II JAC</v>
      </c>
      <c r="D21" s="62">
        <f ca="1">IF(ISBLANK('Personal Rankings'!C20),"",([1]QB!$AL$4*B21^5+[1]QB!$AM$4*B21^4+[1]QB!$AN$4*B21^3+[1]QB!$AO$4*B21^2+[1]QB!$AP$4*B21+[1]QB!$AQ$4-'League Settings'!$Q$4)*D$2)</f>
        <v>-5.2533369206910006E-2</v>
      </c>
      <c r="E21" s="35">
        <f>IF(ISBLANK('Personal Rankings'!C20),"",'Personal Rankings'!D20)</f>
        <v>220</v>
      </c>
      <c r="G21" s="12">
        <f t="shared" si="1"/>
        <v>18</v>
      </c>
      <c r="H21" s="34" t="str">
        <f>IF(ISBLANK('Personal Rankings'!H20),"",'Personal Rankings'!H20)</f>
        <v>Jonathan Taylor IND</v>
      </c>
      <c r="I21" s="62">
        <f>IF(ISBLANK('Personal Rankings'!H20),"",([1]RB!$AL$4*G21^5+[1]RB!$AM$4*G21^4+[1]RB!$AN$4*G21^3+[1]RB!$AO$4*G21^2+[1]RB!$AP$4*G21+[1]RB!$AQ$4-'League Settings'!$Q$5)*I$2)</f>
        <v>6.7215142772782066</v>
      </c>
      <c r="J21" s="35">
        <f>IF(ISBLANK('Personal Rankings'!H20),"",'Personal Rankings'!I20)</f>
        <v>45</v>
      </c>
      <c r="L21" s="12">
        <f t="shared" si="2"/>
        <v>18</v>
      </c>
      <c r="M21" s="34" t="str">
        <f>IF(ISBLANK('Personal Rankings'!M20),"",'Personal Rankings'!M20)</f>
        <v>Robert Woods LAR</v>
      </c>
      <c r="N21" s="62">
        <f>IF(ISBLANK('Personal Rankings'!M20),"",([1]WR!$AL$4*L21^5+[1]WR!$AM$4*L21^4+[1]WR!$AN$4*L21^3+[1]WR!$AO$4*L21^2+[1]WR!$AP$4*L21+[1]WR!$AQ$4-'League Settings'!$Q$6)*N$2)</f>
        <v>0</v>
      </c>
      <c r="O21" s="35">
        <f>IF(ISBLANK('Personal Rankings'!M20),"",'Personal Rankings'!N20)</f>
        <v>37</v>
      </c>
      <c r="Q21" s="12">
        <f t="shared" si="3"/>
        <v>18</v>
      </c>
      <c r="R21" s="34" t="str">
        <f>IF(ISBLANK('Personal Rankings'!R20),"",'Personal Rankings'!R20)</f>
        <v>Jack Doyle IND</v>
      </c>
      <c r="S21" s="62">
        <f ca="1">IF(ISBLANK('Personal Rankings'!R20),"",([1]TE!$AL$4*Q21^5+[1]TE!$AM$4*Q21^4+[1]TE!$AN$4*Q21^3+[1]TE!$AO$4*Q21^2+[1]TE!$AP$4*Q21+[1]TE!$AQ$4-'League Settings'!$Q$7)*S$2)</f>
        <v>-4.739227951247673E-2</v>
      </c>
      <c r="T21" s="35">
        <f>IF(ISBLANK('Personal Rankings'!R20),"",'Personal Rankings'!S20)</f>
        <v>162</v>
      </c>
      <c r="V21" s="12">
        <f t="shared" si="4"/>
        <v>18</v>
      </c>
      <c r="W21" s="34" t="str">
        <f>IF(ISBLANK('Personal Rankings'!W20),"",'Personal Rankings'!W20)</f>
        <v/>
      </c>
      <c r="X21" s="62" t="str">
        <f>IF(ISBLANK('Personal Rankings'!W20),"",([1]DST!$R$4*V21^5+[1]DST!$S$4*V21^4+[1]DST!$T$4*V21^3+[1]DST!$U$4*V21^2+[1]DST!$V$4*V21+[1]DST!$W$4-'League Settings'!$Q$8)*X$2)</f>
        <v/>
      </c>
      <c r="Y21" s="35" t="str">
        <f>IF(ISBLANK('Personal Rankings'!W20),"",'Personal Rankings'!X20)</f>
        <v/>
      </c>
      <c r="AA21" s="12">
        <f t="shared" si="5"/>
        <v>18</v>
      </c>
      <c r="AB21" s="34" t="str">
        <f>IF(ISBLANK('Personal Rankings'!AB20),"",'Personal Rankings'!AB20)</f>
        <v/>
      </c>
      <c r="AC21" s="62" t="str">
        <f>IF(ISBLANK('Personal Rankings'!AB20),"",([1]K!$AG$4*AA21^5+[1]K!$AH$4*AA21^4+[1]K!$AI$4*AA21^3+[1]K!$AJ$4*AA21^2+[1]K!$AK$4*AA21+[1]K!$AL$4-'League Settings'!$Q$9)*AC$2)</f>
        <v/>
      </c>
      <c r="AD21" s="35" t="str">
        <f>IF(ISBLANK('Personal Rankings'!AB20),"",'Personal Rankings'!AC20)</f>
        <v/>
      </c>
    </row>
    <row r="22" spans="2:30" x14ac:dyDescent="0.35">
      <c r="B22" s="12">
        <f t="shared" si="0"/>
        <v>19</v>
      </c>
      <c r="C22" s="34" t="str">
        <f>IF(ISBLANK('Personal Rankings'!C21),"",'Personal Rankings'!C21)</f>
        <v>Ryan Tannehill TEN</v>
      </c>
      <c r="D22" s="62">
        <f ca="1">IF(ISBLANK('Personal Rankings'!C21),"",([1]QB!$AL$4*B22^5+[1]QB!$AM$4*B22^4+[1]QB!$AN$4*B22^3+[1]QB!$AO$4*B22^2+[1]QB!$AP$4*B22+[1]QB!$AQ$4-'League Settings'!$Q$4)*D$2)</f>
        <v>-0.10482535142064583</v>
      </c>
      <c r="E22" s="35">
        <f>IF(ISBLANK('Personal Rankings'!C21),"",'Personal Rankings'!D21)</f>
        <v>166</v>
      </c>
      <c r="G22" s="12">
        <f t="shared" si="1"/>
        <v>19</v>
      </c>
      <c r="H22" s="34" t="str">
        <f>IF(ISBLANK('Personal Rankings'!H21),"",'Personal Rankings'!H21)</f>
        <v>Melvin Gordon DEN</v>
      </c>
      <c r="I22" s="62">
        <f>IF(ISBLANK('Personal Rankings'!H21),"",([1]RB!$AL$4*G22^5+[1]RB!$AM$4*G22^4+[1]RB!$AN$4*G22^3+[1]RB!$AO$4*G22^2+[1]RB!$AP$4*G22+[1]RB!$AQ$4-'League Settings'!$Q$5)*I$2)</f>
        <v>6.265147461965114</v>
      </c>
      <c r="J22" s="35">
        <f>IF(ISBLANK('Personal Rankings'!H21),"",'Personal Rankings'!I21)</f>
        <v>46</v>
      </c>
      <c r="L22" s="12">
        <f t="shared" si="2"/>
        <v>19</v>
      </c>
      <c r="M22" s="34" t="str">
        <f>IF(ISBLANK('Personal Rankings'!M21),"",'Personal Rankings'!M21)</f>
        <v>Cooper Kupp LAR</v>
      </c>
      <c r="N22" s="62">
        <f>IF(ISBLANK('Personal Rankings'!M21),"",([1]WR!$AL$4*L22^5+[1]WR!$AM$4*L22^4+[1]WR!$AN$4*L22^3+[1]WR!$AO$4*L22^2+[1]WR!$AP$4*L22+[1]WR!$AQ$4-'League Settings'!$Q$6)*N$2)</f>
        <v>0</v>
      </c>
      <c r="O22" s="35">
        <f>IF(ISBLANK('Personal Rankings'!M21),"",'Personal Rankings'!N21)</f>
        <v>38</v>
      </c>
      <c r="Q22" s="12">
        <f t="shared" si="3"/>
        <v>19</v>
      </c>
      <c r="R22" s="34" t="str">
        <f>IF(ISBLANK('Personal Rankings'!R21),"",'Personal Rankings'!R21)</f>
        <v>Jonnu Smith TEN</v>
      </c>
      <c r="S22" s="62">
        <f ca="1">IF(ISBLANK('Personal Rankings'!R21),"",([1]TE!$AL$4*Q22^5+[1]TE!$AM$4*Q22^4+[1]TE!$AN$4*Q22^3+[1]TE!$AO$4*Q22^2+[1]TE!$AP$4*Q22+[1]TE!$AQ$4-'League Settings'!$Q$7)*S$2)</f>
        <v>-9.2167472592876387E-2</v>
      </c>
      <c r="T22" s="35">
        <f>IF(ISBLANK('Personal Rankings'!R21),"",'Personal Rankings'!S21)</f>
        <v>164</v>
      </c>
      <c r="V22" s="12">
        <f t="shared" si="4"/>
        <v>19</v>
      </c>
      <c r="W22" s="34" t="str">
        <f>IF(ISBLANK('Personal Rankings'!W21),"",'Personal Rankings'!W21)</f>
        <v/>
      </c>
      <c r="X22" s="62" t="str">
        <f>IF(ISBLANK('Personal Rankings'!W21),"",([1]DST!$R$4*V22^5+[1]DST!$S$4*V22^4+[1]DST!$T$4*V22^3+[1]DST!$U$4*V22^2+[1]DST!$V$4*V22+[1]DST!$W$4-'League Settings'!$Q$8)*X$2)</f>
        <v/>
      </c>
      <c r="Y22" s="35" t="str">
        <f>IF(ISBLANK('Personal Rankings'!W21),"",'Personal Rankings'!X21)</f>
        <v/>
      </c>
      <c r="AA22" s="12">
        <f t="shared" si="5"/>
        <v>19</v>
      </c>
      <c r="AB22" s="34" t="str">
        <f>IF(ISBLANK('Personal Rankings'!AB21),"",'Personal Rankings'!AB21)</f>
        <v/>
      </c>
      <c r="AC22" s="62" t="str">
        <f>IF(ISBLANK('Personal Rankings'!AB21),"",([1]K!$AG$4*AA22^5+[1]K!$AH$4*AA22^4+[1]K!$AI$4*AA22^3+[1]K!$AJ$4*AA22^2+[1]K!$AK$4*AA22+[1]K!$AL$4-'League Settings'!$Q$9)*AC$2)</f>
        <v/>
      </c>
      <c r="AD22" s="35" t="str">
        <f>IF(ISBLANK('Personal Rankings'!AB21),"",'Personal Rankings'!AC21)</f>
        <v/>
      </c>
    </row>
    <row r="23" spans="2:30" ht="15" thickBot="1" x14ac:dyDescent="0.4">
      <c r="B23" s="12">
        <f t="shared" si="0"/>
        <v>20</v>
      </c>
      <c r="C23" s="34" t="str">
        <f>IF(ISBLANK('Personal Rankings'!C22),"",'Personal Rankings'!C22)</f>
        <v>Daniel Jones NYG</v>
      </c>
      <c r="D23" s="62">
        <f ca="1">IF(ISBLANK('Personal Rankings'!C22),"",([1]QB!$AL$4*B23^5+[1]QB!$AM$4*B23^4+[1]QB!$AN$4*B23^3+[1]QB!$AO$4*B23^2+[1]QB!$AP$4*B23+[1]QB!$AQ$4-'League Settings'!$Q$4)*D$2)</f>
        <v>-0.15608901153716234</v>
      </c>
      <c r="E23" s="35">
        <f>IF(ISBLANK('Personal Rankings'!C22),"",'Personal Rankings'!D22)</f>
        <v>137</v>
      </c>
      <c r="G23" s="12">
        <f t="shared" si="1"/>
        <v>20</v>
      </c>
      <c r="H23" s="34" t="str">
        <f>IF(ISBLANK('Personal Rankings'!H22),"",'Personal Rankings'!H22)</f>
        <v>Le'Veon Bell NYJ</v>
      </c>
      <c r="I23" s="62">
        <f>IF(ISBLANK('Personal Rankings'!H22),"",([1]RB!$AL$4*G23^5+[1]RB!$AM$4*G23^4+[1]RB!$AN$4*G23^3+[1]RB!$AO$4*G23^2+[1]RB!$AP$4*G23+[1]RB!$AQ$4-'League Settings'!$Q$5)*I$2)</f>
        <v>5.842598972858065</v>
      </c>
      <c r="J23" s="35">
        <f>IF(ISBLANK('Personal Rankings'!H22),"",'Personal Rankings'!I22)</f>
        <v>47</v>
      </c>
      <c r="L23" s="12">
        <f t="shared" si="2"/>
        <v>20</v>
      </c>
      <c r="M23" s="34" t="str">
        <f>IF(ISBLANK('Personal Rankings'!M22),"",'Personal Rankings'!M22)</f>
        <v>DK Metcalf SEA</v>
      </c>
      <c r="N23" s="62">
        <f>IF(ISBLANK('Personal Rankings'!M22),"",([1]WR!$AL$4*L23^5+[1]WR!$AM$4*L23^4+[1]WR!$AN$4*L23^3+[1]WR!$AO$4*L23^2+[1]WR!$AP$4*L23+[1]WR!$AQ$4-'League Settings'!$Q$6)*N$2)</f>
        <v>0</v>
      </c>
      <c r="O23" s="35">
        <f>IF(ISBLANK('Personal Rankings'!M22),"",'Personal Rankings'!N22)</f>
        <v>53</v>
      </c>
      <c r="Q23" s="12">
        <f t="shared" si="3"/>
        <v>20</v>
      </c>
      <c r="R23" s="34" t="str">
        <f>IF(ISBLANK('Personal Rankings'!R22),"",'Personal Rankings'!R22)</f>
        <v>Noah Fant DEN</v>
      </c>
      <c r="S23" s="62">
        <f ca="1">IF(ISBLANK('Personal Rankings'!R22),"",([1]TE!$AL$4*Q23^5+[1]TE!$AM$4*Q23^4+[1]TE!$AN$4*Q23^3+[1]TE!$AO$4*Q23^2+[1]TE!$AP$4*Q23+[1]TE!$AQ$4-'League Settings'!$Q$7)*S$2)</f>
        <v>-0.1347411287866126</v>
      </c>
      <c r="T23" s="35">
        <f>IF(ISBLANK('Personal Rankings'!R22),"",'Personal Rankings'!S22)</f>
        <v>113</v>
      </c>
      <c r="V23" s="13">
        <f t="shared" si="4"/>
        <v>20</v>
      </c>
      <c r="W23" s="36" t="str">
        <f>IF(ISBLANK('Personal Rankings'!W22),"",'Personal Rankings'!W22)</f>
        <v/>
      </c>
      <c r="X23" s="62" t="str">
        <f>IF(ISBLANK('Personal Rankings'!W22),"",([1]DST!$R$4*V23^5+[1]DST!$S$4*V23^4+[1]DST!$T$4*V23^3+[1]DST!$U$4*V23^2+[1]DST!$V$4*V23+[1]DST!$W$4-'League Settings'!$Q$8)*X$2)</f>
        <v/>
      </c>
      <c r="Y23" s="35" t="str">
        <f>IF(ISBLANK('Personal Rankings'!W22),"",'Personal Rankings'!X22)</f>
        <v/>
      </c>
      <c r="AA23" s="13">
        <f t="shared" si="5"/>
        <v>20</v>
      </c>
      <c r="AB23" s="36" t="str">
        <f>IF(ISBLANK('Personal Rankings'!AB22),"",'Personal Rankings'!AB22)</f>
        <v/>
      </c>
      <c r="AC23" s="62" t="str">
        <f>IF(ISBLANK('Personal Rankings'!AB22),"",([1]K!$AG$4*AA23^5+[1]K!$AH$4*AA23^4+[1]K!$AI$4*AA23^3+[1]K!$AJ$4*AA23^2+[1]K!$AK$4*AA23+[1]K!$AL$4-'League Settings'!$Q$9)*AC$2)</f>
        <v/>
      </c>
      <c r="AD23" s="35" t="str">
        <f>IF(ISBLANK('Personal Rankings'!AB22),"",'Personal Rankings'!AC22)</f>
        <v/>
      </c>
    </row>
    <row r="24" spans="2:30" x14ac:dyDescent="0.35">
      <c r="B24" s="12">
        <f t="shared" si="0"/>
        <v>21</v>
      </c>
      <c r="C24" s="34" t="str">
        <f>IF(ISBLANK('Personal Rankings'!C23),"",'Personal Rankings'!C23)</f>
        <v>Kirk Cousins MIN</v>
      </c>
      <c r="D24" s="62">
        <f ca="1">IF(ISBLANK('Personal Rankings'!C23),"",([1]QB!$AL$4*B24^5+[1]QB!$AM$4*B24^4+[1]QB!$AN$4*B24^3+[1]QB!$AO$4*B24^2+[1]QB!$AP$4*B24+[1]QB!$AQ$4-'League Settings'!$Q$4)*D$2)</f>
        <v>-0.20590257230979758</v>
      </c>
      <c r="E24" s="35">
        <f>IF(ISBLANK('Personal Rankings'!C23),"",'Personal Rankings'!D23)</f>
        <v>213</v>
      </c>
      <c r="G24" s="12">
        <f t="shared" si="1"/>
        <v>21</v>
      </c>
      <c r="H24" s="34" t="str">
        <f>IF(ISBLANK('Personal Rankings'!H23),"",'Personal Rankings'!H23)</f>
        <v>David Johnson HOU</v>
      </c>
      <c r="I24" s="62">
        <f>IF(ISBLANK('Personal Rankings'!H23),"",([1]RB!$AL$4*G24^5+[1]RB!$AM$4*G24^4+[1]RB!$AN$4*G24^3+[1]RB!$AO$4*G24^2+[1]RB!$AP$4*G24+[1]RB!$AQ$4-'League Settings'!$Q$5)*I$2)</f>
        <v>5.4499571725550231</v>
      </c>
      <c r="J24" s="35">
        <f>IF(ISBLANK('Personal Rankings'!H23),"",'Personal Rankings'!I23)</f>
        <v>40</v>
      </c>
      <c r="L24" s="12">
        <f t="shared" si="2"/>
        <v>21</v>
      </c>
      <c r="M24" s="34" t="str">
        <f>IF(ISBLANK('Personal Rankings'!M23),"",'Personal Rankings'!M23)</f>
        <v>Tyler Lockett SEA</v>
      </c>
      <c r="N24" s="62">
        <f>IF(ISBLANK('Personal Rankings'!M23),"",([1]WR!$AL$4*L24^5+[1]WR!$AM$4*L24^4+[1]WR!$AN$4*L24^3+[1]WR!$AO$4*L24^2+[1]WR!$AP$4*L24+[1]WR!$AQ$4-'League Settings'!$Q$6)*N$2)</f>
        <v>0</v>
      </c>
      <c r="O24" s="35">
        <f>IF(ISBLANK('Personal Rankings'!M23),"",'Personal Rankings'!N23)</f>
        <v>36</v>
      </c>
      <c r="Q24" s="12">
        <f t="shared" si="3"/>
        <v>21</v>
      </c>
      <c r="R24" s="34" t="str">
        <f>IF(ISBLANK('Personal Rankings'!R23),"",'Personal Rankings'!R23)</f>
        <v>Eric Ebron PIT</v>
      </c>
      <c r="S24" s="62">
        <f ca="1">IF(ISBLANK('Personal Rankings'!R23),"",([1]TE!$AL$4*Q24^5+[1]TE!$AM$4*Q24^4+[1]TE!$AN$4*Q24^3+[1]TE!$AO$4*Q24^2+[1]TE!$AP$4*Q24+[1]TE!$AQ$4-'League Settings'!$Q$7)*S$2)</f>
        <v>-0.17552080498211889</v>
      </c>
      <c r="T24" s="35">
        <f>IF(ISBLANK('Personal Rankings'!R23),"",'Personal Rankings'!S23)</f>
        <v>163</v>
      </c>
    </row>
    <row r="25" spans="2:30" x14ac:dyDescent="0.35">
      <c r="B25" s="12">
        <f t="shared" si="0"/>
        <v>22</v>
      </c>
      <c r="C25" s="34" t="str">
        <f>IF(ISBLANK('Personal Rankings'!C24),"",'Personal Rankings'!C24)</f>
        <v>Jimmy Garoppolo SF</v>
      </c>
      <c r="D25" s="62">
        <f ca="1">IF(ISBLANK('Personal Rankings'!C24),"",([1]QB!$AL$4*B25^5+[1]QB!$AM$4*B25^4+[1]QB!$AN$4*B25^3+[1]QB!$AO$4*B25^2+[1]QB!$AP$4*B25+[1]QB!$AQ$4-'League Settings'!$Q$4)*D$2)</f>
        <v>-0.25437747364143837</v>
      </c>
      <c r="E25" s="35">
        <f>IF(ISBLANK('Personal Rankings'!C24),"",'Personal Rankings'!D24)</f>
        <v>169</v>
      </c>
      <c r="G25" s="12">
        <f t="shared" si="1"/>
        <v>22</v>
      </c>
      <c r="H25" s="34" t="str">
        <f>IF(ISBLANK('Personal Rankings'!H24),"",'Personal Rankings'!H24)</f>
        <v>Kareem Hunt CLE</v>
      </c>
      <c r="I25" s="62">
        <f>IF(ISBLANK('Personal Rankings'!H24),"",([1]RB!$AL$4*G25^5+[1]RB!$AM$4*G25^4+[1]RB!$AN$4*G25^3+[1]RB!$AO$4*G25^2+[1]RB!$AP$4*G25+[1]RB!$AQ$4-'League Settings'!$Q$5)*I$2)</f>
        <v>5.0835866603515178</v>
      </c>
      <c r="J25" s="35">
        <f>IF(ISBLANK('Personal Rankings'!H24),"",'Personal Rankings'!I24)</f>
        <v>59</v>
      </c>
      <c r="L25" s="12">
        <f t="shared" si="2"/>
        <v>22</v>
      </c>
      <c r="M25" s="34" t="str">
        <f>IF(ISBLANK('Personal Rankings'!M24),"",'Personal Rankings'!M24)</f>
        <v>DJ Chark Jr. JAC</v>
      </c>
      <c r="N25" s="62">
        <f>IF(ISBLANK('Personal Rankings'!M24),"",([1]WR!$AL$4*L25^5+[1]WR!$AM$4*L25^4+[1]WR!$AN$4*L25^3+[1]WR!$AO$4*L25^2+[1]WR!$AP$4*L25+[1]WR!$AQ$4-'League Settings'!$Q$6)*N$2)</f>
        <v>0</v>
      </c>
      <c r="O25" s="35">
        <f>IF(ISBLANK('Personal Rankings'!M24),"",'Personal Rankings'!N24)</f>
        <v>55</v>
      </c>
      <c r="Q25" s="12">
        <f t="shared" si="3"/>
        <v>22</v>
      </c>
      <c r="R25" s="34" t="str">
        <f>IF(ISBLANK('Personal Rankings'!R24),"",'Personal Rankings'!R24)</f>
        <v/>
      </c>
      <c r="S25" s="62" t="str">
        <f>IF(ISBLANK('Personal Rankings'!R24),"",([1]TE!$AL$4*Q25^5+[1]TE!$AM$4*Q25^4+[1]TE!$AN$4*Q25^3+[1]TE!$AO$4*Q25^2+[1]TE!$AP$4*Q25+[1]TE!$AQ$4-'League Settings'!$Q$7)*S$2)</f>
        <v/>
      </c>
      <c r="T25" s="35" t="str">
        <f>IF(ISBLANK('Personal Rankings'!R24),"",'Personal Rankings'!S24)</f>
        <v/>
      </c>
    </row>
    <row r="26" spans="2:30" x14ac:dyDescent="0.35">
      <c r="B26" s="12">
        <f t="shared" si="0"/>
        <v>23</v>
      </c>
      <c r="C26" s="34" t="str">
        <f>IF(ISBLANK('Personal Rankings'!C25),"",'Personal Rankings'!C25)</f>
        <v>Baker Mayfield CLE</v>
      </c>
      <c r="D26" s="62">
        <f ca="1">IF(ISBLANK('Personal Rankings'!C25),"",([1]QB!$AL$4*B26^5+[1]QB!$AM$4*B26^4+[1]QB!$AN$4*B26^3+[1]QB!$AO$4*B26^2+[1]QB!$AP$4*B26+[1]QB!$AQ$4-'League Settings'!$Q$4)*D$2)</f>
        <v>-0.30232643187674607</v>
      </c>
      <c r="E26" s="35">
        <f>IF(ISBLANK('Personal Rankings'!C25),"",'Personal Rankings'!D25)</f>
        <v>168</v>
      </c>
      <c r="G26" s="12">
        <f t="shared" si="1"/>
        <v>23</v>
      </c>
      <c r="H26" s="34" t="str">
        <f>IF(ISBLANK('Personal Rankings'!H25),"",'Personal Rankings'!H25)</f>
        <v>Raheem Mostert SF</v>
      </c>
      <c r="I26" s="62">
        <f>IF(ISBLANK('Personal Rankings'!H25),"",([1]RB!$AL$4*G26^5+[1]RB!$AM$4*G26^4+[1]RB!$AN$4*G26^3+[1]RB!$AO$4*G26^2+[1]RB!$AP$4*G26+[1]RB!$AQ$4-'League Settings'!$Q$5)*I$2)</f>
        <v>4.740119366175878</v>
      </c>
      <c r="J26" s="35">
        <f>IF(ISBLANK('Personal Rankings'!H25),"",'Personal Rankings'!I25)</f>
        <v>56</v>
      </c>
      <c r="L26" s="12">
        <f t="shared" si="2"/>
        <v>23</v>
      </c>
      <c r="M26" s="34" t="str">
        <f>IF(ISBLANK('Personal Rankings'!M25),"",'Personal Rankings'!M25)</f>
        <v>Courtland Sutton DEN</v>
      </c>
      <c r="N26" s="62">
        <f>IF(ISBLANK('Personal Rankings'!M25),"",([1]WR!$AL$4*L26^5+[1]WR!$AM$4*L26^4+[1]WR!$AN$4*L26^3+[1]WR!$AO$4*L26^2+[1]WR!$AP$4*L26+[1]WR!$AQ$4-'League Settings'!$Q$6)*N$2)</f>
        <v>0</v>
      </c>
      <c r="O26" s="35">
        <f>IF(ISBLANK('Personal Rankings'!M25),"",'Personal Rankings'!N25)</f>
        <v>31</v>
      </c>
      <c r="Q26" s="12">
        <f t="shared" si="3"/>
        <v>23</v>
      </c>
      <c r="R26" s="34" t="str">
        <f>IF(ISBLANK('Personal Rankings'!R25),"",'Personal Rankings'!R25)</f>
        <v/>
      </c>
      <c r="S26" s="62" t="str">
        <f>IF(ISBLANK('Personal Rankings'!R25),"",([1]TE!$AL$4*Q26^5+[1]TE!$AM$4*Q26^4+[1]TE!$AN$4*Q26^3+[1]TE!$AO$4*Q26^2+[1]TE!$AP$4*Q26+[1]TE!$AQ$4-'League Settings'!$Q$7)*S$2)</f>
        <v/>
      </c>
      <c r="T26" s="35" t="str">
        <f>IF(ISBLANK('Personal Rankings'!R25),"",'Personal Rankings'!S25)</f>
        <v/>
      </c>
    </row>
    <row r="27" spans="2:30" x14ac:dyDescent="0.35">
      <c r="B27" s="12">
        <f t="shared" si="0"/>
        <v>24</v>
      </c>
      <c r="C27" s="34" t="str">
        <f>IF(ISBLANK('Personal Rankings'!C26),"",'Personal Rankings'!C26)</f>
        <v>Philip Rivers IND</v>
      </c>
      <c r="D27" s="62">
        <f ca="1">IF(ISBLANK('Personal Rankings'!C26),"",([1]QB!$AL$4*B27^5+[1]QB!$AM$4*B27^4+[1]QB!$AN$4*B27^3+[1]QB!$AO$4*B27^2+[1]QB!$AP$4*B27+[1]QB!$AQ$4-'League Settings'!$Q$4)*D$2)</f>
        <v>-0.35143149909432869</v>
      </c>
      <c r="E27" s="35">
        <f>IF(ISBLANK('Personal Rankings'!C26),"",'Personal Rankings'!D26)</f>
        <v>246</v>
      </c>
      <c r="G27" s="12">
        <f t="shared" si="1"/>
        <v>24</v>
      </c>
      <c r="H27" s="34" t="str">
        <f>IF(ISBLANK('Personal Rankings'!H26),"",'Personal Rankings'!H26)</f>
        <v>Mark Ingram II BAL</v>
      </c>
      <c r="I27" s="62">
        <f>IF(ISBLANK('Personal Rankings'!H26),"",([1]RB!$AL$4*G27^5+[1]RB!$AM$4*G27^4+[1]RB!$AN$4*G27^3+[1]RB!$AO$4*G27^2+[1]RB!$AP$4*G27+[1]RB!$AQ$4-'League Settings'!$Q$5)*I$2)</f>
        <v>4.4164456445244582</v>
      </c>
      <c r="J27" s="35">
        <f>IF(ISBLANK('Personal Rankings'!H26),"",'Personal Rankings'!I26)</f>
        <v>70</v>
      </c>
      <c r="L27" s="12">
        <f t="shared" si="2"/>
        <v>24</v>
      </c>
      <c r="M27" s="34" t="str">
        <f>IF(ISBLANK('Personal Rankings'!M26),"",'Personal Rankings'!M26)</f>
        <v>DeVante Parker MIA</v>
      </c>
      <c r="N27" s="62">
        <f>IF(ISBLANK('Personal Rankings'!M26),"",([1]WR!$AL$4*L27^5+[1]WR!$AM$4*L27^4+[1]WR!$AN$4*L27^3+[1]WR!$AO$4*L27^2+[1]WR!$AP$4*L27+[1]WR!$AQ$4-'League Settings'!$Q$6)*N$2)</f>
        <v>0</v>
      </c>
      <c r="O27" s="35">
        <f>IF(ISBLANK('Personal Rankings'!M26),"",'Personal Rankings'!N26)</f>
        <v>61</v>
      </c>
      <c r="Q27" s="12">
        <f t="shared" si="3"/>
        <v>24</v>
      </c>
      <c r="R27" s="34" t="str">
        <f>IF(ISBLANK('Personal Rankings'!R26),"",'Personal Rankings'!R26)</f>
        <v/>
      </c>
      <c r="S27" s="62" t="str">
        <f>IF(ISBLANK('Personal Rankings'!R26),"",([1]TE!$AL$4*Q27^5+[1]TE!$AM$4*Q27^4+[1]TE!$AN$4*Q27^3+[1]TE!$AO$4*Q27^2+[1]TE!$AP$4*Q27+[1]TE!$AQ$4-'League Settings'!$Q$7)*S$2)</f>
        <v/>
      </c>
      <c r="T27" s="35" t="str">
        <f>IF(ISBLANK('Personal Rankings'!R26),"",'Personal Rankings'!S26)</f>
        <v/>
      </c>
    </row>
    <row r="28" spans="2:30" x14ac:dyDescent="0.35">
      <c r="B28" s="12">
        <f t="shared" si="0"/>
        <v>25</v>
      </c>
      <c r="C28" s="34" t="str">
        <f>IF(ISBLANK('Personal Rankings'!C27),"",'Personal Rankings'!C27)</f>
        <v>Drew Lock DEN</v>
      </c>
      <c r="D28" s="62">
        <f ca="1">IF(ISBLANK('Personal Rankings'!C27),"",([1]QB!$AL$4*B28^5+[1]QB!$AM$4*B28^4+[1]QB!$AN$4*B28^3+[1]QB!$AO$4*B28^2+[1]QB!$AP$4*B28+[1]QB!$AQ$4-'League Settings'!$Q$4)*D$2)</f>
        <v>-0.40441212239899432</v>
      </c>
      <c r="E28" s="35">
        <f>IF(ISBLANK('Personal Rankings'!C27),"",'Personal Rankings'!D27)</f>
        <v>244</v>
      </c>
      <c r="G28" s="12">
        <f t="shared" si="1"/>
        <v>25</v>
      </c>
      <c r="H28" s="34" t="str">
        <f>IF(ISBLANK('Personal Rankings'!H27),"",'Personal Rankings'!H27)</f>
        <v>David Montgomery CHI</v>
      </c>
      <c r="I28" s="62">
        <f>IF(ISBLANK('Personal Rankings'!H27),"",([1]RB!$AL$4*G28^5+[1]RB!$AM$4*G28^4+[1]RB!$AN$4*G28^3+[1]RB!$AO$4*G28^2+[1]RB!$AP$4*G28+[1]RB!$AQ$4-'League Settings'!$Q$5)*I$2)</f>
        <v>4.1097053683968801</v>
      </c>
      <c r="J28" s="35">
        <f>IF(ISBLANK('Personal Rankings'!H27),"",'Personal Rankings'!I27)</f>
        <v>57</v>
      </c>
      <c r="L28" s="12">
        <f t="shared" si="2"/>
        <v>25</v>
      </c>
      <c r="M28" s="34" t="str">
        <f>IF(ISBLANK('Personal Rankings'!M27),"",'Personal Rankings'!M27)</f>
        <v>Keenan Allen LAC</v>
      </c>
      <c r="N28" s="62">
        <f>IF(ISBLANK('Personal Rankings'!M27),"",([1]WR!$AL$4*L28^5+[1]WR!$AM$4*L28^4+[1]WR!$AN$4*L28^3+[1]WR!$AO$4*L28^2+[1]WR!$AP$4*L28+[1]WR!$AQ$4-'League Settings'!$Q$6)*N$2)</f>
        <v>0</v>
      </c>
      <c r="O28" s="35">
        <f>IF(ISBLANK('Personal Rankings'!M27),"",'Personal Rankings'!N27)</f>
        <v>52</v>
      </c>
      <c r="Q28" s="12">
        <f t="shared" si="3"/>
        <v>25</v>
      </c>
      <c r="R28" s="34" t="str">
        <f>IF(ISBLANK('Personal Rankings'!R27),"",'Personal Rankings'!R27)</f>
        <v/>
      </c>
      <c r="S28" s="62" t="str">
        <f>IF(ISBLANK('Personal Rankings'!R27),"",([1]TE!$AL$4*Q28^5+[1]TE!$AM$4*Q28^4+[1]TE!$AN$4*Q28^3+[1]TE!$AO$4*Q28^2+[1]TE!$AP$4*Q28+[1]TE!$AQ$4-'League Settings'!$Q$7)*S$2)</f>
        <v/>
      </c>
      <c r="T28" s="35" t="str">
        <f>IF(ISBLANK('Personal Rankings'!R27),"",'Personal Rankings'!S27)</f>
        <v/>
      </c>
    </row>
    <row r="29" spans="2:30" x14ac:dyDescent="0.35">
      <c r="B29" s="12">
        <f t="shared" si="0"/>
        <v>26</v>
      </c>
      <c r="C29" s="34" t="str">
        <f>IF(ISBLANK('Personal Rankings'!C28),"",'Personal Rankings'!C28)</f>
        <v/>
      </c>
      <c r="D29" s="62" t="str">
        <f>IF(ISBLANK('Personal Rankings'!C28),"",([1]QB!$AL$4*B29^5+[1]QB!$AM$4*B29^4+[1]QB!$AN$4*B29^3+[1]QB!$AO$4*B29^2+[1]QB!$AP$4*B29+[1]QB!$AQ$4-'League Settings'!$Q$4)*D$2)</f>
        <v/>
      </c>
      <c r="E29" s="35" t="str">
        <f>IF(ISBLANK('Personal Rankings'!C28),"",'Personal Rankings'!D28)</f>
        <v/>
      </c>
      <c r="G29" s="12">
        <f t="shared" si="1"/>
        <v>26</v>
      </c>
      <c r="H29" s="34" t="str">
        <f>IF(ISBLANK('Personal Rankings'!H28),"",'Personal Rankings'!H28)</f>
        <v>Leonard Fournette JAC</v>
      </c>
      <c r="I29" s="62">
        <f>IF(ISBLANK('Personal Rankings'!H28),"",([1]RB!$AL$4*G29^5+[1]RB!$AM$4*G29^4+[1]RB!$AN$4*G29^3+[1]RB!$AO$4*G29^2+[1]RB!$AP$4*G29+[1]RB!$AQ$4-'League Settings'!$Q$5)*I$2)</f>
        <v>3.8172790232312934</v>
      </c>
      <c r="J29" s="35">
        <f>IF(ISBLANK('Personal Rankings'!H28),"",'Personal Rankings'!I28)</f>
        <v>85</v>
      </c>
      <c r="L29" s="12">
        <f t="shared" si="2"/>
        <v>26</v>
      </c>
      <c r="M29" s="34" t="str">
        <f>IF(ISBLANK('Personal Rankings'!M28),"",'Personal Rankings'!M28)</f>
        <v>Stefon Diggs BUF</v>
      </c>
      <c r="N29" s="62">
        <f>IF(ISBLANK('Personal Rankings'!M28),"",([1]WR!$AL$4*L29^5+[1]WR!$AM$4*L29^4+[1]WR!$AN$4*L29^3+[1]WR!$AO$4*L29^2+[1]WR!$AP$4*L29+[1]WR!$AQ$4-'League Settings'!$Q$6)*N$2)</f>
        <v>0</v>
      </c>
      <c r="O29" s="35">
        <f>IF(ISBLANK('Personal Rankings'!M28),"",'Personal Rankings'!N28)</f>
        <v>64</v>
      </c>
      <c r="Q29" s="12">
        <f t="shared" si="3"/>
        <v>26</v>
      </c>
      <c r="R29" s="34" t="str">
        <f>IF(ISBLANK('Personal Rankings'!R28),"",'Personal Rankings'!R28)</f>
        <v/>
      </c>
      <c r="S29" s="62" t="str">
        <f>IF(ISBLANK('Personal Rankings'!R28),"",([1]TE!$AL$4*Q29^5+[1]TE!$AM$4*Q29^4+[1]TE!$AN$4*Q29^3+[1]TE!$AO$4*Q29^2+[1]TE!$AP$4*Q29+[1]TE!$AQ$4-'League Settings'!$Q$7)*S$2)</f>
        <v/>
      </c>
      <c r="T29" s="35" t="str">
        <f>IF(ISBLANK('Personal Rankings'!R28),"",'Personal Rankings'!S28)</f>
        <v/>
      </c>
    </row>
    <row r="30" spans="2:30" x14ac:dyDescent="0.35">
      <c r="B30" s="12">
        <f t="shared" si="0"/>
        <v>27</v>
      </c>
      <c r="C30" s="34" t="str">
        <f>IF(ISBLANK('Personal Rankings'!C29),"",'Personal Rankings'!C29)</f>
        <v/>
      </c>
      <c r="D30" s="62" t="str">
        <f>IF(ISBLANK('Personal Rankings'!C29),"",([1]QB!$AL$4*B30^5+[1]QB!$AM$4*B30^4+[1]QB!$AN$4*B30^3+[1]QB!$AO$4*B30^2+[1]QB!$AP$4*B30+[1]QB!$AQ$4-'League Settings'!$Q$4)*D$2)</f>
        <v/>
      </c>
      <c r="E30" s="35" t="str">
        <f>IF(ISBLANK('Personal Rankings'!C29),"",'Personal Rankings'!D29)</f>
        <v/>
      </c>
      <c r="G30" s="12">
        <f t="shared" si="1"/>
        <v>27</v>
      </c>
      <c r="H30" s="34" t="str">
        <f>IF(ISBLANK('Personal Rankings'!H29),"",'Personal Rankings'!H29)</f>
        <v>Antonio Gibson WAS</v>
      </c>
      <c r="I30" s="62">
        <f>IF(ISBLANK('Personal Rankings'!H29),"",([1]RB!$AL$4*G30^5+[1]RB!$AM$4*G30^4+[1]RB!$AN$4*G30^3+[1]RB!$AO$4*G30^2+[1]RB!$AP$4*G30+[1]RB!$AQ$4-'League Settings'!$Q$5)*I$2)</f>
        <v>3.5367788008395906</v>
      </c>
      <c r="J30" s="35">
        <f>IF(ISBLANK('Personal Rankings'!H29),"",'Personal Rankings'!I29)</f>
        <v>60</v>
      </c>
      <c r="L30" s="12">
        <f t="shared" si="2"/>
        <v>27</v>
      </c>
      <c r="M30" s="34" t="str">
        <f>IF(ISBLANK('Personal Rankings'!M29),"",'Personal Rankings'!M29)</f>
        <v>Tyler Boyd CIN</v>
      </c>
      <c r="N30" s="62">
        <f>IF(ISBLANK('Personal Rankings'!M29),"",([1]WR!$AL$4*L30^5+[1]WR!$AM$4*L30^4+[1]WR!$AN$4*L30^3+[1]WR!$AO$4*L30^2+[1]WR!$AP$4*L30+[1]WR!$AQ$4-'League Settings'!$Q$6)*N$2)</f>
        <v>0</v>
      </c>
      <c r="O30" s="35">
        <f>IF(ISBLANK('Personal Rankings'!M29),"",'Personal Rankings'!N29)</f>
        <v>65</v>
      </c>
      <c r="Q30" s="12">
        <f t="shared" si="3"/>
        <v>27</v>
      </c>
      <c r="R30" s="34" t="str">
        <f>IF(ISBLANK('Personal Rankings'!R29),"",'Personal Rankings'!R29)</f>
        <v/>
      </c>
      <c r="S30" s="62" t="str">
        <f>IF(ISBLANK('Personal Rankings'!R29),"",([1]TE!$AL$4*Q30^5+[1]TE!$AM$4*Q30^4+[1]TE!$AN$4*Q30^3+[1]TE!$AO$4*Q30^2+[1]TE!$AP$4*Q30+[1]TE!$AQ$4-'League Settings'!$Q$7)*S$2)</f>
        <v/>
      </c>
      <c r="T30" s="35" t="str">
        <f>IF(ISBLANK('Personal Rankings'!R29),"",'Personal Rankings'!S29)</f>
        <v/>
      </c>
    </row>
    <row r="31" spans="2:30" x14ac:dyDescent="0.35">
      <c r="B31" s="12">
        <f t="shared" si="0"/>
        <v>28</v>
      </c>
      <c r="C31" s="34" t="str">
        <f>IF(ISBLANK('Personal Rankings'!C30),"",'Personal Rankings'!C30)</f>
        <v/>
      </c>
      <c r="D31" s="62" t="str">
        <f>IF(ISBLANK('Personal Rankings'!C30),"",([1]QB!$AL$4*B31^5+[1]QB!$AM$4*B31^4+[1]QB!$AN$4*B31^3+[1]QB!$AO$4*B31^2+[1]QB!$AP$4*B31+[1]QB!$AQ$4-'League Settings'!$Q$4)*D$2)</f>
        <v/>
      </c>
      <c r="E31" s="35" t="str">
        <f>IF(ISBLANK('Personal Rankings'!C30),"",'Personal Rankings'!D30)</f>
        <v/>
      </c>
      <c r="G31" s="12">
        <f t="shared" si="1"/>
        <v>28</v>
      </c>
      <c r="H31" s="34" t="str">
        <f>IF(ISBLANK('Personal Rankings'!H30),"",'Personal Rankings'!H30)</f>
        <v>Cam Akers LAR</v>
      </c>
      <c r="I31" s="62">
        <f>IF(ISBLANK('Personal Rankings'!H30),"",([1]RB!$AL$4*G31^5+[1]RB!$AM$4*G31^4+[1]RB!$AN$4*G31^3+[1]RB!$AO$4*G31^2+[1]RB!$AP$4*G31+[1]RB!$AQ$4-'League Settings'!$Q$5)*I$2)</f>
        <v>3.2660396933427083</v>
      </c>
      <c r="J31" s="35">
        <f>IF(ISBLANK('Personal Rankings'!H30),"",'Personal Rankings'!I30)</f>
        <v>48</v>
      </c>
      <c r="L31" s="12">
        <f t="shared" si="2"/>
        <v>28</v>
      </c>
      <c r="M31" s="34" t="str">
        <f>IF(ISBLANK('Personal Rankings'!M30),"",'Personal Rankings'!M30)</f>
        <v>Michael Gallup DAL</v>
      </c>
      <c r="N31" s="62">
        <f>IF(ISBLANK('Personal Rankings'!M30),"",([1]WR!$AL$4*L31^5+[1]WR!$AM$4*L31^4+[1]WR!$AN$4*L31^3+[1]WR!$AO$4*L31^2+[1]WR!$AP$4*L31+[1]WR!$AQ$4-'League Settings'!$Q$6)*N$2)</f>
        <v>0</v>
      </c>
      <c r="O31" s="35">
        <f>IF(ISBLANK('Personal Rankings'!M30),"",'Personal Rankings'!N30)</f>
        <v>62</v>
      </c>
      <c r="Q31" s="12">
        <f t="shared" si="3"/>
        <v>28</v>
      </c>
      <c r="R31" s="34" t="str">
        <f>IF(ISBLANK('Personal Rankings'!R30),"",'Personal Rankings'!R30)</f>
        <v/>
      </c>
      <c r="S31" s="62" t="str">
        <f>IF(ISBLANK('Personal Rankings'!R30),"",([1]TE!$AL$4*Q31^5+[1]TE!$AM$4*Q31^4+[1]TE!$AN$4*Q31^3+[1]TE!$AO$4*Q31^2+[1]TE!$AP$4*Q31+[1]TE!$AQ$4-'League Settings'!$Q$7)*S$2)</f>
        <v/>
      </c>
      <c r="T31" s="35" t="str">
        <f>IF(ISBLANK('Personal Rankings'!R30),"",'Personal Rankings'!S30)</f>
        <v/>
      </c>
    </row>
    <row r="32" spans="2:30" x14ac:dyDescent="0.35">
      <c r="B32" s="12">
        <f t="shared" si="0"/>
        <v>29</v>
      </c>
      <c r="C32" s="34" t="str">
        <f>IF(ISBLANK('Personal Rankings'!C31),"",'Personal Rankings'!C31)</f>
        <v/>
      </c>
      <c r="D32" s="62" t="str">
        <f>IF(ISBLANK('Personal Rankings'!C31),"",([1]QB!$AL$4*B32^5+[1]QB!$AM$4*B32^4+[1]QB!$AN$4*B32^3+[1]QB!$AO$4*B32^2+[1]QB!$AP$4*B32+[1]QB!$AQ$4-'League Settings'!$Q$4)*D$2)</f>
        <v/>
      </c>
      <c r="E32" s="35" t="str">
        <f>IF(ISBLANK('Personal Rankings'!C31),"",'Personal Rankings'!D31)</f>
        <v/>
      </c>
      <c r="G32" s="12">
        <f t="shared" si="1"/>
        <v>29</v>
      </c>
      <c r="H32" s="34" t="str">
        <f>IF(ISBLANK('Personal Rankings'!H31),"",'Personal Rankings'!H31)</f>
        <v>D'Andre Swift DET</v>
      </c>
      <c r="I32" s="62">
        <f>IF(ISBLANK('Personal Rankings'!H31),"",([1]RB!$AL$4*G32^5+[1]RB!$AM$4*G32^4+[1]RB!$AN$4*G32^3+[1]RB!$AO$4*G32^2+[1]RB!$AP$4*G32+[1]RB!$AQ$4-'League Settings'!$Q$5)*I$2)</f>
        <v>3.0031105871058061</v>
      </c>
      <c r="J32" s="35">
        <f>IF(ISBLANK('Personal Rankings'!H31),"",'Personal Rankings'!I31)</f>
        <v>49</v>
      </c>
      <c r="L32" s="12">
        <f t="shared" si="2"/>
        <v>29</v>
      </c>
      <c r="M32" s="34" t="str">
        <f>IF(ISBLANK('Personal Rankings'!M31),"",'Personal Rankings'!M31)</f>
        <v>T.Y. Hilton IND</v>
      </c>
      <c r="N32" s="62">
        <f>IF(ISBLANK('Personal Rankings'!M31),"",([1]WR!$AL$4*L32^5+[1]WR!$AM$4*L32^4+[1]WR!$AN$4*L32^3+[1]WR!$AO$4*L32^2+[1]WR!$AP$4*L32+[1]WR!$AQ$4-'League Settings'!$Q$6)*N$2)</f>
        <v>0</v>
      </c>
      <c r="O32" s="35">
        <f>IF(ISBLANK('Personal Rankings'!M31),"",'Personal Rankings'!N31)</f>
        <v>51</v>
      </c>
      <c r="Q32" s="12">
        <f t="shared" si="3"/>
        <v>29</v>
      </c>
      <c r="R32" s="34" t="str">
        <f>IF(ISBLANK('Personal Rankings'!R31),"",'Personal Rankings'!R31)</f>
        <v/>
      </c>
      <c r="S32" s="62" t="str">
        <f>IF(ISBLANK('Personal Rankings'!R31),"",([1]TE!$AL$4*Q32^5+[1]TE!$AM$4*Q32^4+[1]TE!$AN$4*Q32^3+[1]TE!$AO$4*Q32^2+[1]TE!$AP$4*Q32+[1]TE!$AQ$4-'League Settings'!$Q$7)*S$2)</f>
        <v/>
      </c>
      <c r="T32" s="35" t="str">
        <f>IF(ISBLANK('Personal Rankings'!R31),"",'Personal Rankings'!S31)</f>
        <v/>
      </c>
    </row>
    <row r="33" spans="2:20" ht="15" thickBot="1" x14ac:dyDescent="0.4">
      <c r="B33" s="13">
        <f t="shared" si="0"/>
        <v>30</v>
      </c>
      <c r="C33" s="36" t="str">
        <f>IF(ISBLANK('Personal Rankings'!C32),"",'Personal Rankings'!C32)</f>
        <v/>
      </c>
      <c r="D33" s="62" t="str">
        <f>IF(ISBLANK('Personal Rankings'!C32),"",([1]QB!$AL$4*B33^5+[1]QB!$AM$4*B33^4+[1]QB!$AN$4*B33^3+[1]QB!$AO$4*B33^2+[1]QB!$AP$4*B33+[1]QB!$AQ$4-'League Settings'!$Q$4)*D$2)</f>
        <v/>
      </c>
      <c r="E33" s="35" t="str">
        <f>IF(ISBLANK('Personal Rankings'!C32),"",'Personal Rankings'!D32)</f>
        <v/>
      </c>
      <c r="G33" s="12">
        <f t="shared" si="1"/>
        <v>30</v>
      </c>
      <c r="H33" s="34" t="str">
        <f>IF(ISBLANK('Personal Rankings'!H32),"",'Personal Rankings'!H32)</f>
        <v>Devin Singletary BUF</v>
      </c>
      <c r="I33" s="62">
        <f>IF(ISBLANK('Personal Rankings'!H32),"",([1]RB!$AL$4*G33^5+[1]RB!$AM$4*G33^4+[1]RB!$AN$4*G33^3+[1]RB!$AO$4*G33^2+[1]RB!$AP$4*G33+[1]RB!$AQ$4-'League Settings'!$Q$5)*I$2)</f>
        <v>2.7462453566735179</v>
      </c>
      <c r="J33" s="35">
        <f>IF(ISBLANK('Personal Rankings'!H32),"",'Personal Rankings'!I32)</f>
        <v>58</v>
      </c>
      <c r="L33" s="12">
        <f t="shared" si="2"/>
        <v>30</v>
      </c>
      <c r="M33" s="34" t="str">
        <f>IF(ISBLANK('Personal Rankings'!M32),"",'Personal Rankings'!M32)</f>
        <v>Will Fuller V HOU</v>
      </c>
      <c r="N33" s="62">
        <f>IF(ISBLANK('Personal Rankings'!M32),"",([1]WR!$AL$4*L33^5+[1]WR!$AM$4*L33^4+[1]WR!$AN$4*L33^3+[1]WR!$AO$4*L33^2+[1]WR!$AP$4*L33+[1]WR!$AQ$4-'League Settings'!$Q$6)*N$2)</f>
        <v>0</v>
      </c>
      <c r="O33" s="35">
        <f>IF(ISBLANK('Personal Rankings'!M32),"",'Personal Rankings'!N32)</f>
        <v>66</v>
      </c>
      <c r="Q33" s="13">
        <f t="shared" si="3"/>
        <v>30</v>
      </c>
      <c r="R33" s="36" t="str">
        <f>IF(ISBLANK('Personal Rankings'!R32),"",'Personal Rankings'!R32)</f>
        <v/>
      </c>
      <c r="S33" s="62" t="str">
        <f>IF(ISBLANK('Personal Rankings'!R32),"",([1]TE!$AL$4*Q33^5+[1]TE!$AM$4*Q33^4+[1]TE!$AN$4*Q33^3+[1]TE!$AO$4*Q33^2+[1]TE!$AP$4*Q33+[1]TE!$AQ$4-'League Settings'!$Q$7)*S$2)</f>
        <v/>
      </c>
      <c r="T33" s="35" t="str">
        <f>IF(ISBLANK('Personal Rankings'!R32),"",'Personal Rankings'!S32)</f>
        <v/>
      </c>
    </row>
    <row r="34" spans="2:20" x14ac:dyDescent="0.35">
      <c r="G34" s="12">
        <f t="shared" si="1"/>
        <v>31</v>
      </c>
      <c r="H34" s="34" t="str">
        <f>IF(ISBLANK('Personal Rankings'!H33),"",'Personal Rankings'!H33)</f>
        <v>Jordan Howard MIA</v>
      </c>
      <c r="I34" s="62">
        <f>IF(ISBLANK('Personal Rankings'!H33),"",([1]RB!$AL$4*G34^5+[1]RB!$AM$4*G34^4+[1]RB!$AN$4*G34^3+[1]RB!$AO$4*G34^2+[1]RB!$AP$4*G34+[1]RB!$AQ$4-'League Settings'!$Q$5)*I$2)</f>
        <v>2.493893958705252</v>
      </c>
      <c r="J34" s="35">
        <f>IF(ISBLANK('Personal Rankings'!H33),"",'Personal Rankings'!I33)</f>
        <v>87</v>
      </c>
      <c r="L34" s="12">
        <f t="shared" si="2"/>
        <v>31</v>
      </c>
      <c r="M34" s="34" t="str">
        <f>IF(ISBLANK('Personal Rankings'!M33),"",'Personal Rankings'!M33)</f>
        <v>Marquise Brown BAL</v>
      </c>
      <c r="N34" s="62">
        <f>IF(ISBLANK('Personal Rankings'!M33),"",([1]WR!$AL$4*L34^5+[1]WR!$AM$4*L34^4+[1]WR!$AN$4*L34^3+[1]WR!$AO$4*L34^2+[1]WR!$AP$4*L34+[1]WR!$AQ$4-'League Settings'!$Q$6)*N$2)</f>
        <v>0</v>
      </c>
      <c r="O34" s="35">
        <f>IF(ISBLANK('Personal Rankings'!M33),"",'Personal Rankings'!N33)</f>
        <v>67</v>
      </c>
    </row>
    <row r="35" spans="2:20" x14ac:dyDescent="0.35">
      <c r="G35" s="12">
        <f t="shared" si="1"/>
        <v>32</v>
      </c>
      <c r="H35" s="34" t="str">
        <f>IF(ISBLANK('Personal Rankings'!H34),"",'Personal Rankings'!H34)</f>
        <v>J.K. Dobbins BAL</v>
      </c>
      <c r="I35" s="62">
        <f>IF(ISBLANK('Personal Rankings'!H34),"",([1]RB!$AL$4*G35^5+[1]RB!$AM$4*G35^4+[1]RB!$AN$4*G35^3+[1]RB!$AO$4*G35^2+[1]RB!$AP$4*G35+[1]RB!$AQ$4-'League Settings'!$Q$5)*I$2)</f>
        <v>2.2446935259103613</v>
      </c>
      <c r="J35" s="35">
        <f>IF(ISBLANK('Personal Rankings'!H34),"",'Personal Rankings'!I34)</f>
        <v>88</v>
      </c>
      <c r="L35" s="12">
        <f t="shared" si="2"/>
        <v>32</v>
      </c>
      <c r="M35" s="34" t="str">
        <f>IF(ISBLANK('Personal Rankings'!M34),"",'Personal Rankings'!M34)</f>
        <v>Diontae Johnson PIT</v>
      </c>
      <c r="N35" s="62">
        <f>IF(ISBLANK('Personal Rankings'!M34),"",([1]WR!$AL$4*L35^5+[1]WR!$AM$4*L35^4+[1]WR!$AN$4*L35^3+[1]WR!$AO$4*L35^2+[1]WR!$AP$4*L35+[1]WR!$AQ$4-'League Settings'!$Q$6)*N$2)</f>
        <v>0</v>
      </c>
      <c r="O35" s="35">
        <f>IF(ISBLANK('Personal Rankings'!M34),"",'Personal Rankings'!N34)</f>
        <v>81</v>
      </c>
    </row>
    <row r="36" spans="2:20" x14ac:dyDescent="0.35">
      <c r="G36" s="12">
        <f t="shared" si="1"/>
        <v>33</v>
      </c>
      <c r="H36" s="34" t="str">
        <f>IF(ISBLANK('Personal Rankings'!H35),"",'Personal Rankings'!H35)</f>
        <v>Tarik Cohen CHI</v>
      </c>
      <c r="I36" s="62">
        <f>IF(ISBLANK('Personal Rankings'!H35),"",([1]RB!$AL$4*G36^5+[1]RB!$AM$4*G36^4+[1]RB!$AN$4*G36^3+[1]RB!$AO$4*G36^2+[1]RB!$AP$4*G36+[1]RB!$AQ$4-'League Settings'!$Q$5)*I$2)</f>
        <v>1.9974594609834129</v>
      </c>
      <c r="J36" s="35">
        <f>IF(ISBLANK('Personal Rankings'!H35),"",'Personal Rankings'!I35)</f>
        <v>90</v>
      </c>
      <c r="L36" s="12">
        <f t="shared" si="2"/>
        <v>33</v>
      </c>
      <c r="M36" s="34" t="str">
        <f>IF(ISBLANK('Personal Rankings'!M35),"",'Personal Rankings'!M35)</f>
        <v>Marvin Jones Jr. DET</v>
      </c>
      <c r="N36" s="62">
        <f>IF(ISBLANK('Personal Rankings'!M35),"",([1]WR!$AL$4*L36^5+[1]WR!$AM$4*L36^4+[1]WR!$AN$4*L36^3+[1]WR!$AO$4*L36^2+[1]WR!$AP$4*L36+[1]WR!$AQ$4-'League Settings'!$Q$6)*N$2)</f>
        <v>0</v>
      </c>
      <c r="O36" s="35">
        <f>IF(ISBLANK('Personal Rankings'!M35),"",'Personal Rankings'!N35)</f>
        <v>77</v>
      </c>
    </row>
    <row r="37" spans="2:20" x14ac:dyDescent="0.35">
      <c r="G37" s="12">
        <f t="shared" si="1"/>
        <v>34</v>
      </c>
      <c r="H37" s="34" t="str">
        <f>IF(ISBLANK('Personal Rankings'!H36),"",'Personal Rankings'!H36)</f>
        <v>Phillip Lindsay DEN</v>
      </c>
      <c r="I37" s="62">
        <f>IF(ISBLANK('Personal Rankings'!H36),"",([1]RB!$AL$4*G37^5+[1]RB!$AM$4*G37^4+[1]RB!$AN$4*G37^3+[1]RB!$AO$4*G37^2+[1]RB!$AP$4*G37+[1]RB!$AQ$4-'League Settings'!$Q$5)*I$2)</f>
        <v>1.7511765305394988</v>
      </c>
      <c r="J37" s="35">
        <f>IF(ISBLANK('Personal Rankings'!H36),"",'Personal Rankings'!I36)</f>
        <v>86</v>
      </c>
      <c r="L37" s="12">
        <f t="shared" si="2"/>
        <v>34</v>
      </c>
      <c r="M37" s="34" t="str">
        <f>IF(ISBLANK('Personal Rankings'!M36),"",'Personal Rankings'!M36)</f>
        <v>Brandin Cooks HOU</v>
      </c>
      <c r="N37" s="62">
        <f>IF(ISBLANK('Personal Rankings'!M36),"",([1]WR!$AL$4*L37^5+[1]WR!$AM$4*L37^4+[1]WR!$AN$4*L37^3+[1]WR!$AO$4*L37^2+[1]WR!$AP$4*L37+[1]WR!$AQ$4-'League Settings'!$Q$6)*N$2)</f>
        <v>0</v>
      </c>
      <c r="O37" s="35">
        <f>IF(ISBLANK('Personal Rankings'!M36),"",'Personal Rankings'!N36)</f>
        <v>80</v>
      </c>
    </row>
    <row r="38" spans="2:20" x14ac:dyDescent="0.35">
      <c r="G38" s="12">
        <f t="shared" si="1"/>
        <v>35</v>
      </c>
      <c r="H38" s="34" t="str">
        <f>IF(ISBLANK('Personal Rankings'!H37),"",'Personal Rankings'!H37)</f>
        <v>James White NE</v>
      </c>
      <c r="I38" s="62">
        <f>IF(ISBLANK('Personal Rankings'!H37),"",([1]RB!$AL$4*G38^5+[1]RB!$AM$4*G38^4+[1]RB!$AN$4*G38^3+[1]RB!$AO$4*G38^2+[1]RB!$AP$4*G38+[1]RB!$AQ$4-'League Settings'!$Q$5)*I$2)</f>
        <v>1.5049899590493283</v>
      </c>
      <c r="J38" s="35">
        <f>IF(ISBLANK('Personal Rankings'!H37),"",'Personal Rankings'!I37)</f>
        <v>93</v>
      </c>
      <c r="L38" s="12">
        <f t="shared" si="2"/>
        <v>35</v>
      </c>
      <c r="M38" s="34" t="str">
        <f>IF(ISBLANK('Personal Rankings'!M37),"",'Personal Rankings'!M37)</f>
        <v>A.J. Green CIN</v>
      </c>
      <c r="N38" s="62">
        <f>IF(ISBLANK('Personal Rankings'!M37),"",([1]WR!$AL$4*L38^5+[1]WR!$AM$4*L38^4+[1]WR!$AN$4*L38^3+[1]WR!$AO$4*L38^2+[1]WR!$AP$4*L38+[1]WR!$AQ$4-'League Settings'!$Q$6)*N$2)</f>
        <v>0</v>
      </c>
      <c r="O38" s="35">
        <f>IF(ISBLANK('Personal Rankings'!M37),"",'Personal Rankings'!N37)</f>
        <v>63</v>
      </c>
    </row>
    <row r="39" spans="2:20" x14ac:dyDescent="0.35">
      <c r="G39" s="12">
        <f t="shared" si="1"/>
        <v>36</v>
      </c>
      <c r="H39" s="34" t="str">
        <f>IF(ISBLANK('Personal Rankings'!H38),"",'Personal Rankings'!H38)</f>
        <v>Zack Moss BUF</v>
      </c>
      <c r="I39" s="62">
        <f>IF(ISBLANK('Personal Rankings'!H38),"",([1]RB!$AL$4*G39^5+[1]RB!$AM$4*G39^4+[1]RB!$AN$4*G39^3+[1]RB!$AO$4*G39^2+[1]RB!$AP$4*G39+[1]RB!$AQ$4-'League Settings'!$Q$5)*I$2)</f>
        <v>1.2581965227746652</v>
      </c>
      <c r="J39" s="35">
        <f>IF(ISBLANK('Personal Rankings'!H38),"",'Personal Rankings'!I38)</f>
        <v>89</v>
      </c>
      <c r="L39" s="12">
        <f t="shared" si="2"/>
        <v>36</v>
      </c>
      <c r="M39" s="34" t="str">
        <f>IF(ISBLANK('Personal Rankings'!M38),"",'Personal Rankings'!M38)</f>
        <v>Jarvis Landry CLE</v>
      </c>
      <c r="N39" s="62">
        <f>IF(ISBLANK('Personal Rankings'!M38),"",([1]WR!$AL$4*L39^5+[1]WR!$AM$4*L39^4+[1]WR!$AN$4*L39^3+[1]WR!$AO$4*L39^2+[1]WR!$AP$4*L39+[1]WR!$AQ$4-'League Settings'!$Q$6)*N$2)</f>
        <v>0</v>
      </c>
      <c r="O39" s="35">
        <f>IF(ISBLANK('Personal Rankings'!M38),"",'Personal Rankings'!N38)</f>
        <v>54</v>
      </c>
    </row>
    <row r="40" spans="2:20" x14ac:dyDescent="0.35">
      <c r="G40" s="12">
        <f t="shared" si="1"/>
        <v>37</v>
      </c>
      <c r="H40" s="34" t="str">
        <f>IF(ISBLANK('Personal Rankings'!H39),"",'Personal Rankings'!H39)</f>
        <v>Latavius Murray NO</v>
      </c>
      <c r="I40" s="62">
        <f>IF(ISBLANK('Personal Rankings'!H39),"",([1]RB!$AL$4*G40^5+[1]RB!$AM$4*G40^4+[1]RB!$AN$4*G40^3+[1]RB!$AO$4*G40^2+[1]RB!$AP$4*G40+[1]RB!$AQ$4-'League Settings'!$Q$5)*I$2)</f>
        <v>1.0102356437033222</v>
      </c>
      <c r="J40" s="35">
        <f>IF(ISBLANK('Personal Rankings'!H39),"",'Personal Rankings'!I39)</f>
        <v>105</v>
      </c>
      <c r="L40" s="12">
        <f t="shared" si="2"/>
        <v>37</v>
      </c>
      <c r="M40" s="34" t="str">
        <f>IF(ISBLANK('Personal Rankings'!M39),"",'Personal Rankings'!M39)</f>
        <v>Julian Edelman NE</v>
      </c>
      <c r="N40" s="62">
        <f>IF(ISBLANK('Personal Rankings'!M39),"",([1]WR!$AL$4*L40^5+[1]WR!$AM$4*L40^4+[1]WR!$AN$4*L40^3+[1]WR!$AO$4*L40^2+[1]WR!$AP$4*L40+[1]WR!$AQ$4-'League Settings'!$Q$6)*N$2)</f>
        <v>0</v>
      </c>
      <c r="O40" s="35">
        <f>IF(ISBLANK('Personal Rankings'!M39),"",'Personal Rankings'!N39)</f>
        <v>78</v>
      </c>
    </row>
    <row r="41" spans="2:20" x14ac:dyDescent="0.35">
      <c r="G41" s="12">
        <f t="shared" si="1"/>
        <v>38</v>
      </c>
      <c r="H41" s="34" t="str">
        <f>IF(ISBLANK('Personal Rankings'!H40),"",'Personal Rankings'!H40)</f>
        <v>Sony Michel NE</v>
      </c>
      <c r="I41" s="62">
        <f>IF(ISBLANK('Personal Rankings'!H40),"",([1]RB!$AL$4*G41^5+[1]RB!$AM$4*G41^4+[1]RB!$AN$4*G41^3+[1]RB!$AO$4*G41^2+[1]RB!$AP$4*G41+[1]RB!$AQ$4-'League Settings'!$Q$5)*I$2)</f>
        <v>0.76068048348467987</v>
      </c>
      <c r="J41" s="35">
        <f>IF(ISBLANK('Personal Rankings'!H40),"",'Personal Rankings'!I40)</f>
        <v>131</v>
      </c>
      <c r="L41" s="12">
        <f t="shared" si="2"/>
        <v>38</v>
      </c>
      <c r="M41" s="34" t="str">
        <f>IF(ISBLANK('Personal Rankings'!M40),"",'Personal Rankings'!M40)</f>
        <v>CeeDee Lamb DAL</v>
      </c>
      <c r="N41" s="62">
        <f>IF(ISBLANK('Personal Rankings'!M40),"",([1]WR!$AL$4*L41^5+[1]WR!$AM$4*L41^4+[1]WR!$AN$4*L41^3+[1]WR!$AO$4*L41^2+[1]WR!$AP$4*L41+[1]WR!$AQ$4-'League Settings'!$Q$6)*N$2)</f>
        <v>0</v>
      </c>
      <c r="O41" s="35">
        <f>IF(ISBLANK('Personal Rankings'!M40),"",'Personal Rankings'!N40)</f>
        <v>109</v>
      </c>
    </row>
    <row r="42" spans="2:20" x14ac:dyDescent="0.35">
      <c r="G42" s="12">
        <f t="shared" si="1"/>
        <v>39</v>
      </c>
      <c r="H42" s="34" t="str">
        <f>IF(ISBLANK('Personal Rankings'!H41),"",'Personal Rankings'!H41)</f>
        <v>Matt Breida MIA</v>
      </c>
      <c r="I42" s="62">
        <f>IF(ISBLANK('Personal Rankings'!H41),"",([1]RB!$AL$4*G42^5+[1]RB!$AM$4*G42^4+[1]RB!$AN$4*G42^3+[1]RB!$AO$4*G42^2+[1]RB!$AP$4*G42+[1]RB!$AQ$4-'League Settings'!$Q$5)*I$2)</f>
        <v>0.50922903736480973</v>
      </c>
      <c r="J42" s="35">
        <f>IF(ISBLANK('Personal Rankings'!H41),"",'Personal Rankings'!I41)</f>
        <v>91</v>
      </c>
      <c r="L42" s="12">
        <f t="shared" si="2"/>
        <v>39</v>
      </c>
      <c r="M42" s="34" t="str">
        <f>IF(ISBLANK('Personal Rankings'!M41),"",'Personal Rankings'!M41)</f>
        <v>Jamison Crowder NYJ</v>
      </c>
      <c r="N42" s="62">
        <f>IF(ISBLANK('Personal Rankings'!M41),"",([1]WR!$AL$4*L42^5+[1]WR!$AM$4*L42^4+[1]WR!$AN$4*L42^3+[1]WR!$AO$4*L42^2+[1]WR!$AP$4*L42+[1]WR!$AQ$4-'League Settings'!$Q$6)*N$2)</f>
        <v>0</v>
      </c>
      <c r="O42" s="35">
        <f>IF(ISBLANK('Personal Rankings'!M41),"",'Personal Rankings'!N41)</f>
        <v>95</v>
      </c>
    </row>
    <row r="43" spans="2:20" x14ac:dyDescent="0.35">
      <c r="G43" s="12">
        <f t="shared" si="1"/>
        <v>40</v>
      </c>
      <c r="H43" s="34" t="str">
        <f>IF(ISBLANK('Personal Rankings'!H42),"",'Personal Rankings'!H42)</f>
        <v>Marlon Mack IND</v>
      </c>
      <c r="I43" s="62">
        <f>IF(ISBLANK('Personal Rankings'!H42),"",([1]RB!$AL$4*G43^5+[1]RB!$AM$4*G43^4+[1]RB!$AN$4*G43^3+[1]RB!$AO$4*G43^2+[1]RB!$AP$4*G43+[1]RB!$AQ$4-'League Settings'!$Q$5)*I$2)</f>
        <v>0.25569522812152173</v>
      </c>
      <c r="J43" s="35">
        <f>IF(ISBLANK('Personal Rankings'!H42),"",'Personal Rankings'!I42)</f>
        <v>129</v>
      </c>
      <c r="L43" s="12">
        <f t="shared" si="2"/>
        <v>40</v>
      </c>
      <c r="M43" s="34" t="str">
        <f>IF(ISBLANK('Personal Rankings'!M42),"",'Personal Rankings'!M42)</f>
        <v>Christian Kirk ARI</v>
      </c>
      <c r="N43" s="62">
        <f>IF(ISBLANK('Personal Rankings'!M42),"",([1]WR!$AL$4*L43^5+[1]WR!$AM$4*L43^4+[1]WR!$AN$4*L43^3+[1]WR!$AO$4*L43^2+[1]WR!$AP$4*L43+[1]WR!$AQ$4-'League Settings'!$Q$6)*N$2)</f>
        <v>0</v>
      </c>
      <c r="O43" s="35">
        <f>IF(ISBLANK('Personal Rankings'!M42),"",'Personal Rankings'!N42)</f>
        <v>84</v>
      </c>
    </row>
    <row r="44" spans="2:20" x14ac:dyDescent="0.35">
      <c r="G44" s="12">
        <f t="shared" si="1"/>
        <v>41</v>
      </c>
      <c r="H44" s="34" t="str">
        <f>IF(ISBLANK('Personal Rankings'!H43),"",'Personal Rankings'!H43)</f>
        <v>Ronald Jones II TB</v>
      </c>
      <c r="I44" s="62">
        <f>IF(ISBLANK('Personal Rankings'!H43),"",([1]RB!$AL$4*G44^5+[1]RB!$AM$4*G44^4+[1]RB!$AN$4*G44^3+[1]RB!$AO$4*G44^2+[1]RB!$AP$4*G44+[1]RB!$AQ$4-'League Settings'!$Q$5)*I$2)</f>
        <v>0</v>
      </c>
      <c r="J44" s="35">
        <f>IF(ISBLANK('Personal Rankings'!H43),"",'Personal Rankings'!I43)</f>
        <v>72</v>
      </c>
      <c r="L44" s="12">
        <f t="shared" si="2"/>
        <v>41</v>
      </c>
      <c r="M44" s="34" t="str">
        <f>IF(ISBLANK('Personal Rankings'!M43),"",'Personal Rankings'!M43)</f>
        <v>Anthony Miller CHI</v>
      </c>
      <c r="N44" s="62">
        <f>IF(ISBLANK('Personal Rankings'!M43),"",([1]WR!$AL$4*L44^5+[1]WR!$AM$4*L44^4+[1]WR!$AN$4*L44^3+[1]WR!$AO$4*L44^2+[1]WR!$AP$4*L44+[1]WR!$AQ$4-'League Settings'!$Q$6)*N$2)</f>
        <v>0</v>
      </c>
      <c r="O44" s="35">
        <f>IF(ISBLANK('Personal Rankings'!M43),"",'Personal Rankings'!N43)</f>
        <v>127</v>
      </c>
    </row>
    <row r="45" spans="2:20" x14ac:dyDescent="0.35">
      <c r="G45" s="12">
        <f t="shared" si="1"/>
        <v>42</v>
      </c>
      <c r="H45" s="34" t="str">
        <f>IF(ISBLANK('Personal Rankings'!H44),"",'Personal Rankings'!H44)</f>
        <v>Boston Scott PHI</v>
      </c>
      <c r="I45" s="62">
        <f>IF(ISBLANK('Personal Rankings'!H44),"",([1]RB!$AL$4*G45^5+[1]RB!$AM$4*G45^4+[1]RB!$AN$4*G45^3+[1]RB!$AO$4*G45^2+[1]RB!$AP$4*G45+[1]RB!$AQ$4-'League Settings'!$Q$5)*I$2)</f>
        <v>-0.25783758735224183</v>
      </c>
      <c r="J45" s="35">
        <f>IF(ISBLANK('Personal Rankings'!H44),"",'Personal Rankings'!I44)</f>
        <v>143</v>
      </c>
      <c r="L45" s="12">
        <f t="shared" si="2"/>
        <v>42</v>
      </c>
      <c r="M45" s="34" t="str">
        <f>IF(ISBLANK('Personal Rankings'!M44),"",'Personal Rankings'!M44)</f>
        <v>Henry Ruggs III LV</v>
      </c>
      <c r="N45" s="62">
        <f>IF(ISBLANK('Personal Rankings'!M44),"",([1]WR!$AL$4*L45^5+[1]WR!$AM$4*L45^4+[1]WR!$AN$4*L45^3+[1]WR!$AO$4*L45^2+[1]WR!$AP$4*L45+[1]WR!$AQ$4-'League Settings'!$Q$6)*N$2)</f>
        <v>0</v>
      </c>
      <c r="O45" s="35">
        <f>IF(ISBLANK('Personal Rankings'!M44),"",'Personal Rankings'!N44)</f>
        <v>101</v>
      </c>
    </row>
    <row r="46" spans="2:20" x14ac:dyDescent="0.35">
      <c r="G46" s="12">
        <f t="shared" si="1"/>
        <v>43</v>
      </c>
      <c r="H46" s="34" t="str">
        <f>IF(ISBLANK('Personal Rankings'!H45),"",'Personal Rankings'!H45)</f>
        <v>Tevin Coleman SF</v>
      </c>
      <c r="I46" s="62">
        <f>IF(ISBLANK('Personal Rankings'!H45),"",([1]RB!$AL$4*G46^5+[1]RB!$AM$4*G46^4+[1]RB!$AN$4*G46^3+[1]RB!$AO$4*G46^2+[1]RB!$AP$4*G46+[1]RB!$AQ$4-'League Settings'!$Q$5)*I$2)</f>
        <v>-0.5177092649501106</v>
      </c>
      <c r="J46" s="35">
        <f>IF(ISBLANK('Personal Rankings'!H45),"",'Personal Rankings'!I45)</f>
        <v>92</v>
      </c>
      <c r="L46" s="12">
        <f t="shared" si="2"/>
        <v>43</v>
      </c>
      <c r="M46" s="34" t="str">
        <f>IF(ISBLANK('Personal Rankings'!M45),"",'Personal Rankings'!M45)</f>
        <v>Sterling Shepard NYG</v>
      </c>
      <c r="N46" s="62">
        <f>IF(ISBLANK('Personal Rankings'!M45),"",([1]WR!$AL$4*L46^5+[1]WR!$AM$4*L46^4+[1]WR!$AN$4*L46^3+[1]WR!$AO$4*L46^2+[1]WR!$AP$4*L46+[1]WR!$AQ$4-'League Settings'!$Q$6)*N$2)</f>
        <v>0</v>
      </c>
      <c r="O46" s="35">
        <f>IF(ISBLANK('Personal Rankings'!M45),"",'Personal Rankings'!N45)</f>
        <v>79</v>
      </c>
    </row>
    <row r="47" spans="2:20" x14ac:dyDescent="0.35">
      <c r="G47" s="12">
        <f t="shared" si="1"/>
        <v>44</v>
      </c>
      <c r="H47" s="34" t="str">
        <f>IF(ISBLANK('Personal Rankings'!H46),"",'Personal Rankings'!H46)</f>
        <v>Kerryon Johnson DET</v>
      </c>
      <c r="I47" s="62">
        <f>IF(ISBLANK('Personal Rankings'!H46),"",([1]RB!$AL$4*G47^5+[1]RB!$AM$4*G47^4+[1]RB!$AN$4*G47^3+[1]RB!$AO$4*G47^2+[1]RB!$AP$4*G47+[1]RB!$AQ$4-'League Settings'!$Q$5)*I$2)</f>
        <v>-0.7794264605354897</v>
      </c>
      <c r="J47" s="35">
        <f>IF(ISBLANK('Personal Rankings'!H46),"",'Personal Rankings'!I46)</f>
        <v>71</v>
      </c>
      <c r="L47" s="12">
        <f t="shared" si="2"/>
        <v>44</v>
      </c>
      <c r="M47" s="34" t="str">
        <f>IF(ISBLANK('Personal Rankings'!M46),"",'Personal Rankings'!M46)</f>
        <v>John Brown BUF</v>
      </c>
      <c r="N47" s="62">
        <f>IF(ISBLANK('Personal Rankings'!M46),"",([1]WR!$AL$4*L47^5+[1]WR!$AM$4*L47^4+[1]WR!$AN$4*L47^3+[1]WR!$AO$4*L47^2+[1]WR!$AP$4*L47+[1]WR!$AQ$4-'League Settings'!$Q$6)*N$2)</f>
        <v>0</v>
      </c>
      <c r="O47" s="35">
        <f>IF(ISBLANK('Personal Rankings'!M46),"",'Personal Rankings'!N46)</f>
        <v>99</v>
      </c>
    </row>
    <row r="48" spans="2:20" x14ac:dyDescent="0.35">
      <c r="G48" s="12">
        <f t="shared" si="1"/>
        <v>45</v>
      </c>
      <c r="H48" s="34" t="str">
        <f>IF(ISBLANK('Personal Rankings'!H47),"",'Personal Rankings'!H47)</f>
        <v>Chris Thompson JAC</v>
      </c>
      <c r="I48" s="62">
        <f>IF(ISBLANK('Personal Rankings'!H47),"",([1]RB!$AL$4*G48^5+[1]RB!$AM$4*G48^4+[1]RB!$AN$4*G48^3+[1]RB!$AO$4*G48^2+[1]RB!$AP$4*G48+[1]RB!$AQ$4-'League Settings'!$Q$5)*I$2)</f>
        <v>-1.0427292046421941</v>
      </c>
      <c r="J48" s="35">
        <f>IF(ISBLANK('Personal Rankings'!H47),"",'Personal Rankings'!I47)</f>
        <v>140</v>
      </c>
      <c r="L48" s="12">
        <f t="shared" si="2"/>
        <v>45</v>
      </c>
      <c r="M48" s="34" t="str">
        <f>IF(ISBLANK('Personal Rankings'!M47),"",'Personal Rankings'!M47)</f>
        <v>Deebo Samuel SF</v>
      </c>
      <c r="N48" s="62">
        <f>IF(ISBLANK('Personal Rankings'!M47),"",([1]WR!$AL$4*L48^5+[1]WR!$AM$4*L48^4+[1]WR!$AN$4*L48^3+[1]WR!$AO$4*L48^2+[1]WR!$AP$4*L48+[1]WR!$AQ$4-'League Settings'!$Q$6)*N$2)</f>
        <v>0</v>
      </c>
      <c r="O48" s="35">
        <f>IF(ISBLANK('Personal Rankings'!M47),"",'Personal Rankings'!N47)</f>
        <v>68</v>
      </c>
    </row>
    <row r="49" spans="7:15" x14ac:dyDescent="0.35">
      <c r="G49" s="12">
        <f t="shared" si="1"/>
        <v>46</v>
      </c>
      <c r="H49" s="34" t="str">
        <f>IF(ISBLANK('Personal Rankings'!H48),"",'Personal Rankings'!H48)</f>
        <v>Alexander Mattison MIN</v>
      </c>
      <c r="I49" s="62">
        <f>IF(ISBLANK('Personal Rankings'!H48),"",([1]RB!$AL$4*G49^5+[1]RB!$AM$4*G49^4+[1]RB!$AN$4*G49^3+[1]RB!$AO$4*G49^2+[1]RB!$AP$4*G49+[1]RB!$AQ$4-'League Settings'!$Q$5)*I$2)</f>
        <v>-1.3072950366606848</v>
      </c>
      <c r="J49" s="35">
        <f>IF(ISBLANK('Personal Rankings'!H48),"",'Personal Rankings'!I48)</f>
        <v>103</v>
      </c>
      <c r="L49" s="12">
        <f t="shared" si="2"/>
        <v>46</v>
      </c>
      <c r="M49" s="34" t="str">
        <f>IF(ISBLANK('Personal Rankings'!M48),"",'Personal Rankings'!M48)</f>
        <v>Darius Slayton NYG</v>
      </c>
      <c r="N49" s="62">
        <f>IF(ISBLANK('Personal Rankings'!M48),"",([1]WR!$AL$4*L49^5+[1]WR!$AM$4*L49^4+[1]WR!$AN$4*L49^3+[1]WR!$AO$4*L49^2+[1]WR!$AP$4*L49+[1]WR!$AQ$4-'League Settings'!$Q$6)*N$2)</f>
        <v>0</v>
      </c>
      <c r="O49" s="35">
        <f>IF(ISBLANK('Personal Rankings'!M48),"",'Personal Rankings'!N48)</f>
        <v>96</v>
      </c>
    </row>
    <row r="50" spans="7:15" x14ac:dyDescent="0.35">
      <c r="G50" s="12">
        <f t="shared" si="1"/>
        <v>47</v>
      </c>
      <c r="H50" s="34" t="str">
        <f>IF(ISBLANK('Personal Rankings'!H49),"",'Personal Rankings'!H49)</f>
        <v>Tony Pollard DAL</v>
      </c>
      <c r="I50" s="62">
        <f>IF(ISBLANK('Personal Rankings'!H49),"",([1]RB!$AL$4*G50^5+[1]RB!$AM$4*G50^4+[1]RB!$AN$4*G50^3+[1]RB!$AO$4*G50^2+[1]RB!$AP$4*G50+[1]RB!$AQ$4-'League Settings'!$Q$5)*I$2)</f>
        <v>-1.5727479109027058</v>
      </c>
      <c r="J50" s="35">
        <f>IF(ISBLANK('Personal Rankings'!H49),"",'Personal Rankings'!I49)</f>
        <v>132</v>
      </c>
      <c r="L50" s="12">
        <f t="shared" si="2"/>
        <v>47</v>
      </c>
      <c r="M50" s="34" t="str">
        <f>IF(ISBLANK('Personal Rankings'!M49),"",'Personal Rankings'!M49)</f>
        <v>Jerry Jeudy DEN</v>
      </c>
      <c r="N50" s="62">
        <f>IF(ISBLANK('Personal Rankings'!M49),"",([1]WR!$AL$4*L50^5+[1]WR!$AM$4*L50^4+[1]WR!$AN$4*L50^3+[1]WR!$AO$4*L50^2+[1]WR!$AP$4*L50+[1]WR!$AQ$4-'League Settings'!$Q$6)*N$2)</f>
        <v>0</v>
      </c>
      <c r="O50" s="35">
        <f>IF(ISBLANK('Personal Rankings'!M49),"",'Personal Rankings'!N49)</f>
        <v>107</v>
      </c>
    </row>
    <row r="51" spans="7:15" x14ac:dyDescent="0.35">
      <c r="G51" s="12">
        <f t="shared" si="1"/>
        <v>48</v>
      </c>
      <c r="H51" s="34" t="str">
        <f>IF(ISBLANK('Personal Rankings'!H50),"",'Personal Rankings'!H50)</f>
        <v>Duke Johnson HOU</v>
      </c>
      <c r="I51" s="62">
        <f>IF(ISBLANK('Personal Rankings'!H50),"",([1]RB!$AL$4*G51^5+[1]RB!$AM$4*G51^4+[1]RB!$AN$4*G51^3+[1]RB!$AO$4*G51^2+[1]RB!$AP$4*G51+[1]RB!$AQ$4-'League Settings'!$Q$5)*I$2)</f>
        <v>-1.8386671026662613</v>
      </c>
      <c r="J51" s="35">
        <f>IF(ISBLANK('Personal Rankings'!H50),"",'Personal Rankings'!I50)</f>
        <v>128</v>
      </c>
      <c r="L51" s="12">
        <f t="shared" si="2"/>
        <v>48</v>
      </c>
      <c r="M51" s="34" t="str">
        <f>IF(ISBLANK('Personal Rankings'!M50),"",'Personal Rankings'!M50)</f>
        <v>Golden Tate NYG</v>
      </c>
      <c r="N51" s="62">
        <f>IF(ISBLANK('Personal Rankings'!M50),"",([1]WR!$AL$4*L51^5+[1]WR!$AM$4*L51^4+[1]WR!$AN$4*L51^3+[1]WR!$AO$4*L51^2+[1]WR!$AP$4*L51+[1]WR!$AQ$4-'League Settings'!$Q$6)*N$2)</f>
        <v>0</v>
      </c>
      <c r="O51" s="35">
        <f>IF(ISBLANK('Personal Rankings'!M50),"",'Personal Rankings'!N50)</f>
        <v>97</v>
      </c>
    </row>
    <row r="52" spans="7:15" x14ac:dyDescent="0.35">
      <c r="G52" s="12">
        <f t="shared" si="1"/>
        <v>49</v>
      </c>
      <c r="H52" s="34" t="str">
        <f>IF(ISBLANK('Personal Rankings'!H51),"",'Personal Rankings'!H51)</f>
        <v>Devine Ozigbo JAC</v>
      </c>
      <c r="I52" s="62">
        <f>IF(ISBLANK('Personal Rankings'!H51),"",([1]RB!$AL$4*G52^5+[1]RB!$AM$4*G52^4+[1]RB!$AN$4*G52^3+[1]RB!$AO$4*G52^2+[1]RB!$AP$4*G52+[1]RB!$AQ$4-'League Settings'!$Q$5)*I$2)</f>
        <v>-2.1045961143001137</v>
      </c>
      <c r="J52" s="35">
        <f>IF(ISBLANK('Personal Rankings'!H51),"",'Personal Rankings'!I51)</f>
        <v>142</v>
      </c>
      <c r="L52" s="12">
        <f t="shared" si="2"/>
        <v>49</v>
      </c>
      <c r="M52" s="34" t="str">
        <f>IF(ISBLANK('Personal Rankings'!M51),"",'Personal Rankings'!M51)</f>
        <v>Emmanuel Sanders NO</v>
      </c>
      <c r="N52" s="62">
        <f>IF(ISBLANK('Personal Rankings'!M51),"",([1]WR!$AL$4*L52^5+[1]WR!$AM$4*L52^4+[1]WR!$AN$4*L52^3+[1]WR!$AO$4*L52^2+[1]WR!$AP$4*L52+[1]WR!$AQ$4-'League Settings'!$Q$6)*N$2)</f>
        <v>0</v>
      </c>
      <c r="O52" s="35">
        <f>IF(ISBLANK('Personal Rankings'!M51),"",'Personal Rankings'!N51)</f>
        <v>100</v>
      </c>
    </row>
    <row r="53" spans="7:15" x14ac:dyDescent="0.35">
      <c r="G53" s="12">
        <f t="shared" si="1"/>
        <v>50</v>
      </c>
      <c r="H53" s="34" t="str">
        <f>IF(ISBLANK('Personal Rankings'!H52),"",'Personal Rankings'!H52)</f>
        <v>Damien Harris NE</v>
      </c>
      <c r="I53" s="62">
        <f>IF(ISBLANK('Personal Rankings'!H52),"",([1]RB!$AL$4*G53^5+[1]RB!$AM$4*G53^4+[1]RB!$AN$4*G53^3+[1]RB!$AO$4*G53^2+[1]RB!$AP$4*G53+[1]RB!$AQ$4-'League Settings'!$Q$5)*I$2)</f>
        <v>-2.3700515812687741</v>
      </c>
      <c r="J53" s="35">
        <f>IF(ISBLANK('Personal Rankings'!H52),"",'Personal Rankings'!I52)</f>
        <v>133</v>
      </c>
      <c r="L53" s="12">
        <f t="shared" si="2"/>
        <v>50</v>
      </c>
      <c r="M53" s="34" t="str">
        <f>IF(ISBLANK('Personal Rankings'!M52),"",'Personal Rankings'!M52)</f>
        <v>Preston Williams MIA</v>
      </c>
      <c r="N53" s="62">
        <f>IF(ISBLANK('Personal Rankings'!M52),"",([1]WR!$AL$4*L53^5+[1]WR!$AM$4*L53^4+[1]WR!$AN$4*L53^3+[1]WR!$AO$4*L53^2+[1]WR!$AP$4*L53+[1]WR!$AQ$4-'League Settings'!$Q$6)*N$2)</f>
        <v>0</v>
      </c>
      <c r="O53" s="35">
        <f>IF(ISBLANK('Personal Rankings'!M52),"",'Personal Rankings'!N52)</f>
        <v>94</v>
      </c>
    </row>
    <row r="54" spans="7:15" x14ac:dyDescent="0.35">
      <c r="G54" s="12">
        <f t="shared" si="1"/>
        <v>51</v>
      </c>
      <c r="H54" s="34" t="str">
        <f>IF(ISBLANK('Personal Rankings'!H53),"",'Personal Rankings'!H53)</f>
        <v>Darrell Henderson Jr. LAR</v>
      </c>
      <c r="I54" s="62">
        <f>IF(ISBLANK('Personal Rankings'!H53),"",([1]RB!$AL$4*G54^5+[1]RB!$AM$4*G54^4+[1]RB!$AN$4*G54^3+[1]RB!$AO$4*G54^2+[1]RB!$AP$4*G54+[1]RB!$AQ$4-'League Settings'!$Q$5)*I$2)</f>
        <v>-2.6345321782170803</v>
      </c>
      <c r="J54" s="35">
        <f>IF(ISBLANK('Personal Rankings'!H53),"",'Personal Rankings'!I53)</f>
        <v>104</v>
      </c>
      <c r="L54" s="12">
        <f t="shared" si="2"/>
        <v>51</v>
      </c>
      <c r="M54" s="34" t="str">
        <f>IF(ISBLANK('Personal Rankings'!M53),"",'Personal Rankings'!M53)</f>
        <v>Justin Jefferson MIN</v>
      </c>
      <c r="N54" s="62">
        <f>IF(ISBLANK('Personal Rankings'!M53),"",([1]WR!$AL$4*L54^5+[1]WR!$AM$4*L54^4+[1]WR!$AN$4*L54^3+[1]WR!$AO$4*L54^2+[1]WR!$AP$4*L54+[1]WR!$AQ$4-'League Settings'!$Q$6)*N$2)</f>
        <v>0</v>
      </c>
      <c r="O54" s="35">
        <f>IF(ISBLANK('Personal Rankings'!M53),"",'Personal Rankings'!N53)</f>
        <v>145</v>
      </c>
    </row>
    <row r="55" spans="7:15" x14ac:dyDescent="0.35">
      <c r="G55" s="12">
        <f t="shared" si="1"/>
        <v>52</v>
      </c>
      <c r="H55" s="34" t="str">
        <f>IF(ISBLANK('Personal Rankings'!H54),"",'Personal Rankings'!H54)</f>
        <v>Chase Edmonds ARI</v>
      </c>
      <c r="I55" s="62">
        <f>IF(ISBLANK('Personal Rankings'!H54),"",([1]RB!$AL$4*G55^5+[1]RB!$AM$4*G55^4+[1]RB!$AN$4*G55^3+[1]RB!$AO$4*G55^2+[1]RB!$AP$4*G55+[1]RB!$AQ$4-'League Settings'!$Q$5)*I$2)</f>
        <v>-2.8975275250351276</v>
      </c>
      <c r="J55" s="35">
        <f>IF(ISBLANK('Personal Rankings'!H54),"",'Personal Rankings'!I54)</f>
        <v>130</v>
      </c>
      <c r="L55" s="12">
        <f t="shared" si="2"/>
        <v>52</v>
      </c>
      <c r="M55" s="34" t="str">
        <f>IF(ISBLANK('Personal Rankings'!M54),"",'Personal Rankings'!M54)</f>
        <v>DeSean Jackson PHI</v>
      </c>
      <c r="N55" s="62">
        <f>IF(ISBLANK('Personal Rankings'!M54),"",([1]WR!$AL$4*L55^5+[1]WR!$AM$4*L55^4+[1]WR!$AN$4*L55^3+[1]WR!$AO$4*L55^2+[1]WR!$AP$4*L55+[1]WR!$AQ$4-'League Settings'!$Q$6)*N$2)</f>
        <v>0</v>
      </c>
      <c r="O55" s="35">
        <f>IF(ISBLANK('Personal Rankings'!M54),"",'Personal Rankings'!N54)</f>
        <v>102</v>
      </c>
    </row>
    <row r="56" spans="7:15" x14ac:dyDescent="0.35">
      <c r="G56" s="12">
        <f t="shared" si="1"/>
        <v>53</v>
      </c>
      <c r="H56" s="34" t="str">
        <f>IF(ISBLANK('Personal Rankings'!H55),"",'Personal Rankings'!H55)</f>
        <v>Carlos Hyde SEA</v>
      </c>
      <c r="I56" s="62">
        <f>IF(ISBLANK('Personal Rankings'!H55),"",([1]RB!$AL$4*G56^5+[1]RB!$AM$4*G56^4+[1]RB!$AN$4*G56^3+[1]RB!$AO$4*G56^2+[1]RB!$AP$4*G56+[1]RB!$AQ$4-'League Settings'!$Q$5)*I$2)</f>
        <v>-3.1585270929228386</v>
      </c>
      <c r="J56" s="35">
        <f>IF(ISBLANK('Personal Rankings'!H55),"",'Personal Rankings'!I55)</f>
        <v>199</v>
      </c>
      <c r="L56" s="12">
        <f t="shared" si="2"/>
        <v>53</v>
      </c>
      <c r="M56" s="34" t="str">
        <f>IF(ISBLANK('Personal Rankings'!M55),"",'Personal Rankings'!M55)</f>
        <v>Allen Lazard GB</v>
      </c>
      <c r="N56" s="62">
        <f>IF(ISBLANK('Personal Rankings'!M55),"",([1]WR!$AL$4*L56^5+[1]WR!$AM$4*L56^4+[1]WR!$AN$4*L56^3+[1]WR!$AO$4*L56^2+[1]WR!$AP$4*L56+[1]WR!$AQ$4-'League Settings'!$Q$6)*N$2)</f>
        <v>0</v>
      </c>
      <c r="O56" s="35">
        <f>IF(ISBLANK('Personal Rankings'!M55),"",'Personal Rankings'!N55)</f>
        <v>153</v>
      </c>
    </row>
    <row r="57" spans="7:15" x14ac:dyDescent="0.35">
      <c r="G57" s="12">
        <f t="shared" si="1"/>
        <v>54</v>
      </c>
      <c r="H57" s="34" t="str">
        <f>IF(ISBLANK('Personal Rankings'!H56),"",'Personal Rankings'!H56)</f>
        <v>Ryquell Armstead JAC</v>
      </c>
      <c r="I57" s="62">
        <f>IF(ISBLANK('Personal Rankings'!H56),"",([1]RB!$AL$4*G57^5+[1]RB!$AM$4*G57^4+[1]RB!$AN$4*G57^3+[1]RB!$AO$4*G57^2+[1]RB!$AP$4*G57+[1]RB!$AQ$4-'League Settings'!$Q$5)*I$2)</f>
        <v>-3.4170291104548256</v>
      </c>
      <c r="J57" s="35">
        <f>IF(ISBLANK('Personal Rankings'!H56),"",'Personal Rankings'!I56)</f>
        <v>158</v>
      </c>
      <c r="L57" s="12">
        <f t="shared" si="2"/>
        <v>54</v>
      </c>
      <c r="M57" s="34" t="str">
        <f>IF(ISBLANK('Personal Rankings'!M56),"",'Personal Rankings'!M56)</f>
        <v>Jalen Reagor PHI</v>
      </c>
      <c r="N57" s="62">
        <f>IF(ISBLANK('Personal Rankings'!M56),"",([1]WR!$AL$4*L57^5+[1]WR!$AM$4*L57^4+[1]WR!$AN$4*L57^3+[1]WR!$AO$4*L57^2+[1]WR!$AP$4*L57+[1]WR!$AQ$4-'League Settings'!$Q$6)*N$2)</f>
        <v>0</v>
      </c>
      <c r="O57" s="35">
        <f>IF(ISBLANK('Personal Rankings'!M56),"",'Personal Rankings'!N56)</f>
        <v>150</v>
      </c>
    </row>
    <row r="58" spans="7:15" x14ac:dyDescent="0.35">
      <c r="G58" s="12">
        <f t="shared" si="1"/>
        <v>55</v>
      </c>
      <c r="H58" s="34" t="str">
        <f>IF(ISBLANK('Personal Rankings'!H57),"",'Personal Rankings'!H57)</f>
        <v>Nyheim Hines IND</v>
      </c>
      <c r="I58" s="62">
        <f>IF(ISBLANK('Personal Rankings'!H57),"",([1]RB!$AL$4*G58^5+[1]RB!$AM$4*G58^4+[1]RB!$AN$4*G58^3+[1]RB!$AO$4*G58^2+[1]RB!$AP$4*G58+[1]RB!$AQ$4-'League Settings'!$Q$5)*I$2)</f>
        <v>-3.672549469645185</v>
      </c>
      <c r="J58" s="35">
        <f>IF(ISBLANK('Personal Rankings'!H57),"",'Personal Rankings'!I57)</f>
        <v>144</v>
      </c>
      <c r="L58" s="12">
        <f t="shared" si="2"/>
        <v>55</v>
      </c>
      <c r="M58" s="34" t="str">
        <f>IF(ISBLANK('Personal Rankings'!M57),"",'Personal Rankings'!M57)</f>
        <v>Brandon Aiyuk SF</v>
      </c>
      <c r="N58" s="62">
        <f>IF(ISBLANK('Personal Rankings'!M57),"",([1]WR!$AL$4*L58^5+[1]WR!$AM$4*L58^4+[1]WR!$AN$4*L58^3+[1]WR!$AO$4*L58^2+[1]WR!$AP$4*L58+[1]WR!$AQ$4-'League Settings'!$Q$6)*N$2)</f>
        <v>0</v>
      </c>
      <c r="O58" s="35">
        <f>IF(ISBLANK('Personal Rankings'!M57),"",'Personal Rankings'!N57)</f>
        <v>146</v>
      </c>
    </row>
    <row r="59" spans="7:15" x14ac:dyDescent="0.35">
      <c r="G59" s="12">
        <f t="shared" si="1"/>
        <v>56</v>
      </c>
      <c r="H59" s="34" t="str">
        <f>IF(ISBLANK('Personal Rankings'!H58),"",'Personal Rankings'!H58)</f>
        <v>Giovani Bernard CIN</v>
      </c>
      <c r="I59" s="62">
        <f>IF(ISBLANK('Personal Rankings'!H58),"",([1]RB!$AL$4*G59^5+[1]RB!$AM$4*G59^4+[1]RB!$AN$4*G59^3+[1]RB!$AO$4*G59^2+[1]RB!$AP$4*G59+[1]RB!$AQ$4-'League Settings'!$Q$5)*I$2)</f>
        <v>-3.9246306320121107</v>
      </c>
      <c r="J59" s="35">
        <f>IF(ISBLANK('Personal Rankings'!H58),"",'Personal Rankings'!I58)</f>
        <v>207</v>
      </c>
      <c r="L59" s="12">
        <f t="shared" si="2"/>
        <v>56</v>
      </c>
      <c r="M59" s="34" t="str">
        <f>IF(ISBLANK('Personal Rankings'!M58),"",'Personal Rankings'!M58)</f>
        <v>Mike Williams LAC</v>
      </c>
      <c r="N59" s="62">
        <f>IF(ISBLANK('Personal Rankings'!M58),"",([1]WR!$AL$4*L59^5+[1]WR!$AM$4*L59^4+[1]WR!$AN$4*L59^3+[1]WR!$AO$4*L59^2+[1]WR!$AP$4*L59+[1]WR!$AQ$4-'League Settings'!$Q$6)*N$2)</f>
        <v>0</v>
      </c>
      <c r="O59" s="35">
        <f>IF(ISBLANK('Personal Rankings'!M58),"",'Personal Rankings'!N58)</f>
        <v>108</v>
      </c>
    </row>
    <row r="60" spans="7:15" x14ac:dyDescent="0.35">
      <c r="G60" s="12">
        <f t="shared" si="1"/>
        <v>57</v>
      </c>
      <c r="H60" s="34" t="str">
        <f>IF(ISBLANK('Personal Rankings'!H59),"",'Personal Rankings'!H59)</f>
        <v>Bryce Love WAS</v>
      </c>
      <c r="I60" s="62">
        <f>IF(ISBLANK('Personal Rankings'!H59),"",([1]RB!$AL$4*G60^5+[1]RB!$AM$4*G60^4+[1]RB!$AN$4*G60^3+[1]RB!$AO$4*G60^2+[1]RB!$AP$4*G60+[1]RB!$AQ$4-'League Settings'!$Q$5)*I$2)</f>
        <v>-4.1728505346427829</v>
      </c>
      <c r="J60" s="35">
        <f>IF(ISBLANK('Personal Rankings'!H59),"",'Personal Rankings'!I59)</f>
        <v>201</v>
      </c>
      <c r="L60" s="12">
        <f t="shared" si="2"/>
        <v>57</v>
      </c>
      <c r="M60" s="34" t="str">
        <f>IF(ISBLANK('Personal Rankings'!M59),"",'Personal Rankings'!M59)</f>
        <v>Sammy Watkins KC</v>
      </c>
      <c r="N60" s="62">
        <f>IF(ISBLANK('Personal Rankings'!M59),"",([1]WR!$AL$4*L60^5+[1]WR!$AM$4*L60^4+[1]WR!$AN$4*L60^3+[1]WR!$AO$4*L60^2+[1]WR!$AP$4*L60+[1]WR!$AQ$4-'League Settings'!$Q$6)*N$2)</f>
        <v>0</v>
      </c>
      <c r="O60" s="35">
        <f>IF(ISBLANK('Personal Rankings'!M59),"",'Personal Rankings'!N59)</f>
        <v>147</v>
      </c>
    </row>
    <row r="61" spans="7:15" x14ac:dyDescent="0.35">
      <c r="G61" s="12">
        <f t="shared" si="1"/>
        <v>58</v>
      </c>
      <c r="H61" s="34" t="str">
        <f>IF(ISBLANK('Personal Rankings'!H60),"",'Personal Rankings'!H60)</f>
        <v>Darrel Williams KC</v>
      </c>
      <c r="I61" s="62">
        <f>IF(ISBLANK('Personal Rankings'!H60),"",([1]RB!$AL$4*G61^5+[1]RB!$AM$4*G61^4+[1]RB!$AN$4*G61^3+[1]RB!$AO$4*G61^2+[1]RB!$AP$4*G61+[1]RB!$AQ$4-'League Settings'!$Q$5)*I$2)</f>
        <v>-4.4168314962581805</v>
      </c>
      <c r="J61" s="35">
        <f>IF(ISBLANK('Personal Rankings'!H60),"",'Personal Rankings'!I60)</f>
        <v>200</v>
      </c>
      <c r="L61" s="12">
        <f t="shared" si="2"/>
        <v>58</v>
      </c>
      <c r="M61" s="34" t="str">
        <f>IF(ISBLANK('Personal Rankings'!M60),"",'Personal Rankings'!M60)</f>
        <v>Parris Campbell IND</v>
      </c>
      <c r="N61" s="62">
        <f>IF(ISBLANK('Personal Rankings'!M60),"",([1]WR!$AL$4*L61^5+[1]WR!$AM$4*L61^4+[1]WR!$AN$4*L61^3+[1]WR!$AO$4*L61^2+[1]WR!$AP$4*L61+[1]WR!$AQ$4-'League Settings'!$Q$6)*N$2)</f>
        <v>0</v>
      </c>
      <c r="O61" s="35">
        <f>IF(ISBLANK('Personal Rankings'!M60),"",'Personal Rankings'!N60)</f>
        <v>126</v>
      </c>
    </row>
    <row r="62" spans="7:15" x14ac:dyDescent="0.35">
      <c r="G62" s="12">
        <f t="shared" si="1"/>
        <v>59</v>
      </c>
      <c r="H62" s="34" t="str">
        <f>IF(ISBLANK('Personal Rankings'!H61),"",'Personal Rankings'!H61)</f>
        <v>Darrynton Evans TEN</v>
      </c>
      <c r="I62" s="62">
        <f>IF(ISBLANK('Personal Rankings'!H61),"",([1]RB!$AL$4*G62^5+[1]RB!$AM$4*G62^4+[1]RB!$AN$4*G62^3+[1]RB!$AO$4*G62^2+[1]RB!$AP$4*G62+[1]RB!$AQ$4-'League Settings'!$Q$5)*I$2)</f>
        <v>-4.6562491232775871</v>
      </c>
      <c r="J62" s="35">
        <f>IF(ISBLANK('Personal Rankings'!H61),"",'Personal Rankings'!I61)</f>
        <v>156</v>
      </c>
      <c r="L62" s="12">
        <f t="shared" si="2"/>
        <v>59</v>
      </c>
      <c r="M62" s="34" t="str">
        <f>IF(ISBLANK('Personal Rankings'!M61),"",'Personal Rankings'!M61)</f>
        <v>Mecole Hardman KC</v>
      </c>
      <c r="N62" s="62">
        <f>IF(ISBLANK('Personal Rankings'!M61),"",([1]WR!$AL$4*L62^5+[1]WR!$AM$4*L62^4+[1]WR!$AN$4*L62^3+[1]WR!$AO$4*L62^2+[1]WR!$AP$4*L62+[1]WR!$AQ$4-'League Settings'!$Q$6)*N$2)</f>
        <v>0</v>
      </c>
      <c r="O62" s="35">
        <f>IF(ISBLANK('Personal Rankings'!M61),"",'Personal Rankings'!N61)</f>
        <v>123</v>
      </c>
    </row>
    <row r="63" spans="7:15" x14ac:dyDescent="0.35">
      <c r="G63" s="12">
        <f t="shared" si="1"/>
        <v>60</v>
      </c>
      <c r="H63" s="34" t="str">
        <f>IF(ISBLANK('Personal Rankings'!H62),"",'Personal Rankings'!H62)</f>
        <v>AJ Dillon GB</v>
      </c>
      <c r="I63" s="62">
        <f>IF(ISBLANK('Personal Rankings'!H62),"",([1]RB!$AL$4*G63^5+[1]RB!$AM$4*G63^4+[1]RB!$AN$4*G63^3+[1]RB!$AO$4*G63^2+[1]RB!$AP$4*G63+[1]RB!$AQ$4-'League Settings'!$Q$5)*I$2)</f>
        <v>-4.8908412158835866</v>
      </c>
      <c r="J63" s="35">
        <f>IF(ISBLANK('Personal Rankings'!H62),"",'Personal Rankings'!I62)</f>
        <v>161</v>
      </c>
      <c r="L63" s="12">
        <f t="shared" si="2"/>
        <v>60</v>
      </c>
      <c r="M63" s="34" t="str">
        <f>IF(ISBLANK('Personal Rankings'!M62),"",'Personal Rankings'!M62)</f>
        <v>N'Keal Harry NE</v>
      </c>
      <c r="N63" s="62">
        <f>IF(ISBLANK('Personal Rankings'!M62),"",([1]WR!$AL$4*L63^5+[1]WR!$AM$4*L63^4+[1]WR!$AN$4*L63^3+[1]WR!$AO$4*L63^2+[1]WR!$AP$4*L63+[1]WR!$AQ$4-'League Settings'!$Q$6)*N$2)</f>
        <v>0</v>
      </c>
      <c r="O63" s="35">
        <f>IF(ISBLANK('Personal Rankings'!M62),"",'Personal Rankings'!N62)</f>
        <v>124</v>
      </c>
    </row>
    <row r="64" spans="7:15" x14ac:dyDescent="0.35">
      <c r="G64" s="12">
        <f t="shared" si="1"/>
        <v>61</v>
      </c>
      <c r="H64" s="34" t="str">
        <f>IF(ISBLANK('Personal Rankings'!H63),"",'Personal Rankings'!H63)</f>
        <v>Justin Jackson LAC</v>
      </c>
      <c r="I64" s="62">
        <f>IF(ISBLANK('Personal Rankings'!H63),"",([1]RB!$AL$4*G64^5+[1]RB!$AM$4*G64^4+[1]RB!$AN$4*G64^3+[1]RB!$AO$4*G64^2+[1]RB!$AP$4*G64+[1]RB!$AQ$4-'League Settings'!$Q$5)*I$2)</f>
        <v>-5.1204166740867212</v>
      </c>
      <c r="J64" s="35">
        <f>IF(ISBLANK('Personal Rankings'!H63),"",'Personal Rankings'!I63)</f>
        <v>139</v>
      </c>
      <c r="L64" s="12">
        <f t="shared" si="2"/>
        <v>61</v>
      </c>
      <c r="M64" s="34" t="str">
        <f>IF(ISBLANK('Personal Rankings'!M63),"",'Personal Rankings'!M63)</f>
        <v>Breshad Perriman NYJ</v>
      </c>
      <c r="N64" s="62">
        <f>IF(ISBLANK('Personal Rankings'!M63),"",([1]WR!$AL$4*L64^5+[1]WR!$AM$4*L64^4+[1]WR!$AN$4*L64^3+[1]WR!$AO$4*L64^2+[1]WR!$AP$4*L64+[1]WR!$AQ$4-'League Settings'!$Q$6)*N$2)</f>
        <v>0</v>
      </c>
      <c r="O64" s="35">
        <f>IF(ISBLANK('Personal Rankings'!M63),"",'Personal Rankings'!N63)</f>
        <v>106</v>
      </c>
    </row>
    <row r="65" spans="2:15" x14ac:dyDescent="0.35">
      <c r="G65" s="12">
        <f t="shared" si="1"/>
        <v>62</v>
      </c>
      <c r="H65" s="34" t="str">
        <f>IF(ISBLANK('Personal Rankings'!H64),"",'Personal Rankings'!H64)</f>
        <v>Joshua Kelley LAC</v>
      </c>
      <c r="I65" s="62">
        <f>IF(ISBLANK('Personal Rankings'!H64),"",([1]RB!$AL$4*G65^5+[1]RB!$AM$4*G65^4+[1]RB!$AN$4*G65^3+[1]RB!$AO$4*G65^2+[1]RB!$AP$4*G65+[1]RB!$AQ$4-'League Settings'!$Q$5)*I$2)</f>
        <v>-5.3448644037902682</v>
      </c>
      <c r="J65" s="35">
        <f>IF(ISBLANK('Personal Rankings'!H64),"",'Personal Rankings'!I64)</f>
        <v>159</v>
      </c>
      <c r="L65" s="12">
        <f t="shared" si="2"/>
        <v>62</v>
      </c>
      <c r="M65" s="34" t="str">
        <f>IF(ISBLANK('Personal Rankings'!M64),"",'Personal Rankings'!M64)</f>
        <v>Robby Anderson CAR</v>
      </c>
      <c r="N65" s="62">
        <f>IF(ISBLANK('Personal Rankings'!M64),"",([1]WR!$AL$4*L65^5+[1]WR!$AM$4*L65^4+[1]WR!$AN$4*L65^3+[1]WR!$AO$4*L65^2+[1]WR!$AP$4*L65+[1]WR!$AQ$4-'League Settings'!$Q$6)*N$2)</f>
        <v>0</v>
      </c>
      <c r="O65" s="35">
        <f>IF(ISBLANK('Personal Rankings'!M64),"",'Personal Rankings'!N64)</f>
        <v>98</v>
      </c>
    </row>
    <row r="66" spans="2:15" x14ac:dyDescent="0.35">
      <c r="G66" s="12">
        <f t="shared" si="1"/>
        <v>63</v>
      </c>
      <c r="H66" s="34" t="str">
        <f>IF(ISBLANK('Personal Rankings'!H65),"",'Personal Rankings'!H65)</f>
        <v/>
      </c>
      <c r="I66" s="62" t="str">
        <f>IF(ISBLANK('Personal Rankings'!H65),"",([1]RB!$AL$4*G66^5+[1]RB!$AM$4*G66^4+[1]RB!$AN$4*G66^3+[1]RB!$AO$4*G66^2+[1]RB!$AP$4*G66+[1]RB!$AQ$4-'League Settings'!$Q$5)*I$2)</f>
        <v/>
      </c>
      <c r="J66" s="35" t="str">
        <f>IF(ISBLANK('Personal Rankings'!H65),"",'Personal Rankings'!I65)</f>
        <v/>
      </c>
      <c r="L66" s="12">
        <f t="shared" si="2"/>
        <v>63</v>
      </c>
      <c r="M66" s="34" t="str">
        <f>IF(ISBLANK('Personal Rankings'!M65),"",'Personal Rankings'!M65)</f>
        <v>Curtis Samuel CAR</v>
      </c>
      <c r="N66" s="62">
        <f>IF(ISBLANK('Personal Rankings'!M65),"",([1]WR!$AL$4*L66^5+[1]WR!$AM$4*L66^4+[1]WR!$AN$4*L66^3+[1]WR!$AO$4*L66^2+[1]WR!$AP$4*L66+[1]WR!$AQ$4-'League Settings'!$Q$6)*N$2)</f>
        <v>0</v>
      </c>
      <c r="O66" s="35">
        <f>IF(ISBLANK('Personal Rankings'!M65),"",'Personal Rankings'!N65)</f>
        <v>125</v>
      </c>
    </row>
    <row r="67" spans="2:15" x14ac:dyDescent="0.35">
      <c r="G67" s="12">
        <f t="shared" si="1"/>
        <v>64</v>
      </c>
      <c r="H67" s="34" t="str">
        <f>IF(ISBLANK('Personal Rankings'!H66),"",'Personal Rankings'!H66)</f>
        <v/>
      </c>
      <c r="I67" s="62" t="str">
        <f>IF(ISBLANK('Personal Rankings'!H66),"",([1]RB!$AL$4*G67^5+[1]RB!$AM$4*G67^4+[1]RB!$AN$4*G67^3+[1]RB!$AO$4*G67^2+[1]RB!$AP$4*G67+[1]RB!$AQ$4-'League Settings'!$Q$5)*I$2)</f>
        <v/>
      </c>
      <c r="J67" s="35" t="str">
        <f>IF(ISBLANK('Personal Rankings'!H66),"",'Personal Rankings'!I66)</f>
        <v/>
      </c>
      <c r="L67" s="12">
        <f t="shared" si="2"/>
        <v>64</v>
      </c>
      <c r="M67" s="34" t="str">
        <f>IF(ISBLANK('Personal Rankings'!M66),"",'Personal Rankings'!M66)</f>
        <v/>
      </c>
      <c r="N67" s="62" t="str">
        <f>IF(ISBLANK('Personal Rankings'!M66),"",([1]WR!$AL$4*L67^5+[1]WR!$AM$4*L67^4+[1]WR!$AN$4*L67^3+[1]WR!$AO$4*L67^2+[1]WR!$AP$4*L67+[1]WR!$AQ$4-'League Settings'!$Q$6)*N$2)</f>
        <v/>
      </c>
      <c r="O67" s="35" t="str">
        <f>IF(ISBLANK('Personal Rankings'!M66),"",'Personal Rankings'!N66)</f>
        <v/>
      </c>
    </row>
    <row r="68" spans="2:15" x14ac:dyDescent="0.35">
      <c r="G68" s="12">
        <f t="shared" si="1"/>
        <v>65</v>
      </c>
      <c r="H68" s="34" t="str">
        <f>IF(ISBLANK('Personal Rankings'!H67),"",'Personal Rankings'!H67)</f>
        <v/>
      </c>
      <c r="I68" s="62" t="str">
        <f>IF(ISBLANK('Personal Rankings'!H67),"",([1]RB!$AL$4*G68^5+[1]RB!$AM$4*G68^4+[1]RB!$AN$4*G68^3+[1]RB!$AO$4*G68^2+[1]RB!$AP$4*G68+[1]RB!$AQ$4-'League Settings'!$Q$5)*I$2)</f>
        <v/>
      </c>
      <c r="J68" s="35" t="str">
        <f>IF(ISBLANK('Personal Rankings'!H67),"",'Personal Rankings'!I67)</f>
        <v/>
      </c>
      <c r="L68" s="12">
        <f t="shared" si="2"/>
        <v>65</v>
      </c>
      <c r="M68" s="34" t="str">
        <f>IF(ISBLANK('Personal Rankings'!M67),"",'Personal Rankings'!M67)</f>
        <v/>
      </c>
      <c r="N68" s="62" t="str">
        <f>IF(ISBLANK('Personal Rankings'!M67),"",([1]WR!$AL$4*L68^5+[1]WR!$AM$4*L68^4+[1]WR!$AN$4*L68^3+[1]WR!$AO$4*L68^2+[1]WR!$AP$4*L68+[1]WR!$AQ$4-'League Settings'!$Q$6)*N$2)</f>
        <v/>
      </c>
      <c r="O68" s="35" t="str">
        <f>IF(ISBLANK('Personal Rankings'!M67),"",'Personal Rankings'!N67)</f>
        <v/>
      </c>
    </row>
    <row r="69" spans="2:15" x14ac:dyDescent="0.35">
      <c r="G69" s="12">
        <f t="shared" si="1"/>
        <v>66</v>
      </c>
      <c r="H69" s="34" t="str">
        <f>IF(ISBLANK('Personal Rankings'!H68),"",'Personal Rankings'!H68)</f>
        <v/>
      </c>
      <c r="I69" s="62" t="str">
        <f>IF(ISBLANK('Personal Rankings'!H68),"",([1]RB!$AL$4*G69^5+[1]RB!$AM$4*G69^4+[1]RB!$AN$4*G69^3+[1]RB!$AO$4*G69^2+[1]RB!$AP$4*G69+[1]RB!$AQ$4-'League Settings'!$Q$5)*I$2)</f>
        <v/>
      </c>
      <c r="J69" s="35" t="str">
        <f>IF(ISBLANK('Personal Rankings'!H68),"",'Personal Rankings'!I68)</f>
        <v/>
      </c>
      <c r="L69" s="12">
        <f t="shared" si="2"/>
        <v>66</v>
      </c>
      <c r="M69" s="34" t="str">
        <f>IF(ISBLANK('Personal Rankings'!M68),"",'Personal Rankings'!M68)</f>
        <v/>
      </c>
      <c r="N69" s="62" t="str">
        <f>IF(ISBLANK('Personal Rankings'!M68),"",([1]WR!$AL$4*L69^5+[1]WR!$AM$4*L69^4+[1]WR!$AN$4*L69^3+[1]WR!$AO$4*L69^2+[1]WR!$AP$4*L69+[1]WR!$AQ$4-'League Settings'!$Q$6)*N$2)</f>
        <v/>
      </c>
      <c r="O69" s="35" t="str">
        <f>IF(ISBLANK('Personal Rankings'!M68),"",'Personal Rankings'!N68)</f>
        <v/>
      </c>
    </row>
    <row r="70" spans="2:15" x14ac:dyDescent="0.35">
      <c r="G70" s="12">
        <f t="shared" ref="G70:G77" si="6">G69+1</f>
        <v>67</v>
      </c>
      <c r="H70" s="34" t="str">
        <f>IF(ISBLANK('Personal Rankings'!H69),"",'Personal Rankings'!H69)</f>
        <v/>
      </c>
      <c r="I70" s="62" t="str">
        <f>IF(ISBLANK('Personal Rankings'!H69),"",([1]RB!$AL$4*G70^5+[1]RB!$AM$4*G70^4+[1]RB!$AN$4*G70^3+[1]RB!$AO$4*G70^2+[1]RB!$AP$4*G70+[1]RB!$AQ$4-'League Settings'!$Q$5)*I$2)</f>
        <v/>
      </c>
      <c r="J70" s="35" t="str">
        <f>IF(ISBLANK('Personal Rankings'!H69),"",'Personal Rankings'!I69)</f>
        <v/>
      </c>
      <c r="L70" s="12">
        <f t="shared" ref="L70:L77" si="7">L69+1</f>
        <v>67</v>
      </c>
      <c r="M70" s="34" t="str">
        <f>IF(ISBLANK('Personal Rankings'!M69),"",'Personal Rankings'!M69)</f>
        <v/>
      </c>
      <c r="N70" s="62" t="str">
        <f>IF(ISBLANK('Personal Rankings'!M69),"",([1]WR!$AL$4*L70^5+[1]WR!$AM$4*L70^4+[1]WR!$AN$4*L70^3+[1]WR!$AO$4*L70^2+[1]WR!$AP$4*L70+[1]WR!$AQ$4-'League Settings'!$Q$6)*N$2)</f>
        <v/>
      </c>
      <c r="O70" s="35" t="str">
        <f>IF(ISBLANK('Personal Rankings'!M69),"",'Personal Rankings'!N69)</f>
        <v/>
      </c>
    </row>
    <row r="71" spans="2:15" x14ac:dyDescent="0.35">
      <c r="G71" s="12">
        <f t="shared" si="6"/>
        <v>68</v>
      </c>
      <c r="H71" s="34" t="str">
        <f>IF(ISBLANK('Personal Rankings'!H70),"",'Personal Rankings'!H70)</f>
        <v/>
      </c>
      <c r="I71" s="62" t="str">
        <f>IF(ISBLANK('Personal Rankings'!H70),"",([1]RB!$AL$4*G71^5+[1]RB!$AM$4*G71^4+[1]RB!$AN$4*G71^3+[1]RB!$AO$4*G71^2+[1]RB!$AP$4*G71+[1]RB!$AQ$4-'League Settings'!$Q$5)*I$2)</f>
        <v/>
      </c>
      <c r="J71" s="35" t="str">
        <f>IF(ISBLANK('Personal Rankings'!H70),"",'Personal Rankings'!I70)</f>
        <v/>
      </c>
      <c r="L71" s="12">
        <f t="shared" si="7"/>
        <v>68</v>
      </c>
      <c r="M71" s="34" t="str">
        <f>IF(ISBLANK('Personal Rankings'!M70),"",'Personal Rankings'!M70)</f>
        <v/>
      </c>
      <c r="N71" s="62" t="str">
        <f>IF(ISBLANK('Personal Rankings'!M70),"",([1]WR!$AL$4*L71^5+[1]WR!$AM$4*L71^4+[1]WR!$AN$4*L71^3+[1]WR!$AO$4*L71^2+[1]WR!$AP$4*L71+[1]WR!$AQ$4-'League Settings'!$Q$6)*N$2)</f>
        <v/>
      </c>
      <c r="O71" s="35" t="str">
        <f>IF(ISBLANK('Personal Rankings'!M70),"",'Personal Rankings'!N70)</f>
        <v/>
      </c>
    </row>
    <row r="72" spans="2:15" x14ac:dyDescent="0.35">
      <c r="G72" s="12">
        <f t="shared" si="6"/>
        <v>69</v>
      </c>
      <c r="H72" s="34" t="str">
        <f>IF(ISBLANK('Personal Rankings'!H71),"",'Personal Rankings'!H71)</f>
        <v/>
      </c>
      <c r="I72" s="62" t="str">
        <f>IF(ISBLANK('Personal Rankings'!H71),"",([1]RB!$AL$4*G72^5+[1]RB!$AM$4*G72^4+[1]RB!$AN$4*G72^3+[1]RB!$AO$4*G72^2+[1]RB!$AP$4*G72+[1]RB!$AQ$4-'League Settings'!$Q$5)*I$2)</f>
        <v/>
      </c>
      <c r="J72" s="35" t="str">
        <f>IF(ISBLANK('Personal Rankings'!H71),"",'Personal Rankings'!I71)</f>
        <v/>
      </c>
      <c r="L72" s="12">
        <f t="shared" si="7"/>
        <v>69</v>
      </c>
      <c r="M72" s="34" t="str">
        <f>IF(ISBLANK('Personal Rankings'!M71),"",'Personal Rankings'!M71)</f>
        <v/>
      </c>
      <c r="N72" s="62" t="str">
        <f>IF(ISBLANK('Personal Rankings'!M71),"",([1]WR!$AL$4*L72^5+[1]WR!$AM$4*L72^4+[1]WR!$AN$4*L72^3+[1]WR!$AO$4*L72^2+[1]WR!$AP$4*L72+[1]WR!$AQ$4-'League Settings'!$Q$6)*N$2)</f>
        <v/>
      </c>
      <c r="O72" s="35" t="str">
        <f>IF(ISBLANK('Personal Rankings'!M71),"",'Personal Rankings'!N71)</f>
        <v/>
      </c>
    </row>
    <row r="73" spans="2:15" x14ac:dyDescent="0.35">
      <c r="G73" s="12">
        <f t="shared" si="6"/>
        <v>70</v>
      </c>
      <c r="H73" s="34" t="str">
        <f>IF(ISBLANK('Personal Rankings'!H72),"",'Personal Rankings'!H72)</f>
        <v/>
      </c>
      <c r="I73" s="62" t="str">
        <f>IF(ISBLANK('Personal Rankings'!H72),"",([1]RB!$AL$4*G73^5+[1]RB!$AM$4*G73^4+[1]RB!$AN$4*G73^3+[1]RB!$AO$4*G73^2+[1]RB!$AP$4*G73+[1]RB!$AQ$4-'League Settings'!$Q$5)*I$2)</f>
        <v/>
      </c>
      <c r="J73" s="35" t="str">
        <f>IF(ISBLANK('Personal Rankings'!H72),"",'Personal Rankings'!I72)</f>
        <v/>
      </c>
      <c r="L73" s="12">
        <f t="shared" si="7"/>
        <v>70</v>
      </c>
      <c r="M73" s="34" t="str">
        <f>IF(ISBLANK('Personal Rankings'!M72),"",'Personal Rankings'!M72)</f>
        <v/>
      </c>
      <c r="N73" s="62" t="str">
        <f>IF(ISBLANK('Personal Rankings'!M72),"",([1]WR!$AL$4*L73^5+[1]WR!$AM$4*L73^4+[1]WR!$AN$4*L73^3+[1]WR!$AO$4*L73^2+[1]WR!$AP$4*L73+[1]WR!$AQ$4-'League Settings'!$Q$6)*N$2)</f>
        <v/>
      </c>
      <c r="O73" s="35" t="str">
        <f>IF(ISBLANK('Personal Rankings'!M72),"",'Personal Rankings'!N72)</f>
        <v/>
      </c>
    </row>
    <row r="74" spans="2:15" x14ac:dyDescent="0.35">
      <c r="G74" s="12">
        <f t="shared" si="6"/>
        <v>71</v>
      </c>
      <c r="H74" s="34" t="str">
        <f>IF(ISBLANK('Personal Rankings'!H73),"",'Personal Rankings'!H73)</f>
        <v/>
      </c>
      <c r="I74" s="62" t="str">
        <f>IF(ISBLANK('Personal Rankings'!H73),"",([1]RB!$AL$4*G74^5+[1]RB!$AM$4*G74^4+[1]RB!$AN$4*G74^3+[1]RB!$AO$4*G74^2+[1]RB!$AP$4*G74+[1]RB!$AQ$4-'League Settings'!$Q$5)*I$2)</f>
        <v/>
      </c>
      <c r="J74" s="35" t="str">
        <f>IF(ISBLANK('Personal Rankings'!H73),"",'Personal Rankings'!I73)</f>
        <v/>
      </c>
      <c r="L74" s="12">
        <f t="shared" si="7"/>
        <v>71</v>
      </c>
      <c r="M74" s="34" t="str">
        <f>IF(ISBLANK('Personal Rankings'!M73),"",'Personal Rankings'!M73)</f>
        <v/>
      </c>
      <c r="N74" s="62" t="str">
        <f>IF(ISBLANK('Personal Rankings'!M73),"",([1]WR!$AL$4*L74^5+[1]WR!$AM$4*L74^4+[1]WR!$AN$4*L74^3+[1]WR!$AO$4*L74^2+[1]WR!$AP$4*L74+[1]WR!$AQ$4-'League Settings'!$Q$6)*N$2)</f>
        <v/>
      </c>
      <c r="O74" s="35" t="str">
        <f>IF(ISBLANK('Personal Rankings'!M73),"",'Personal Rankings'!N73)</f>
        <v/>
      </c>
    </row>
    <row r="75" spans="2:15" x14ac:dyDescent="0.35">
      <c r="G75" s="12">
        <f t="shared" si="6"/>
        <v>72</v>
      </c>
      <c r="H75" s="34" t="str">
        <f>IF(ISBLANK('Personal Rankings'!H74),"",'Personal Rankings'!H74)</f>
        <v/>
      </c>
      <c r="I75" s="62" t="str">
        <f>IF(ISBLANK('Personal Rankings'!H74),"",([1]RB!$AL$4*G75^5+[1]RB!$AM$4*G75^4+[1]RB!$AN$4*G75^3+[1]RB!$AO$4*G75^2+[1]RB!$AP$4*G75+[1]RB!$AQ$4-'League Settings'!$Q$5)*I$2)</f>
        <v/>
      </c>
      <c r="J75" s="35" t="str">
        <f>IF(ISBLANK('Personal Rankings'!H74),"",'Personal Rankings'!I74)</f>
        <v/>
      </c>
      <c r="L75" s="12">
        <f t="shared" si="7"/>
        <v>72</v>
      </c>
      <c r="M75" s="34" t="str">
        <f>IF(ISBLANK('Personal Rankings'!M74),"",'Personal Rankings'!M74)</f>
        <v/>
      </c>
      <c r="N75" s="62" t="str">
        <f>IF(ISBLANK('Personal Rankings'!M74),"",([1]WR!$AL$4*L75^5+[1]WR!$AM$4*L75^4+[1]WR!$AN$4*L75^3+[1]WR!$AO$4*L75^2+[1]WR!$AP$4*L75+[1]WR!$AQ$4-'League Settings'!$Q$6)*N$2)</f>
        <v/>
      </c>
      <c r="O75" s="35" t="str">
        <f>IF(ISBLANK('Personal Rankings'!M74),"",'Personal Rankings'!N74)</f>
        <v/>
      </c>
    </row>
    <row r="76" spans="2:15" x14ac:dyDescent="0.35">
      <c r="G76" s="12">
        <f t="shared" si="6"/>
        <v>73</v>
      </c>
      <c r="H76" s="34" t="str">
        <f>IF(ISBLANK('Personal Rankings'!H75),"",'Personal Rankings'!H75)</f>
        <v/>
      </c>
      <c r="I76" s="62" t="str">
        <f>IF(ISBLANK('Personal Rankings'!H75),"",([1]RB!$AL$4*G76^5+[1]RB!$AM$4*G76^4+[1]RB!$AN$4*G76^3+[1]RB!$AO$4*G76^2+[1]RB!$AP$4*G76+[1]RB!$AQ$4-'League Settings'!$Q$5)*I$2)</f>
        <v/>
      </c>
      <c r="J76" s="35" t="str">
        <f>IF(ISBLANK('Personal Rankings'!H75),"",'Personal Rankings'!I75)</f>
        <v/>
      </c>
      <c r="L76" s="12">
        <f t="shared" si="7"/>
        <v>73</v>
      </c>
      <c r="M76" s="34" t="str">
        <f>IF(ISBLANK('Personal Rankings'!M75),"",'Personal Rankings'!M75)</f>
        <v/>
      </c>
      <c r="N76" s="62" t="str">
        <f>IF(ISBLANK('Personal Rankings'!M75),"",([1]WR!$AL$4*L76^5+[1]WR!$AM$4*L76^4+[1]WR!$AN$4*L76^3+[1]WR!$AO$4*L76^2+[1]WR!$AP$4*L76+[1]WR!$AQ$4-'League Settings'!$Q$6)*N$2)</f>
        <v/>
      </c>
      <c r="O76" s="35" t="str">
        <f>IF(ISBLANK('Personal Rankings'!M75),"",'Personal Rankings'!N75)</f>
        <v/>
      </c>
    </row>
    <row r="77" spans="2:15" x14ac:dyDescent="0.35">
      <c r="G77" s="12">
        <f t="shared" si="6"/>
        <v>74</v>
      </c>
      <c r="H77" s="34" t="str">
        <f>IF(ISBLANK('Personal Rankings'!H76),"",'Personal Rankings'!H76)</f>
        <v/>
      </c>
      <c r="I77" s="62" t="str">
        <f>IF(ISBLANK('Personal Rankings'!H76),"",([1]RB!$AL$4*G77^5+[1]RB!$AM$4*G77^4+[1]RB!$AN$4*G77^3+[1]RB!$AO$4*G77^2+[1]RB!$AP$4*G77+[1]RB!$AQ$4-'League Settings'!$Q$5)*I$2)</f>
        <v/>
      </c>
      <c r="J77" s="35" t="str">
        <f>IF(ISBLANK('Personal Rankings'!H76),"",'Personal Rankings'!I76)</f>
        <v/>
      </c>
      <c r="L77" s="12">
        <f t="shared" si="7"/>
        <v>74</v>
      </c>
      <c r="M77" s="34" t="str">
        <f>IF(ISBLANK('Personal Rankings'!M76),"",'Personal Rankings'!M76)</f>
        <v/>
      </c>
      <c r="N77" s="62" t="str">
        <f>IF(ISBLANK('Personal Rankings'!M76),"",([1]WR!$AL$4*L77^5+[1]WR!$AM$4*L77^4+[1]WR!$AN$4*L77^3+[1]WR!$AO$4*L77^2+[1]WR!$AP$4*L77+[1]WR!$AQ$4-'League Settings'!$Q$6)*N$2)</f>
        <v/>
      </c>
      <c r="O77" s="35" t="str">
        <f>IF(ISBLANK('Personal Rankings'!M76),"",'Personal Rankings'!N76)</f>
        <v/>
      </c>
    </row>
    <row r="78" spans="2:15" ht="15" thickBot="1" x14ac:dyDescent="0.4">
      <c r="G78" s="13">
        <f>G77+1</f>
        <v>75</v>
      </c>
      <c r="H78" s="36" t="str">
        <f>IF(ISBLANK('Personal Rankings'!H77),"",'Personal Rankings'!H77)</f>
        <v/>
      </c>
      <c r="I78" s="62" t="str">
        <f>IF(ISBLANK('Personal Rankings'!H77),"",([1]RB!$AL$4*G78^5+[1]RB!$AM$4*G78^4+[1]RB!$AN$4*G78^3+[1]RB!$AO$4*G78^2+[1]RB!$AP$4*G78+[1]RB!$AQ$4-'League Settings'!$Q$5)*I$2)</f>
        <v/>
      </c>
      <c r="J78" s="35" t="str">
        <f>IF(ISBLANK('Personal Rankings'!H77),"",'Personal Rankings'!I77)</f>
        <v/>
      </c>
      <c r="L78" s="13">
        <f>L77+1</f>
        <v>75</v>
      </c>
      <c r="M78" s="36" t="str">
        <f>IF(ISBLANK('Personal Rankings'!M77),"",'Personal Rankings'!M77)</f>
        <v/>
      </c>
      <c r="N78" s="62" t="str">
        <f>IF(ISBLANK('Personal Rankings'!M77),"",([1]WR!$AL$4*L78^5+[1]WR!$AM$4*L78^4+[1]WR!$AN$4*L78^3+[1]WR!$AO$4*L78^2+[1]WR!$AP$4*L78+[1]WR!$AQ$4-'League Settings'!$Q$6)*N$2)</f>
        <v/>
      </c>
      <c r="O78" s="35" t="str">
        <f>IF(ISBLANK('Personal Rankings'!M77),"",'Personal Rankings'!N77)</f>
        <v/>
      </c>
    </row>
    <row r="80" spans="2:15" x14ac:dyDescent="0.35">
      <c r="B80" s="52"/>
      <c r="C80" s="52"/>
      <c r="D80" s="52"/>
      <c r="E80" s="52"/>
      <c r="F80" s="52"/>
    </row>
    <row r="81" spans="2:6" x14ac:dyDescent="0.35">
      <c r="B81" s="52"/>
      <c r="C81" s="52"/>
      <c r="D81" s="68"/>
      <c r="E81" s="52"/>
      <c r="F81" s="52"/>
    </row>
    <row r="82" spans="2:6" x14ac:dyDescent="0.35">
      <c r="B82" s="52"/>
      <c r="C82" s="52"/>
      <c r="D82" s="68"/>
      <c r="E82" s="52"/>
      <c r="F82" s="52"/>
    </row>
    <row r="83" spans="2:6" x14ac:dyDescent="0.35">
      <c r="B83" s="52"/>
      <c r="C83" s="52"/>
      <c r="D83" s="68"/>
      <c r="E83" s="52"/>
      <c r="F83" s="52"/>
    </row>
    <row r="84" spans="2:6" x14ac:dyDescent="0.35">
      <c r="B84" s="52"/>
      <c r="C84" s="52"/>
      <c r="D84" s="68"/>
      <c r="E84" s="52"/>
      <c r="F84" s="52"/>
    </row>
    <row r="85" spans="2:6" x14ac:dyDescent="0.35">
      <c r="B85" s="52"/>
      <c r="C85" s="52"/>
      <c r="D85" s="68"/>
      <c r="E85" s="52"/>
      <c r="F85" s="52"/>
    </row>
    <row r="86" spans="2:6" x14ac:dyDescent="0.35">
      <c r="B86" s="52"/>
      <c r="C86" s="52"/>
      <c r="D86" s="68"/>
      <c r="E86" s="52"/>
      <c r="F86" s="52"/>
    </row>
    <row r="87" spans="2:6" x14ac:dyDescent="0.35">
      <c r="B87" s="52"/>
      <c r="C87" s="52"/>
      <c r="D87" s="68"/>
      <c r="E87" s="52"/>
      <c r="F87" s="52"/>
    </row>
    <row r="88" spans="2:6" x14ac:dyDescent="0.35">
      <c r="B88" s="52"/>
      <c r="C88" s="52"/>
      <c r="D88" s="68"/>
      <c r="E88" s="52"/>
      <c r="F88" s="52"/>
    </row>
    <row r="89" spans="2:6" x14ac:dyDescent="0.35">
      <c r="B89" s="52"/>
      <c r="C89" s="52"/>
      <c r="D89" s="68"/>
      <c r="E89" s="52"/>
      <c r="F89" s="52"/>
    </row>
    <row r="90" spans="2:6" x14ac:dyDescent="0.35">
      <c r="B90" s="52"/>
      <c r="C90" s="52"/>
      <c r="D90" s="68"/>
      <c r="E90" s="52"/>
      <c r="F90" s="52"/>
    </row>
    <row r="91" spans="2:6" x14ac:dyDescent="0.35">
      <c r="B91" s="52"/>
      <c r="C91" s="52"/>
      <c r="D91" s="68"/>
      <c r="E91" s="52"/>
      <c r="F91" s="52"/>
    </row>
    <row r="92" spans="2:6" x14ac:dyDescent="0.35">
      <c r="B92" s="52"/>
      <c r="C92" s="52"/>
      <c r="D92" s="68"/>
      <c r="E92" s="52"/>
      <c r="F92" s="52"/>
    </row>
    <row r="93" spans="2:6" x14ac:dyDescent="0.35">
      <c r="B93" s="52"/>
      <c r="C93" s="52"/>
      <c r="D93" s="68"/>
      <c r="E93" s="52"/>
      <c r="F93" s="52"/>
    </row>
    <row r="94" spans="2:6" x14ac:dyDescent="0.35">
      <c r="B94" s="52"/>
      <c r="C94" s="52"/>
      <c r="D94" s="68"/>
      <c r="E94" s="52"/>
      <c r="F94" s="52"/>
    </row>
    <row r="95" spans="2:6" x14ac:dyDescent="0.35">
      <c r="B95" s="52"/>
      <c r="C95" s="52"/>
      <c r="D95" s="68"/>
      <c r="E95" s="52"/>
      <c r="F95" s="52"/>
    </row>
    <row r="96" spans="2:6" x14ac:dyDescent="0.35">
      <c r="B96" s="52"/>
      <c r="C96" s="52"/>
      <c r="D96" s="68"/>
      <c r="E96" s="52"/>
      <c r="F96" s="52"/>
    </row>
    <row r="97" spans="2:6" x14ac:dyDescent="0.35">
      <c r="B97" s="52"/>
      <c r="C97" s="52"/>
      <c r="D97" s="68"/>
      <c r="E97" s="52"/>
      <c r="F97" s="52"/>
    </row>
    <row r="98" spans="2:6" x14ac:dyDescent="0.35">
      <c r="B98" s="52"/>
      <c r="C98" s="52"/>
      <c r="D98" s="68"/>
      <c r="E98" s="52"/>
      <c r="F98" s="52"/>
    </row>
    <row r="99" spans="2:6" x14ac:dyDescent="0.35">
      <c r="B99" s="52"/>
      <c r="C99" s="52"/>
      <c r="D99" s="68"/>
      <c r="E99" s="52"/>
      <c r="F99" s="52"/>
    </row>
    <row r="100" spans="2:6" x14ac:dyDescent="0.35">
      <c r="B100" s="52"/>
      <c r="C100" s="52"/>
      <c r="D100" s="68"/>
      <c r="E100" s="52"/>
      <c r="F100" s="52"/>
    </row>
    <row r="101" spans="2:6" x14ac:dyDescent="0.35">
      <c r="B101" s="52"/>
      <c r="C101" s="52"/>
      <c r="D101" s="68"/>
      <c r="E101" s="52"/>
      <c r="F101" s="52"/>
    </row>
    <row r="102" spans="2:6" x14ac:dyDescent="0.35">
      <c r="B102" s="52"/>
      <c r="C102" s="52"/>
      <c r="D102" s="68"/>
      <c r="E102" s="52"/>
      <c r="F102" s="52"/>
    </row>
    <row r="103" spans="2:6" x14ac:dyDescent="0.35">
      <c r="B103" s="52"/>
      <c r="C103" s="52"/>
      <c r="D103" s="68"/>
      <c r="E103" s="52"/>
      <c r="F103" s="52"/>
    </row>
    <row r="104" spans="2:6" x14ac:dyDescent="0.35">
      <c r="B104" s="52"/>
      <c r="C104" s="52"/>
      <c r="D104" s="68"/>
      <c r="E104" s="52"/>
      <c r="F104" s="52"/>
    </row>
    <row r="105" spans="2:6" x14ac:dyDescent="0.35">
      <c r="B105" s="52"/>
      <c r="C105" s="52"/>
      <c r="D105" s="68"/>
      <c r="E105" s="52"/>
      <c r="F105" s="52"/>
    </row>
    <row r="106" spans="2:6" x14ac:dyDescent="0.35">
      <c r="B106" s="52"/>
      <c r="C106" s="52"/>
      <c r="D106" s="68"/>
      <c r="E106" s="52"/>
      <c r="F106" s="52"/>
    </row>
    <row r="107" spans="2:6" x14ac:dyDescent="0.35">
      <c r="B107" s="52"/>
      <c r="C107" s="52"/>
      <c r="D107" s="68"/>
      <c r="E107" s="52"/>
      <c r="F107" s="52"/>
    </row>
    <row r="108" spans="2:6" x14ac:dyDescent="0.35">
      <c r="B108" s="52"/>
      <c r="C108" s="52"/>
      <c r="D108" s="68"/>
      <c r="E108" s="52"/>
      <c r="F108" s="52"/>
    </row>
    <row r="109" spans="2:6" x14ac:dyDescent="0.35">
      <c r="B109" s="52"/>
      <c r="C109" s="52"/>
      <c r="D109" s="68"/>
      <c r="E109" s="52"/>
      <c r="F109" s="52"/>
    </row>
    <row r="110" spans="2:6" x14ac:dyDescent="0.35">
      <c r="B110" s="52"/>
      <c r="C110" s="52"/>
      <c r="D110" s="68"/>
      <c r="E110" s="52"/>
      <c r="F110" s="52"/>
    </row>
    <row r="111" spans="2:6" x14ac:dyDescent="0.35">
      <c r="B111" s="52"/>
      <c r="C111" s="52"/>
      <c r="D111" s="68"/>
      <c r="E111" s="52"/>
      <c r="F111" s="52"/>
    </row>
    <row r="112" spans="2:6" x14ac:dyDescent="0.35">
      <c r="B112" s="52"/>
      <c r="C112" s="52"/>
      <c r="D112" s="68"/>
      <c r="E112" s="52"/>
      <c r="F112" s="52"/>
    </row>
    <row r="113" spans="2:6" x14ac:dyDescent="0.35">
      <c r="B113" s="52"/>
      <c r="C113" s="52"/>
      <c r="D113" s="68"/>
      <c r="E113" s="52"/>
      <c r="F113" s="52"/>
    </row>
    <row r="114" spans="2:6" x14ac:dyDescent="0.35">
      <c r="B114" s="52"/>
      <c r="C114" s="52"/>
      <c r="D114" s="68"/>
      <c r="E114" s="52"/>
      <c r="F114" s="52"/>
    </row>
    <row r="115" spans="2:6" x14ac:dyDescent="0.35">
      <c r="B115" s="52"/>
      <c r="C115" s="52"/>
      <c r="D115" s="68"/>
      <c r="E115" s="52"/>
      <c r="F115" s="52"/>
    </row>
    <row r="116" spans="2:6" x14ac:dyDescent="0.35">
      <c r="B116" s="52"/>
      <c r="C116" s="52"/>
      <c r="D116" s="68"/>
      <c r="E116" s="52"/>
      <c r="F116" s="52"/>
    </row>
    <row r="117" spans="2:6" x14ac:dyDescent="0.35">
      <c r="B117" s="52"/>
      <c r="C117" s="52"/>
      <c r="D117" s="68"/>
      <c r="E117" s="52"/>
      <c r="F117" s="52"/>
    </row>
    <row r="118" spans="2:6" x14ac:dyDescent="0.35">
      <c r="B118" s="52"/>
      <c r="C118" s="52"/>
      <c r="D118" s="68"/>
      <c r="E118" s="52"/>
      <c r="F118" s="52"/>
    </row>
    <row r="119" spans="2:6" x14ac:dyDescent="0.35">
      <c r="B119" s="52"/>
      <c r="C119" s="52"/>
      <c r="D119" s="68"/>
      <c r="E119" s="52"/>
      <c r="F119" s="52"/>
    </row>
    <row r="120" spans="2:6" x14ac:dyDescent="0.35">
      <c r="B120" s="52"/>
      <c r="C120" s="52"/>
      <c r="D120" s="68"/>
      <c r="E120" s="52"/>
      <c r="F120" s="52"/>
    </row>
    <row r="121" spans="2:6" x14ac:dyDescent="0.35">
      <c r="B121" s="52"/>
      <c r="C121" s="52"/>
      <c r="D121" s="68"/>
      <c r="E121" s="52"/>
      <c r="F121" s="52"/>
    </row>
    <row r="122" spans="2:6" x14ac:dyDescent="0.35">
      <c r="B122" s="52"/>
      <c r="C122" s="52"/>
      <c r="D122" s="68"/>
      <c r="E122" s="52"/>
      <c r="F122" s="52"/>
    </row>
    <row r="123" spans="2:6" x14ac:dyDescent="0.35">
      <c r="B123" s="52"/>
      <c r="C123" s="52"/>
      <c r="D123" s="68"/>
      <c r="E123" s="52"/>
      <c r="F123" s="52"/>
    </row>
    <row r="124" spans="2:6" x14ac:dyDescent="0.35">
      <c r="B124" s="52"/>
      <c r="C124" s="52"/>
      <c r="D124" s="68"/>
      <c r="E124" s="52"/>
      <c r="F124" s="52"/>
    </row>
    <row r="125" spans="2:6" x14ac:dyDescent="0.35">
      <c r="B125" s="52"/>
      <c r="C125" s="52"/>
      <c r="D125" s="68"/>
      <c r="E125" s="52"/>
      <c r="F125" s="52"/>
    </row>
    <row r="126" spans="2:6" x14ac:dyDescent="0.35">
      <c r="B126" s="52"/>
      <c r="C126" s="52"/>
      <c r="D126" s="68"/>
      <c r="E126" s="52"/>
      <c r="F126" s="52"/>
    </row>
    <row r="127" spans="2:6" x14ac:dyDescent="0.35">
      <c r="B127" s="52"/>
      <c r="C127" s="52"/>
      <c r="D127" s="68"/>
      <c r="E127" s="52"/>
      <c r="F127" s="52"/>
    </row>
    <row r="128" spans="2:6" x14ac:dyDescent="0.35">
      <c r="B128" s="52"/>
      <c r="C128" s="52"/>
      <c r="D128" s="68"/>
      <c r="E128" s="52"/>
      <c r="F128" s="52"/>
    </row>
    <row r="129" spans="2:6" x14ac:dyDescent="0.35">
      <c r="B129" s="52"/>
      <c r="C129" s="52"/>
      <c r="D129" s="68"/>
      <c r="E129" s="52"/>
      <c r="F129" s="52"/>
    </row>
    <row r="130" spans="2:6" x14ac:dyDescent="0.35">
      <c r="B130" s="52"/>
      <c r="C130" s="52"/>
      <c r="D130" s="68"/>
      <c r="E130" s="52"/>
      <c r="F130" s="52"/>
    </row>
    <row r="131" spans="2:6" x14ac:dyDescent="0.35">
      <c r="B131" s="52"/>
      <c r="C131" s="52"/>
      <c r="D131" s="68"/>
      <c r="E131" s="52"/>
      <c r="F131" s="52"/>
    </row>
    <row r="132" spans="2:6" x14ac:dyDescent="0.35">
      <c r="B132" s="52"/>
      <c r="C132" s="52"/>
      <c r="D132" s="68"/>
      <c r="E132" s="52"/>
      <c r="F132" s="52"/>
    </row>
    <row r="133" spans="2:6" x14ac:dyDescent="0.35">
      <c r="B133" s="52"/>
      <c r="C133" s="52"/>
      <c r="D133" s="68"/>
      <c r="E133" s="52"/>
      <c r="F133" s="52"/>
    </row>
    <row r="134" spans="2:6" x14ac:dyDescent="0.35">
      <c r="B134" s="52"/>
      <c r="C134" s="52"/>
      <c r="D134" s="68"/>
      <c r="E134" s="52"/>
      <c r="F134" s="52"/>
    </row>
    <row r="135" spans="2:6" x14ac:dyDescent="0.35">
      <c r="B135" s="52"/>
      <c r="C135" s="52"/>
      <c r="D135" s="68"/>
      <c r="E135" s="52"/>
      <c r="F135" s="52"/>
    </row>
    <row r="136" spans="2:6" x14ac:dyDescent="0.35">
      <c r="B136" s="52"/>
      <c r="C136" s="52"/>
      <c r="D136" s="68"/>
      <c r="E136" s="52"/>
      <c r="F136" s="52"/>
    </row>
    <row r="137" spans="2:6" x14ac:dyDescent="0.35">
      <c r="B137" s="52"/>
      <c r="C137" s="52"/>
      <c r="D137" s="68"/>
      <c r="E137" s="52"/>
      <c r="F137" s="52"/>
    </row>
    <row r="138" spans="2:6" x14ac:dyDescent="0.35">
      <c r="B138" s="52"/>
      <c r="C138" s="52"/>
      <c r="D138" s="68"/>
      <c r="E138" s="52"/>
      <c r="F138" s="52"/>
    </row>
    <row r="139" spans="2:6" x14ac:dyDescent="0.35">
      <c r="B139" s="52"/>
      <c r="C139" s="52"/>
      <c r="D139" s="68"/>
      <c r="E139" s="52"/>
      <c r="F139" s="52"/>
    </row>
    <row r="140" spans="2:6" x14ac:dyDescent="0.35">
      <c r="B140" s="52"/>
      <c r="C140" s="52"/>
      <c r="D140" s="68"/>
      <c r="E140" s="52"/>
      <c r="F140" s="52"/>
    </row>
    <row r="141" spans="2:6" x14ac:dyDescent="0.35">
      <c r="B141" s="52"/>
      <c r="C141" s="52"/>
      <c r="D141" s="68"/>
      <c r="E141" s="52"/>
      <c r="F141" s="52"/>
    </row>
    <row r="142" spans="2:6" x14ac:dyDescent="0.35">
      <c r="B142" s="52"/>
      <c r="C142" s="52"/>
      <c r="D142" s="68"/>
      <c r="E142" s="52"/>
      <c r="F142" s="52"/>
    </row>
    <row r="143" spans="2:6" x14ac:dyDescent="0.35">
      <c r="B143" s="52"/>
      <c r="C143" s="52"/>
      <c r="D143" s="68"/>
      <c r="E143" s="52"/>
      <c r="F143" s="52"/>
    </row>
    <row r="144" spans="2:6" x14ac:dyDescent="0.35">
      <c r="B144" s="52"/>
      <c r="C144" s="52"/>
      <c r="D144" s="68"/>
      <c r="E144" s="52"/>
      <c r="F144" s="52"/>
    </row>
    <row r="145" spans="2:6" x14ac:dyDescent="0.35">
      <c r="B145" s="52"/>
      <c r="C145" s="52"/>
      <c r="D145" s="68"/>
      <c r="E145" s="52"/>
      <c r="F145" s="52"/>
    </row>
    <row r="146" spans="2:6" x14ac:dyDescent="0.35">
      <c r="B146" s="52"/>
      <c r="C146" s="52"/>
      <c r="D146" s="68"/>
      <c r="E146" s="52"/>
      <c r="F146" s="52"/>
    </row>
    <row r="147" spans="2:6" x14ac:dyDescent="0.35">
      <c r="B147" s="52"/>
      <c r="C147" s="52"/>
      <c r="D147" s="68"/>
      <c r="E147" s="52"/>
      <c r="F147" s="52"/>
    </row>
    <row r="148" spans="2:6" x14ac:dyDescent="0.35">
      <c r="B148" s="52"/>
      <c r="C148" s="52"/>
      <c r="D148" s="68"/>
      <c r="E148" s="52"/>
      <c r="F148" s="52"/>
    </row>
    <row r="149" spans="2:6" x14ac:dyDescent="0.35">
      <c r="B149" s="52"/>
      <c r="C149" s="52"/>
      <c r="D149" s="68"/>
      <c r="E149" s="52"/>
      <c r="F149" s="52"/>
    </row>
    <row r="150" spans="2:6" x14ac:dyDescent="0.35">
      <c r="B150" s="52"/>
      <c r="C150" s="52"/>
      <c r="D150" s="68"/>
      <c r="E150" s="52"/>
      <c r="F150" s="52"/>
    </row>
    <row r="151" spans="2:6" x14ac:dyDescent="0.35">
      <c r="B151" s="52"/>
      <c r="C151" s="52"/>
      <c r="D151" s="68"/>
      <c r="E151" s="52"/>
      <c r="F151" s="52"/>
    </row>
    <row r="152" spans="2:6" x14ac:dyDescent="0.35">
      <c r="B152" s="52"/>
      <c r="C152" s="52"/>
      <c r="D152" s="68"/>
      <c r="E152" s="52"/>
      <c r="F152" s="52"/>
    </row>
    <row r="153" spans="2:6" x14ac:dyDescent="0.35">
      <c r="B153" s="52"/>
      <c r="C153" s="52"/>
      <c r="D153" s="68"/>
      <c r="E153" s="52"/>
      <c r="F153" s="52"/>
    </row>
    <row r="154" spans="2:6" x14ac:dyDescent="0.35">
      <c r="B154" s="52"/>
      <c r="C154" s="52"/>
      <c r="D154" s="68"/>
      <c r="E154" s="52"/>
      <c r="F154" s="52"/>
    </row>
    <row r="155" spans="2:6" x14ac:dyDescent="0.35">
      <c r="B155" s="52"/>
      <c r="C155" s="52"/>
      <c r="D155" s="68"/>
      <c r="E155" s="52"/>
      <c r="F155" s="52"/>
    </row>
    <row r="156" spans="2:6" x14ac:dyDescent="0.35">
      <c r="B156" s="52"/>
      <c r="C156" s="52"/>
      <c r="D156" s="68"/>
      <c r="E156" s="52"/>
      <c r="F156" s="52"/>
    </row>
    <row r="157" spans="2:6" x14ac:dyDescent="0.35">
      <c r="B157" s="52"/>
      <c r="C157" s="52"/>
      <c r="D157" s="68"/>
      <c r="E157" s="52"/>
      <c r="F157" s="52"/>
    </row>
    <row r="158" spans="2:6" x14ac:dyDescent="0.35">
      <c r="B158" s="52"/>
      <c r="C158" s="52"/>
      <c r="D158" s="68"/>
      <c r="E158" s="52"/>
      <c r="F158" s="52"/>
    </row>
    <row r="159" spans="2:6" x14ac:dyDescent="0.35">
      <c r="B159" s="52"/>
      <c r="C159" s="52"/>
      <c r="D159" s="68"/>
      <c r="E159" s="52"/>
      <c r="F159" s="52"/>
    </row>
    <row r="160" spans="2:6" x14ac:dyDescent="0.35">
      <c r="B160" s="52"/>
      <c r="C160" s="52"/>
      <c r="D160" s="68"/>
      <c r="E160" s="52"/>
      <c r="F160" s="52"/>
    </row>
    <row r="161" spans="2:6" x14ac:dyDescent="0.35">
      <c r="B161" s="52"/>
      <c r="C161" s="52"/>
      <c r="D161" s="68"/>
      <c r="E161" s="52"/>
      <c r="F161" s="52"/>
    </row>
    <row r="162" spans="2:6" x14ac:dyDescent="0.35">
      <c r="B162" s="52"/>
      <c r="C162" s="52"/>
      <c r="D162" s="68"/>
      <c r="E162" s="52"/>
      <c r="F162" s="52"/>
    </row>
    <row r="163" spans="2:6" x14ac:dyDescent="0.35">
      <c r="B163" s="52"/>
      <c r="C163" s="52"/>
      <c r="D163" s="68"/>
      <c r="E163" s="52"/>
      <c r="F163" s="52"/>
    </row>
    <row r="164" spans="2:6" x14ac:dyDescent="0.35">
      <c r="B164" s="52"/>
      <c r="C164" s="52"/>
      <c r="D164" s="68"/>
      <c r="E164" s="52"/>
      <c r="F164" s="52"/>
    </row>
    <row r="165" spans="2:6" x14ac:dyDescent="0.35">
      <c r="B165" s="52"/>
      <c r="C165" s="52"/>
      <c r="D165" s="68"/>
      <c r="E165" s="52"/>
      <c r="F165" s="52"/>
    </row>
    <row r="166" spans="2:6" x14ac:dyDescent="0.35">
      <c r="B166" s="52"/>
      <c r="C166" s="52"/>
      <c r="D166" s="68"/>
      <c r="E166" s="52"/>
      <c r="F166" s="52"/>
    </row>
    <row r="167" spans="2:6" x14ac:dyDescent="0.35">
      <c r="B167" s="52"/>
      <c r="C167" s="52"/>
      <c r="D167" s="68"/>
      <c r="E167" s="52"/>
      <c r="F167" s="52"/>
    </row>
    <row r="168" spans="2:6" x14ac:dyDescent="0.35">
      <c r="B168" s="52"/>
      <c r="C168" s="52"/>
      <c r="D168" s="68"/>
      <c r="E168" s="52"/>
      <c r="F168" s="52"/>
    </row>
    <row r="169" spans="2:6" x14ac:dyDescent="0.35">
      <c r="B169" s="52"/>
      <c r="C169" s="52"/>
      <c r="D169" s="68"/>
      <c r="E169" s="52"/>
      <c r="F169" s="52"/>
    </row>
    <row r="170" spans="2:6" x14ac:dyDescent="0.35">
      <c r="B170" s="52"/>
      <c r="C170" s="52"/>
      <c r="D170" s="68"/>
      <c r="E170" s="52"/>
      <c r="F170" s="52"/>
    </row>
    <row r="171" spans="2:6" x14ac:dyDescent="0.35">
      <c r="B171" s="52"/>
      <c r="C171" s="52"/>
      <c r="D171" s="68"/>
      <c r="E171" s="52"/>
      <c r="F171" s="52"/>
    </row>
    <row r="172" spans="2:6" x14ac:dyDescent="0.35">
      <c r="B172" s="52"/>
      <c r="C172" s="52"/>
      <c r="D172" s="68"/>
      <c r="E172" s="52"/>
      <c r="F172" s="52"/>
    </row>
    <row r="173" spans="2:6" x14ac:dyDescent="0.35">
      <c r="B173" s="52"/>
      <c r="C173" s="52"/>
      <c r="D173" s="68"/>
      <c r="E173" s="52"/>
      <c r="F173" s="52"/>
    </row>
    <row r="174" spans="2:6" x14ac:dyDescent="0.35">
      <c r="B174" s="52"/>
      <c r="C174" s="52"/>
      <c r="D174" s="68"/>
      <c r="E174" s="52"/>
      <c r="F174" s="52"/>
    </row>
    <row r="175" spans="2:6" x14ac:dyDescent="0.35">
      <c r="B175" s="52"/>
      <c r="C175" s="52"/>
      <c r="D175" s="68"/>
      <c r="E175" s="52"/>
      <c r="F175" s="52"/>
    </row>
    <row r="176" spans="2:6" x14ac:dyDescent="0.35">
      <c r="B176" s="52"/>
      <c r="C176" s="52"/>
      <c r="D176" s="68"/>
      <c r="E176" s="52"/>
      <c r="F176" s="52"/>
    </row>
    <row r="177" spans="2:6" x14ac:dyDescent="0.35">
      <c r="B177" s="52"/>
      <c r="C177" s="52"/>
      <c r="D177" s="68"/>
      <c r="E177" s="52"/>
      <c r="F177" s="52"/>
    </row>
    <row r="178" spans="2:6" x14ac:dyDescent="0.35">
      <c r="B178" s="52"/>
      <c r="C178" s="52"/>
      <c r="D178" s="68"/>
      <c r="E178" s="52"/>
      <c r="F178" s="52"/>
    </row>
    <row r="179" spans="2:6" x14ac:dyDescent="0.35">
      <c r="B179" s="52"/>
      <c r="C179" s="52"/>
      <c r="D179" s="68"/>
      <c r="E179" s="52"/>
      <c r="F179" s="52"/>
    </row>
    <row r="180" spans="2:6" x14ac:dyDescent="0.35">
      <c r="B180" s="52"/>
      <c r="C180" s="52"/>
      <c r="D180" s="68"/>
      <c r="E180" s="52"/>
      <c r="F180" s="52"/>
    </row>
    <row r="181" spans="2:6" x14ac:dyDescent="0.35">
      <c r="B181" s="52"/>
      <c r="C181" s="52"/>
      <c r="D181" s="68"/>
      <c r="E181" s="52"/>
      <c r="F181" s="52"/>
    </row>
    <row r="182" spans="2:6" x14ac:dyDescent="0.35">
      <c r="B182" s="52"/>
      <c r="C182" s="52"/>
      <c r="D182" s="68"/>
      <c r="E182" s="52"/>
      <c r="F182" s="52"/>
    </row>
    <row r="183" spans="2:6" x14ac:dyDescent="0.35">
      <c r="B183" s="52"/>
      <c r="C183" s="52"/>
      <c r="D183" s="68"/>
      <c r="E183" s="52"/>
      <c r="F183" s="52"/>
    </row>
    <row r="184" spans="2:6" x14ac:dyDescent="0.35">
      <c r="B184" s="52"/>
      <c r="C184" s="52"/>
      <c r="D184" s="68"/>
      <c r="E184" s="52"/>
      <c r="F184" s="52"/>
    </row>
    <row r="185" spans="2:6" x14ac:dyDescent="0.35">
      <c r="B185" s="52"/>
      <c r="C185" s="52"/>
      <c r="D185" s="68"/>
      <c r="E185" s="52"/>
      <c r="F185" s="52"/>
    </row>
    <row r="186" spans="2:6" x14ac:dyDescent="0.35">
      <c r="B186" s="52"/>
      <c r="C186" s="52"/>
      <c r="D186" s="68"/>
      <c r="E186" s="52"/>
      <c r="F186" s="52"/>
    </row>
    <row r="187" spans="2:6" x14ac:dyDescent="0.35">
      <c r="B187" s="52"/>
      <c r="C187" s="52"/>
      <c r="D187" s="68"/>
      <c r="E187" s="52"/>
      <c r="F187" s="52"/>
    </row>
    <row r="188" spans="2:6" x14ac:dyDescent="0.35">
      <c r="B188" s="52"/>
      <c r="C188" s="52"/>
      <c r="D188" s="68"/>
      <c r="E188" s="52"/>
      <c r="F188" s="52"/>
    </row>
    <row r="189" spans="2:6" x14ac:dyDescent="0.35">
      <c r="B189" s="52"/>
      <c r="C189" s="52"/>
      <c r="D189" s="68"/>
      <c r="E189" s="52"/>
      <c r="F189" s="52"/>
    </row>
    <row r="190" spans="2:6" x14ac:dyDescent="0.35">
      <c r="B190" s="52"/>
      <c r="C190" s="52"/>
      <c r="D190" s="68"/>
      <c r="E190" s="52"/>
      <c r="F190" s="52"/>
    </row>
    <row r="191" spans="2:6" x14ac:dyDescent="0.35">
      <c r="B191" s="52"/>
      <c r="C191" s="52"/>
      <c r="D191" s="68"/>
      <c r="E191" s="52"/>
      <c r="F191" s="52"/>
    </row>
    <row r="192" spans="2:6" x14ac:dyDescent="0.35">
      <c r="B192" s="52"/>
      <c r="C192" s="52"/>
      <c r="D192" s="68"/>
      <c r="E192" s="52"/>
      <c r="F192" s="52"/>
    </row>
    <row r="193" spans="2:6" x14ac:dyDescent="0.35">
      <c r="B193" s="52"/>
      <c r="C193" s="52"/>
      <c r="D193" s="68"/>
      <c r="E193" s="52"/>
      <c r="F193" s="52"/>
    </row>
    <row r="194" spans="2:6" x14ac:dyDescent="0.35">
      <c r="B194" s="52"/>
      <c r="C194" s="52"/>
      <c r="D194" s="68"/>
      <c r="E194" s="52"/>
      <c r="F194" s="52"/>
    </row>
    <row r="195" spans="2:6" x14ac:dyDescent="0.35">
      <c r="B195" s="52"/>
      <c r="C195" s="52"/>
      <c r="D195" s="68"/>
      <c r="E195" s="52"/>
      <c r="F195" s="52"/>
    </row>
    <row r="196" spans="2:6" x14ac:dyDescent="0.35">
      <c r="B196" s="52"/>
      <c r="C196" s="52"/>
      <c r="D196" s="68"/>
      <c r="E196" s="52"/>
      <c r="F196" s="52"/>
    </row>
    <row r="197" spans="2:6" x14ac:dyDescent="0.35">
      <c r="B197" s="52"/>
      <c r="C197" s="52"/>
      <c r="D197" s="68"/>
      <c r="E197" s="52"/>
      <c r="F197" s="52"/>
    </row>
    <row r="198" spans="2:6" x14ac:dyDescent="0.35">
      <c r="B198" s="52"/>
      <c r="C198" s="52"/>
      <c r="D198" s="68"/>
      <c r="E198" s="52"/>
      <c r="F198" s="52"/>
    </row>
    <row r="199" spans="2:6" x14ac:dyDescent="0.35">
      <c r="B199" s="52"/>
      <c r="C199" s="52"/>
      <c r="D199" s="68"/>
      <c r="E199" s="52"/>
      <c r="F199" s="52"/>
    </row>
    <row r="200" spans="2:6" x14ac:dyDescent="0.35">
      <c r="B200" s="52"/>
      <c r="C200" s="52"/>
      <c r="D200" s="68"/>
      <c r="E200" s="52"/>
      <c r="F200" s="52"/>
    </row>
    <row r="201" spans="2:6" x14ac:dyDescent="0.35">
      <c r="B201" s="52"/>
      <c r="C201" s="52"/>
      <c r="D201" s="68"/>
      <c r="E201" s="52"/>
      <c r="F201" s="52"/>
    </row>
    <row r="202" spans="2:6" x14ac:dyDescent="0.35">
      <c r="B202" s="52"/>
      <c r="C202" s="52"/>
      <c r="D202" s="68"/>
      <c r="E202" s="52"/>
      <c r="F202" s="52"/>
    </row>
    <row r="203" spans="2:6" x14ac:dyDescent="0.35">
      <c r="B203" s="52"/>
      <c r="C203" s="52"/>
      <c r="D203" s="68"/>
      <c r="E203" s="52"/>
      <c r="F203" s="52"/>
    </row>
    <row r="204" spans="2:6" x14ac:dyDescent="0.35">
      <c r="B204" s="52"/>
      <c r="C204" s="52"/>
      <c r="D204" s="68"/>
      <c r="E204" s="52"/>
      <c r="F204" s="52"/>
    </row>
    <row r="205" spans="2:6" x14ac:dyDescent="0.35">
      <c r="B205" s="52"/>
      <c r="C205" s="52"/>
      <c r="D205" s="68"/>
      <c r="E205" s="52"/>
      <c r="F205" s="52"/>
    </row>
    <row r="206" spans="2:6" x14ac:dyDescent="0.35">
      <c r="B206" s="52"/>
      <c r="C206" s="52"/>
      <c r="D206" s="68"/>
      <c r="E206" s="52"/>
      <c r="F206" s="52"/>
    </row>
    <row r="207" spans="2:6" x14ac:dyDescent="0.35">
      <c r="B207" s="52"/>
      <c r="C207" s="52"/>
      <c r="D207" s="68"/>
      <c r="E207" s="52"/>
      <c r="F207" s="52"/>
    </row>
    <row r="208" spans="2:6" x14ac:dyDescent="0.35">
      <c r="B208" s="52"/>
      <c r="C208" s="52"/>
      <c r="D208" s="68"/>
      <c r="E208" s="52"/>
      <c r="F208" s="52"/>
    </row>
    <row r="209" spans="2:6" x14ac:dyDescent="0.35">
      <c r="B209" s="52"/>
      <c r="C209" s="52"/>
      <c r="D209" s="68"/>
      <c r="E209" s="52"/>
      <c r="F209" s="52"/>
    </row>
    <row r="210" spans="2:6" x14ac:dyDescent="0.35">
      <c r="B210" s="52"/>
      <c r="C210" s="52"/>
      <c r="D210" s="68"/>
      <c r="E210" s="52"/>
      <c r="F210" s="52"/>
    </row>
    <row r="211" spans="2:6" x14ac:dyDescent="0.35">
      <c r="B211" s="52"/>
      <c r="C211" s="52"/>
      <c r="D211" s="68"/>
      <c r="E211" s="52"/>
      <c r="F211" s="52"/>
    </row>
    <row r="212" spans="2:6" x14ac:dyDescent="0.35">
      <c r="B212" s="52"/>
      <c r="C212" s="52"/>
      <c r="D212" s="68"/>
      <c r="E212" s="52"/>
      <c r="F212" s="52"/>
    </row>
    <row r="213" spans="2:6" x14ac:dyDescent="0.35">
      <c r="B213" s="52"/>
      <c r="C213" s="52"/>
      <c r="D213" s="68"/>
      <c r="E213" s="52"/>
      <c r="F213" s="52"/>
    </row>
    <row r="214" spans="2:6" x14ac:dyDescent="0.35">
      <c r="B214" s="52"/>
      <c r="C214" s="52"/>
      <c r="D214" s="68"/>
      <c r="E214" s="52"/>
      <c r="F214" s="52"/>
    </row>
    <row r="215" spans="2:6" x14ac:dyDescent="0.35">
      <c r="B215" s="52"/>
      <c r="C215" s="52"/>
      <c r="D215" s="68"/>
      <c r="E215" s="52"/>
      <c r="F215" s="52"/>
    </row>
    <row r="216" spans="2:6" x14ac:dyDescent="0.35">
      <c r="B216" s="52"/>
      <c r="C216" s="52"/>
      <c r="D216" s="68"/>
      <c r="E216" s="52"/>
      <c r="F216" s="52"/>
    </row>
    <row r="217" spans="2:6" x14ac:dyDescent="0.35">
      <c r="B217" s="52"/>
      <c r="C217" s="52"/>
      <c r="D217" s="68"/>
      <c r="E217" s="52"/>
      <c r="F217" s="52"/>
    </row>
    <row r="218" spans="2:6" x14ac:dyDescent="0.35">
      <c r="B218" s="52"/>
      <c r="C218" s="52"/>
      <c r="D218" s="68"/>
      <c r="E218" s="52"/>
      <c r="F218" s="52"/>
    </row>
    <row r="219" spans="2:6" x14ac:dyDescent="0.35">
      <c r="B219" s="52"/>
      <c r="C219" s="52"/>
      <c r="D219" s="68"/>
      <c r="E219" s="52"/>
      <c r="F219" s="52"/>
    </row>
    <row r="220" spans="2:6" x14ac:dyDescent="0.35">
      <c r="B220" s="52"/>
      <c r="C220" s="52"/>
      <c r="D220" s="68"/>
      <c r="E220" s="52"/>
      <c r="F220" s="52"/>
    </row>
    <row r="221" spans="2:6" x14ac:dyDescent="0.35">
      <c r="B221" s="52"/>
      <c r="C221" s="52"/>
      <c r="D221" s="68"/>
      <c r="E221" s="52"/>
      <c r="F221" s="52"/>
    </row>
    <row r="222" spans="2:6" x14ac:dyDescent="0.35">
      <c r="B222" s="52"/>
      <c r="C222" s="52"/>
      <c r="D222" s="68"/>
      <c r="E222" s="52"/>
      <c r="F222" s="52"/>
    </row>
    <row r="223" spans="2:6" x14ac:dyDescent="0.35">
      <c r="B223" s="52"/>
      <c r="C223" s="52"/>
      <c r="D223" s="68"/>
      <c r="E223" s="52"/>
      <c r="F223" s="52"/>
    </row>
    <row r="224" spans="2:6" x14ac:dyDescent="0.35">
      <c r="B224" s="52"/>
      <c r="C224" s="52"/>
      <c r="D224" s="68"/>
      <c r="E224" s="52"/>
      <c r="F224" s="52"/>
    </row>
    <row r="225" spans="2:6" x14ac:dyDescent="0.35">
      <c r="B225" s="52"/>
      <c r="C225" s="52"/>
      <c r="D225" s="68"/>
      <c r="E225" s="52"/>
      <c r="F225" s="52"/>
    </row>
    <row r="226" spans="2:6" x14ac:dyDescent="0.35">
      <c r="B226" s="52"/>
      <c r="C226" s="52"/>
      <c r="D226" s="68"/>
      <c r="E226" s="52"/>
      <c r="F226" s="52"/>
    </row>
    <row r="227" spans="2:6" x14ac:dyDescent="0.35">
      <c r="B227" s="52"/>
      <c r="C227" s="52"/>
      <c r="D227" s="68"/>
      <c r="E227" s="52"/>
      <c r="F227" s="52"/>
    </row>
    <row r="228" spans="2:6" x14ac:dyDescent="0.35">
      <c r="B228" s="52"/>
      <c r="C228" s="52"/>
      <c r="D228" s="68"/>
      <c r="E228" s="52"/>
      <c r="F228" s="52"/>
    </row>
    <row r="229" spans="2:6" x14ac:dyDescent="0.35">
      <c r="B229" s="52"/>
      <c r="C229" s="52"/>
      <c r="D229" s="68"/>
      <c r="E229" s="52"/>
      <c r="F229" s="52"/>
    </row>
    <row r="230" spans="2:6" x14ac:dyDescent="0.35">
      <c r="B230" s="52"/>
      <c r="C230" s="52"/>
      <c r="D230" s="68"/>
      <c r="E230" s="52"/>
      <c r="F230" s="52"/>
    </row>
    <row r="231" spans="2:6" x14ac:dyDescent="0.35">
      <c r="B231" s="52"/>
      <c r="C231" s="52"/>
      <c r="D231" s="68"/>
      <c r="E231" s="52"/>
      <c r="F231" s="52"/>
    </row>
    <row r="232" spans="2:6" x14ac:dyDescent="0.35">
      <c r="B232" s="52"/>
      <c r="C232" s="52"/>
      <c r="D232" s="68"/>
      <c r="E232" s="52"/>
      <c r="F232" s="52"/>
    </row>
    <row r="233" spans="2:6" x14ac:dyDescent="0.35">
      <c r="B233" s="52"/>
      <c r="C233" s="52"/>
      <c r="D233" s="68"/>
      <c r="E233" s="52"/>
      <c r="F233" s="52"/>
    </row>
    <row r="234" spans="2:6" x14ac:dyDescent="0.35">
      <c r="B234" s="52"/>
      <c r="C234" s="52"/>
      <c r="D234" s="68"/>
      <c r="E234" s="52"/>
      <c r="F234" s="52"/>
    </row>
    <row r="235" spans="2:6" x14ac:dyDescent="0.35">
      <c r="B235" s="52"/>
      <c r="C235" s="52"/>
      <c r="D235" s="68"/>
      <c r="E235" s="52"/>
      <c r="F235" s="52"/>
    </row>
    <row r="236" spans="2:6" x14ac:dyDescent="0.35">
      <c r="B236" s="52"/>
      <c r="C236" s="52"/>
      <c r="D236" s="68"/>
      <c r="E236" s="52"/>
      <c r="F236" s="52"/>
    </row>
    <row r="237" spans="2:6" x14ac:dyDescent="0.35">
      <c r="B237" s="52"/>
      <c r="C237" s="52"/>
      <c r="D237" s="68"/>
      <c r="E237" s="52"/>
      <c r="F237" s="52"/>
    </row>
    <row r="238" spans="2:6" x14ac:dyDescent="0.35">
      <c r="B238" s="52"/>
      <c r="C238" s="52"/>
      <c r="D238" s="68"/>
      <c r="E238" s="52"/>
      <c r="F238" s="52"/>
    </row>
    <row r="239" spans="2:6" x14ac:dyDescent="0.35">
      <c r="B239" s="52"/>
      <c r="C239" s="52"/>
      <c r="D239" s="68"/>
      <c r="E239" s="52"/>
      <c r="F239" s="52"/>
    </row>
    <row r="240" spans="2:6" x14ac:dyDescent="0.35">
      <c r="B240" s="52"/>
      <c r="C240" s="52"/>
      <c r="D240" s="68"/>
      <c r="E240" s="52"/>
      <c r="F240" s="52"/>
    </row>
    <row r="241" spans="2:6" x14ac:dyDescent="0.35">
      <c r="B241" s="52"/>
      <c r="C241" s="52"/>
      <c r="D241" s="68"/>
      <c r="E241" s="52"/>
      <c r="F241" s="52"/>
    </row>
    <row r="242" spans="2:6" x14ac:dyDescent="0.35">
      <c r="B242" s="52"/>
      <c r="C242" s="52"/>
      <c r="D242" s="68"/>
      <c r="E242" s="52"/>
      <c r="F242" s="52"/>
    </row>
    <row r="243" spans="2:6" x14ac:dyDescent="0.35">
      <c r="B243" s="52"/>
      <c r="C243" s="52"/>
      <c r="D243" s="68"/>
      <c r="E243" s="52"/>
      <c r="F243" s="52"/>
    </row>
    <row r="244" spans="2:6" x14ac:dyDescent="0.35">
      <c r="B244" s="52"/>
      <c r="C244" s="52"/>
      <c r="D244" s="68"/>
      <c r="E244" s="52"/>
      <c r="F244" s="52"/>
    </row>
    <row r="245" spans="2:6" x14ac:dyDescent="0.35">
      <c r="B245" s="52"/>
      <c r="C245" s="52"/>
      <c r="D245" s="68"/>
      <c r="E245" s="52"/>
      <c r="F245" s="52"/>
    </row>
    <row r="246" spans="2:6" x14ac:dyDescent="0.35">
      <c r="B246" s="52"/>
      <c r="C246" s="52"/>
      <c r="D246" s="68"/>
      <c r="E246" s="52"/>
      <c r="F246" s="52"/>
    </row>
    <row r="247" spans="2:6" x14ac:dyDescent="0.35">
      <c r="B247" s="52"/>
      <c r="C247" s="52"/>
      <c r="D247" s="68"/>
      <c r="E247" s="52"/>
      <c r="F247" s="52"/>
    </row>
    <row r="248" spans="2:6" x14ac:dyDescent="0.35">
      <c r="B248" s="52"/>
      <c r="C248" s="52"/>
      <c r="D248" s="68"/>
      <c r="E248" s="52"/>
      <c r="F248" s="52"/>
    </row>
    <row r="249" spans="2:6" x14ac:dyDescent="0.35">
      <c r="B249" s="52"/>
      <c r="C249" s="52"/>
      <c r="D249" s="68"/>
      <c r="E249" s="52"/>
      <c r="F249" s="52"/>
    </row>
    <row r="250" spans="2:6" x14ac:dyDescent="0.35">
      <c r="B250" s="52"/>
      <c r="C250" s="52"/>
      <c r="D250" s="68"/>
      <c r="E250" s="52"/>
      <c r="F250" s="52"/>
    </row>
    <row r="251" spans="2:6" x14ac:dyDescent="0.35">
      <c r="B251" s="52"/>
      <c r="C251" s="52"/>
      <c r="D251" s="68"/>
      <c r="E251" s="52"/>
      <c r="F251" s="52"/>
    </row>
    <row r="252" spans="2:6" x14ac:dyDescent="0.35">
      <c r="B252" s="52"/>
      <c r="C252" s="52"/>
      <c r="D252" s="68"/>
      <c r="E252" s="52"/>
      <c r="F252" s="52"/>
    </row>
    <row r="253" spans="2:6" x14ac:dyDescent="0.35">
      <c r="B253" s="52"/>
      <c r="C253" s="52"/>
      <c r="D253" s="68"/>
      <c r="E253" s="52"/>
      <c r="F253" s="52"/>
    </row>
    <row r="254" spans="2:6" x14ac:dyDescent="0.35">
      <c r="B254" s="52"/>
      <c r="C254" s="52"/>
      <c r="D254" s="68"/>
      <c r="E254" s="52"/>
      <c r="F254" s="52"/>
    </row>
    <row r="255" spans="2:6" x14ac:dyDescent="0.35">
      <c r="B255" s="52"/>
      <c r="C255" s="52"/>
      <c r="D255" s="68"/>
      <c r="E255" s="52"/>
      <c r="F255" s="52"/>
    </row>
    <row r="256" spans="2:6" x14ac:dyDescent="0.35">
      <c r="B256" s="52"/>
      <c r="C256" s="52"/>
      <c r="D256" s="68"/>
      <c r="E256" s="52"/>
      <c r="F256" s="52"/>
    </row>
    <row r="257" spans="2:6" x14ac:dyDescent="0.35">
      <c r="B257" s="52"/>
      <c r="C257" s="52"/>
      <c r="D257" s="68"/>
      <c r="E257" s="52"/>
      <c r="F257" s="52"/>
    </row>
    <row r="258" spans="2:6" x14ac:dyDescent="0.35">
      <c r="B258" s="52"/>
      <c r="C258" s="52"/>
      <c r="D258" s="68"/>
      <c r="E258" s="52"/>
      <c r="F258" s="52"/>
    </row>
    <row r="259" spans="2:6" x14ac:dyDescent="0.35">
      <c r="B259" s="52"/>
      <c r="C259" s="52"/>
      <c r="D259" s="68"/>
      <c r="E259" s="52"/>
      <c r="F259" s="52"/>
    </row>
    <row r="260" spans="2:6" x14ac:dyDescent="0.35">
      <c r="B260" s="52"/>
      <c r="C260" s="52"/>
      <c r="D260" s="68"/>
      <c r="E260" s="52"/>
      <c r="F260" s="52"/>
    </row>
    <row r="261" spans="2:6" x14ac:dyDescent="0.35">
      <c r="B261" s="52"/>
      <c r="C261" s="52"/>
      <c r="D261" s="68"/>
      <c r="E261" s="52"/>
      <c r="F261" s="52"/>
    </row>
    <row r="262" spans="2:6" x14ac:dyDescent="0.35">
      <c r="B262" s="52"/>
      <c r="C262" s="52"/>
      <c r="D262" s="68"/>
      <c r="E262" s="52"/>
      <c r="F262" s="52"/>
    </row>
    <row r="263" spans="2:6" x14ac:dyDescent="0.35">
      <c r="B263" s="52"/>
      <c r="C263" s="52"/>
      <c r="D263" s="68"/>
      <c r="E263" s="52"/>
      <c r="F263" s="52"/>
    </row>
    <row r="264" spans="2:6" x14ac:dyDescent="0.35">
      <c r="B264" s="52"/>
      <c r="C264" s="52"/>
      <c r="D264" s="68"/>
      <c r="E264" s="52"/>
      <c r="F264" s="52"/>
    </row>
    <row r="265" spans="2:6" x14ac:dyDescent="0.35">
      <c r="B265" s="52"/>
      <c r="C265" s="52"/>
      <c r="D265" s="68"/>
      <c r="E265" s="52"/>
      <c r="F265" s="52"/>
    </row>
    <row r="266" spans="2:6" x14ac:dyDescent="0.35">
      <c r="B266" s="52"/>
      <c r="C266" s="52"/>
      <c r="D266" s="68"/>
      <c r="E266" s="52"/>
      <c r="F266" s="52"/>
    </row>
    <row r="267" spans="2:6" x14ac:dyDescent="0.35">
      <c r="B267" s="52"/>
      <c r="C267" s="52"/>
      <c r="D267" s="68"/>
      <c r="E267" s="52"/>
      <c r="F267" s="52"/>
    </row>
    <row r="268" spans="2:6" x14ac:dyDescent="0.35">
      <c r="B268" s="52"/>
      <c r="C268" s="52"/>
      <c r="D268" s="68"/>
      <c r="E268" s="52"/>
      <c r="F268" s="52"/>
    </row>
    <row r="269" spans="2:6" x14ac:dyDescent="0.35">
      <c r="B269" s="52"/>
      <c r="C269" s="52"/>
      <c r="D269" s="68"/>
      <c r="E269" s="52"/>
      <c r="F269" s="52"/>
    </row>
    <row r="270" spans="2:6" x14ac:dyDescent="0.35">
      <c r="B270" s="52"/>
      <c r="C270" s="52"/>
      <c r="D270" s="68"/>
      <c r="E270" s="52"/>
      <c r="F270" s="52"/>
    </row>
    <row r="271" spans="2:6" x14ac:dyDescent="0.35">
      <c r="B271" s="52"/>
      <c r="C271" s="52"/>
      <c r="D271" s="68"/>
      <c r="E271" s="52"/>
      <c r="F271" s="52"/>
    </row>
    <row r="272" spans="2:6" x14ac:dyDescent="0.35">
      <c r="B272" s="52"/>
      <c r="C272" s="52"/>
      <c r="D272" s="68"/>
      <c r="E272" s="52"/>
      <c r="F272" s="52"/>
    </row>
    <row r="273" spans="2:6" x14ac:dyDescent="0.35">
      <c r="B273" s="52"/>
      <c r="C273" s="52"/>
      <c r="D273" s="68"/>
      <c r="E273" s="52"/>
      <c r="F273" s="52"/>
    </row>
    <row r="274" spans="2:6" x14ac:dyDescent="0.35">
      <c r="B274" s="52"/>
      <c r="C274" s="52"/>
      <c r="D274" s="68"/>
      <c r="E274" s="52"/>
      <c r="F274" s="52"/>
    </row>
    <row r="275" spans="2:6" x14ac:dyDescent="0.35">
      <c r="B275" s="52"/>
      <c r="C275" s="52"/>
      <c r="D275" s="68"/>
      <c r="E275" s="52"/>
      <c r="F275" s="52"/>
    </row>
    <row r="276" spans="2:6" x14ac:dyDescent="0.35">
      <c r="B276" s="52"/>
      <c r="C276" s="52"/>
      <c r="D276" s="68"/>
      <c r="E276" s="52"/>
      <c r="F276" s="52"/>
    </row>
    <row r="277" spans="2:6" x14ac:dyDescent="0.35">
      <c r="B277" s="52"/>
      <c r="C277" s="52"/>
      <c r="D277" s="68"/>
      <c r="E277" s="52"/>
      <c r="F277" s="52"/>
    </row>
    <row r="278" spans="2:6" x14ac:dyDescent="0.35">
      <c r="B278" s="52"/>
      <c r="C278" s="52"/>
      <c r="D278" s="68"/>
      <c r="E278" s="52"/>
      <c r="F278" s="52"/>
    </row>
    <row r="279" spans="2:6" x14ac:dyDescent="0.35">
      <c r="B279" s="52"/>
      <c r="C279" s="52"/>
      <c r="D279" s="68"/>
      <c r="E279" s="52"/>
      <c r="F279" s="52"/>
    </row>
    <row r="280" spans="2:6" x14ac:dyDescent="0.35">
      <c r="B280" s="52"/>
      <c r="C280" s="52"/>
      <c r="D280" s="68"/>
      <c r="E280" s="52"/>
      <c r="F280" s="52"/>
    </row>
    <row r="281" spans="2:6" x14ac:dyDescent="0.35">
      <c r="B281" s="52"/>
      <c r="C281" s="52"/>
      <c r="D281" s="68"/>
      <c r="E281" s="52"/>
      <c r="F281" s="52"/>
    </row>
    <row r="282" spans="2:6" x14ac:dyDescent="0.35">
      <c r="B282" s="52"/>
      <c r="C282" s="52"/>
      <c r="D282" s="68"/>
      <c r="E282" s="52"/>
      <c r="F282" s="52"/>
    </row>
    <row r="283" spans="2:6" x14ac:dyDescent="0.35">
      <c r="B283" s="52"/>
      <c r="C283" s="52"/>
      <c r="D283" s="68"/>
      <c r="E283" s="52"/>
      <c r="F283" s="52"/>
    </row>
    <row r="284" spans="2:6" x14ac:dyDescent="0.35">
      <c r="B284" s="52"/>
      <c r="C284" s="52"/>
      <c r="D284" s="68"/>
      <c r="E284" s="52"/>
      <c r="F284" s="52"/>
    </row>
    <row r="285" spans="2:6" x14ac:dyDescent="0.35">
      <c r="B285" s="52"/>
      <c r="C285" s="52"/>
      <c r="D285" s="68"/>
      <c r="E285" s="52"/>
      <c r="F285" s="52"/>
    </row>
    <row r="286" spans="2:6" x14ac:dyDescent="0.35">
      <c r="B286" s="52"/>
      <c r="C286" s="52"/>
      <c r="D286" s="68"/>
      <c r="E286" s="52"/>
      <c r="F286" s="52"/>
    </row>
    <row r="287" spans="2:6" x14ac:dyDescent="0.35">
      <c r="B287" s="52"/>
      <c r="C287" s="52"/>
      <c r="D287" s="68"/>
      <c r="E287" s="52"/>
      <c r="F287" s="52"/>
    </row>
    <row r="288" spans="2:6" x14ac:dyDescent="0.35">
      <c r="B288" s="52"/>
      <c r="C288" s="52"/>
      <c r="D288" s="68"/>
      <c r="E288" s="52"/>
      <c r="F288" s="52"/>
    </row>
    <row r="289" spans="2:6" x14ac:dyDescent="0.35">
      <c r="B289" s="52"/>
      <c r="C289" s="52"/>
      <c r="D289" s="68"/>
      <c r="E289" s="52"/>
      <c r="F289" s="52"/>
    </row>
    <row r="290" spans="2:6" x14ac:dyDescent="0.35">
      <c r="B290" s="52"/>
      <c r="C290" s="52"/>
      <c r="D290" s="68"/>
      <c r="E290" s="52"/>
      <c r="F290" s="52"/>
    </row>
    <row r="291" spans="2:6" x14ac:dyDescent="0.35">
      <c r="B291" s="52"/>
      <c r="C291" s="52"/>
      <c r="D291" s="68"/>
      <c r="E291" s="52"/>
      <c r="F291" s="52"/>
    </row>
    <row r="292" spans="2:6" x14ac:dyDescent="0.35">
      <c r="B292" s="52"/>
      <c r="C292" s="52"/>
      <c r="D292" s="68"/>
      <c r="E292" s="52"/>
      <c r="F292" s="52"/>
    </row>
    <row r="293" spans="2:6" x14ac:dyDescent="0.35">
      <c r="B293" s="52"/>
      <c r="C293" s="52"/>
      <c r="D293" s="68"/>
      <c r="E293" s="52"/>
      <c r="F293" s="52"/>
    </row>
    <row r="294" spans="2:6" x14ac:dyDescent="0.35">
      <c r="B294" s="52"/>
      <c r="C294" s="52"/>
      <c r="D294" s="68"/>
      <c r="E294" s="52"/>
      <c r="F294" s="52"/>
    </row>
    <row r="295" spans="2:6" x14ac:dyDescent="0.35">
      <c r="B295" s="52"/>
      <c r="C295" s="52"/>
      <c r="D295" s="68"/>
      <c r="E295" s="52"/>
      <c r="F295" s="52"/>
    </row>
    <row r="296" spans="2:6" x14ac:dyDescent="0.35">
      <c r="B296" s="52"/>
      <c r="C296" s="52"/>
      <c r="D296" s="68"/>
      <c r="E296" s="52"/>
      <c r="F296" s="52"/>
    </row>
    <row r="297" spans="2:6" x14ac:dyDescent="0.35">
      <c r="B297" s="52"/>
      <c r="C297" s="52"/>
      <c r="D297" s="68"/>
      <c r="E297" s="52"/>
      <c r="F297" s="52"/>
    </row>
    <row r="298" spans="2:6" x14ac:dyDescent="0.35">
      <c r="B298" s="52"/>
      <c r="C298" s="52"/>
      <c r="D298" s="68"/>
      <c r="E298" s="52"/>
      <c r="F298" s="52"/>
    </row>
    <row r="299" spans="2:6" x14ac:dyDescent="0.35">
      <c r="B299" s="52"/>
      <c r="C299" s="52"/>
      <c r="D299" s="68"/>
      <c r="E299" s="52"/>
      <c r="F299" s="52"/>
    </row>
    <row r="300" spans="2:6" x14ac:dyDescent="0.35">
      <c r="B300" s="52"/>
      <c r="C300" s="52"/>
      <c r="D300" s="68"/>
      <c r="E300" s="52"/>
      <c r="F300" s="52"/>
    </row>
    <row r="301" spans="2:6" x14ac:dyDescent="0.35">
      <c r="B301" s="52"/>
      <c r="C301" s="52"/>
      <c r="D301" s="68"/>
      <c r="E301" s="52"/>
      <c r="F301" s="52"/>
    </row>
    <row r="302" spans="2:6" x14ac:dyDescent="0.35">
      <c r="B302" s="52"/>
      <c r="C302" s="52"/>
      <c r="D302" s="68"/>
      <c r="E302" s="52"/>
      <c r="F302" s="52"/>
    </row>
    <row r="303" spans="2:6" x14ac:dyDescent="0.35">
      <c r="B303" s="52"/>
      <c r="C303" s="52"/>
      <c r="D303" s="68"/>
      <c r="E303" s="52"/>
      <c r="F303" s="52"/>
    </row>
    <row r="304" spans="2:6" x14ac:dyDescent="0.35">
      <c r="B304" s="52"/>
      <c r="C304" s="52"/>
      <c r="D304" s="68"/>
      <c r="E304" s="52"/>
      <c r="F304" s="52"/>
    </row>
    <row r="305" spans="2:6" x14ac:dyDescent="0.35">
      <c r="B305" s="52"/>
      <c r="C305" s="52"/>
      <c r="D305" s="68"/>
      <c r="E305" s="52"/>
      <c r="F305" s="52"/>
    </row>
    <row r="306" spans="2:6" x14ac:dyDescent="0.35">
      <c r="B306" s="52"/>
      <c r="C306" s="52"/>
      <c r="D306" s="68"/>
      <c r="E306" s="52"/>
      <c r="F306" s="52"/>
    </row>
    <row r="307" spans="2:6" x14ac:dyDescent="0.35">
      <c r="B307" s="52"/>
      <c r="C307" s="52"/>
      <c r="D307" s="68"/>
      <c r="E307" s="52"/>
      <c r="F307" s="52"/>
    </row>
    <row r="308" spans="2:6" x14ac:dyDescent="0.35">
      <c r="B308" s="52"/>
      <c r="C308" s="52"/>
      <c r="D308" s="68"/>
      <c r="E308" s="52"/>
      <c r="F308" s="52"/>
    </row>
    <row r="309" spans="2:6" x14ac:dyDescent="0.35">
      <c r="B309" s="52"/>
      <c r="C309" s="52"/>
      <c r="D309" s="68"/>
      <c r="E309" s="52"/>
      <c r="F309" s="52"/>
    </row>
    <row r="310" spans="2:6" x14ac:dyDescent="0.35">
      <c r="B310" s="52"/>
      <c r="C310" s="52"/>
      <c r="D310" s="68"/>
      <c r="E310" s="52"/>
      <c r="F310" s="52"/>
    </row>
    <row r="311" spans="2:6" x14ac:dyDescent="0.35">
      <c r="B311" s="52"/>
      <c r="C311" s="52"/>
      <c r="D311" s="68"/>
      <c r="E311" s="52"/>
      <c r="F311" s="52"/>
    </row>
    <row r="312" spans="2:6" x14ac:dyDescent="0.35">
      <c r="B312" s="52"/>
      <c r="C312" s="52"/>
      <c r="D312" s="68"/>
      <c r="E312" s="52"/>
      <c r="F312" s="52"/>
    </row>
    <row r="313" spans="2:6" x14ac:dyDescent="0.35">
      <c r="B313" s="52"/>
      <c r="C313" s="52"/>
      <c r="D313" s="68"/>
      <c r="E313" s="52"/>
      <c r="F313" s="52"/>
    </row>
    <row r="314" spans="2:6" x14ac:dyDescent="0.35">
      <c r="B314" s="52"/>
      <c r="C314" s="52"/>
      <c r="D314" s="68"/>
      <c r="E314" s="52"/>
      <c r="F314" s="52"/>
    </row>
    <row r="315" spans="2:6" x14ac:dyDescent="0.35">
      <c r="B315" s="52"/>
      <c r="C315" s="52"/>
      <c r="D315" s="68"/>
      <c r="E315" s="52"/>
      <c r="F315" s="52"/>
    </row>
    <row r="316" spans="2:6" x14ac:dyDescent="0.35">
      <c r="B316" s="52"/>
      <c r="C316" s="52"/>
      <c r="D316" s="68"/>
      <c r="E316" s="52"/>
      <c r="F316" s="52"/>
    </row>
    <row r="317" spans="2:6" x14ac:dyDescent="0.35">
      <c r="B317" s="52"/>
      <c r="C317" s="52"/>
      <c r="D317" s="68"/>
      <c r="E317" s="52"/>
      <c r="F317" s="52"/>
    </row>
    <row r="318" spans="2:6" x14ac:dyDescent="0.35">
      <c r="B318" s="52"/>
      <c r="C318" s="52"/>
      <c r="D318" s="68"/>
      <c r="E318" s="52"/>
      <c r="F318" s="52"/>
    </row>
    <row r="319" spans="2:6" x14ac:dyDescent="0.35">
      <c r="B319" s="52"/>
      <c r="C319" s="52"/>
      <c r="D319" s="68"/>
      <c r="E319" s="52"/>
      <c r="F319" s="52"/>
    </row>
    <row r="320" spans="2:6" x14ac:dyDescent="0.35">
      <c r="B320" s="52"/>
      <c r="C320" s="52"/>
      <c r="D320" s="68"/>
      <c r="E320" s="52"/>
      <c r="F320" s="52"/>
    </row>
    <row r="321" spans="2:6" x14ac:dyDescent="0.35">
      <c r="B321" s="52"/>
      <c r="C321" s="52"/>
      <c r="D321" s="68"/>
      <c r="E321" s="52"/>
      <c r="F321" s="52"/>
    </row>
    <row r="322" spans="2:6" x14ac:dyDescent="0.35">
      <c r="B322" s="52"/>
      <c r="C322" s="52"/>
      <c r="D322" s="68"/>
      <c r="E322" s="52"/>
      <c r="F322" s="52"/>
    </row>
    <row r="323" spans="2:6" x14ac:dyDescent="0.35">
      <c r="B323" s="52"/>
      <c r="C323" s="52"/>
      <c r="D323" s="68"/>
      <c r="E323" s="52"/>
      <c r="F323" s="52"/>
    </row>
    <row r="324" spans="2:6" x14ac:dyDescent="0.35">
      <c r="B324" s="52"/>
      <c r="C324" s="52"/>
      <c r="D324" s="68"/>
      <c r="E324" s="52"/>
      <c r="F324" s="52"/>
    </row>
    <row r="325" spans="2:6" x14ac:dyDescent="0.35">
      <c r="B325" s="52"/>
      <c r="C325" s="52"/>
      <c r="D325" s="68"/>
      <c r="E325" s="52"/>
      <c r="F325" s="52"/>
    </row>
    <row r="326" spans="2:6" x14ac:dyDescent="0.35">
      <c r="B326" s="52"/>
      <c r="C326" s="52"/>
      <c r="D326" s="68"/>
      <c r="E326" s="52"/>
      <c r="F326" s="52"/>
    </row>
    <row r="327" spans="2:6" x14ac:dyDescent="0.35">
      <c r="B327" s="52"/>
      <c r="C327" s="52"/>
      <c r="D327" s="68"/>
      <c r="E327" s="52"/>
      <c r="F327" s="52"/>
    </row>
    <row r="328" spans="2:6" x14ac:dyDescent="0.35">
      <c r="B328" s="52"/>
      <c r="C328" s="52"/>
      <c r="D328" s="68"/>
      <c r="E328" s="52"/>
      <c r="F328" s="52"/>
    </row>
    <row r="329" spans="2:6" x14ac:dyDescent="0.35">
      <c r="B329" s="52"/>
      <c r="C329" s="52"/>
      <c r="D329" s="68"/>
      <c r="E329" s="52"/>
      <c r="F329" s="52"/>
    </row>
    <row r="330" spans="2:6" x14ac:dyDescent="0.35">
      <c r="B330" s="52"/>
      <c r="C330" s="52"/>
      <c r="D330" s="68"/>
      <c r="E330" s="52"/>
      <c r="F330" s="52"/>
    </row>
    <row r="331" spans="2:6" x14ac:dyDescent="0.35">
      <c r="B331" s="52"/>
      <c r="C331" s="52"/>
      <c r="D331" s="68"/>
      <c r="E331" s="52"/>
      <c r="F331" s="52"/>
    </row>
    <row r="332" spans="2:6" x14ac:dyDescent="0.35">
      <c r="B332" s="52"/>
      <c r="C332" s="52"/>
      <c r="D332" s="68"/>
      <c r="E332" s="52"/>
      <c r="F332" s="52"/>
    </row>
  </sheetData>
  <mergeCells count="1">
    <mergeCell ref="B2:C2"/>
  </mergeCells>
  <dataValidations count="1">
    <dataValidation type="whole" allowBlank="1" showInputMessage="1" showErrorMessage="1" sqref="D81:D332" xr:uid="{96D9CCED-6E6A-40D4-98DC-19657C5618E5}">
      <formula1>1</formula1>
      <formula2>300</formula2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2C5DAAAF-C344-4B41-BB74-7B4D59517E78}">
            <xm:f>_xlfn.CEILING.MATH((ROW()-80)/'League Settings'!$I$2)&gt;SUM('League Settings'!$F$4:$F$11)</xm:f>
            <x14:dxf>
              <font>
                <color theme="0"/>
              </font>
              <fill>
                <patternFill patternType="none">
                  <bgColor auto="1"/>
                </patternFill>
              </fill>
              <border>
                <left/>
                <right/>
                <top/>
                <bottom/>
                <vertical/>
                <horizontal/>
              </border>
            </x14:dxf>
          </x14:cfRule>
          <xm:sqref>B81:F332</xm:sqref>
        </x14:conditionalFormatting>
        <x14:conditionalFormatting xmlns:xm="http://schemas.microsoft.com/office/excel/2006/main">
          <x14:cfRule type="expression" priority="2" id="{E6FC64DD-BD80-4703-8C88-59A2DDF9F9AE}">
            <xm:f>ISNUMBER(MATCH($E4,'Live Draft Picks'!$D$3:$D$252,0))</xm:f>
            <x14:dxf>
              <fill>
                <patternFill>
                  <bgColor rgb="FFFF0000"/>
                </patternFill>
              </fill>
            </x14:dxf>
          </x14:cfRule>
          <xm:sqref>B4:E33</xm:sqref>
        </x14:conditionalFormatting>
        <x14:conditionalFormatting xmlns:xm="http://schemas.microsoft.com/office/excel/2006/main">
          <x14:cfRule type="expression" priority="3" id="{79559409-AD51-44F7-B526-4545E27272D1}">
            <xm:f>ISNUMBER(MATCH($J4,'Live Draft Picks'!$D$3:$D$252,0))</xm:f>
            <x14:dxf>
              <fill>
                <patternFill>
                  <bgColor rgb="FFFF0000"/>
                </patternFill>
              </fill>
            </x14:dxf>
          </x14:cfRule>
          <xm:sqref>G4:J78</xm:sqref>
        </x14:conditionalFormatting>
        <x14:conditionalFormatting xmlns:xm="http://schemas.microsoft.com/office/excel/2006/main">
          <x14:cfRule type="expression" priority="4" id="{45950FD6-BC82-452A-95FE-D07086E3F22C}">
            <xm:f>ISNUMBER(MATCH($O4,'Live Draft Picks'!$D$3:$D$252,0))</xm:f>
            <x14:dxf>
              <fill>
                <patternFill>
                  <bgColor rgb="FFFF0000"/>
                </patternFill>
              </fill>
            </x14:dxf>
          </x14:cfRule>
          <xm:sqref>L4:O78</xm:sqref>
        </x14:conditionalFormatting>
        <x14:conditionalFormatting xmlns:xm="http://schemas.microsoft.com/office/excel/2006/main">
          <x14:cfRule type="expression" priority="5" id="{AD81D170-A6B7-4BFD-A187-C37923C9555D}">
            <xm:f>ISNUMBER(MATCH($T4,'Live Draft Picks'!$D$3:$D$252,0))</xm:f>
            <x14:dxf>
              <fill>
                <patternFill>
                  <bgColor rgb="FFFF0000"/>
                </patternFill>
              </fill>
            </x14:dxf>
          </x14:cfRule>
          <xm:sqref>Q4:T33</xm:sqref>
        </x14:conditionalFormatting>
        <x14:conditionalFormatting xmlns:xm="http://schemas.microsoft.com/office/excel/2006/main">
          <x14:cfRule type="expression" priority="6" id="{2B202C46-386E-4865-BBE6-53D735D258D5}">
            <xm:f>ISNUMBER(MATCH($Y4,'Live Draft Picks'!$D$3:$D$252,0))</xm:f>
            <x14:dxf>
              <fill>
                <patternFill>
                  <bgColor rgb="FFFF0000"/>
                </patternFill>
              </fill>
            </x14:dxf>
          </x14:cfRule>
          <xm:sqref>V4:Y23</xm:sqref>
        </x14:conditionalFormatting>
        <x14:conditionalFormatting xmlns:xm="http://schemas.microsoft.com/office/excel/2006/main">
          <x14:cfRule type="expression" priority="7" id="{C2026FE7-CF07-4EE5-95FE-AE046237A7CF}">
            <xm:f>ISNUMBER(MATCH($AD4,'Live Draft Picks'!$D$3:$D$252,0))</xm:f>
            <x14:dxf>
              <fill>
                <patternFill>
                  <bgColor rgb="FFFF0000"/>
                </patternFill>
              </fill>
            </x14:dxf>
          </x14:cfRule>
          <xm:sqref>AA4:AD23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0A1053-21AA-413E-AFF1-7723FB64B506}">
  <sheetPr codeName="Sheet9"/>
  <dimension ref="B1:N254"/>
  <sheetViews>
    <sheetView topLeftCell="A109" zoomScale="90" zoomScaleNormal="90" workbookViewId="0">
      <selection activeCell="D126" sqref="D126"/>
    </sheetView>
  </sheetViews>
  <sheetFormatPr defaultRowHeight="14.5" x14ac:dyDescent="0.35"/>
  <cols>
    <col min="1" max="1" width="1.81640625" bestFit="1" customWidth="1"/>
    <col min="2" max="2" width="10.6328125" bestFit="1" customWidth="1"/>
    <col min="3" max="3" width="6.26953125" bestFit="1" customWidth="1"/>
    <col min="4" max="4" width="4.36328125" bestFit="1" customWidth="1"/>
    <col min="5" max="5" width="25.36328125" bestFit="1" customWidth="1"/>
    <col min="6" max="6" width="4.36328125" customWidth="1"/>
    <col min="7" max="7" width="1.453125" bestFit="1" customWidth="1"/>
    <col min="10" max="10" width="4.36328125" bestFit="1" customWidth="1"/>
    <col min="11" max="11" width="25.36328125" bestFit="1" customWidth="1"/>
    <col min="12" max="12" width="4" bestFit="1" customWidth="1"/>
    <col min="13" max="13" width="1.453125" bestFit="1" customWidth="1"/>
    <col min="14" max="14" width="9.6328125" bestFit="1" customWidth="1"/>
    <col min="15" max="15" width="8.7265625" customWidth="1"/>
  </cols>
  <sheetData>
    <row r="1" spans="2:14" ht="7.5" customHeight="1" thickBot="1" x14ac:dyDescent="0.4"/>
    <row r="2" spans="2:14" ht="15" thickBot="1" x14ac:dyDescent="0.4">
      <c r="B2" s="59" t="s">
        <v>33</v>
      </c>
      <c r="C2" s="61" t="s">
        <v>825</v>
      </c>
      <c r="D2" s="61" t="s">
        <v>813</v>
      </c>
      <c r="E2" s="61" t="s">
        <v>826</v>
      </c>
      <c r="F2" s="60" t="s">
        <v>32</v>
      </c>
      <c r="G2" s="52"/>
      <c r="H2" s="201" t="s">
        <v>827</v>
      </c>
      <c r="I2" s="202"/>
      <c r="J2" s="1"/>
      <c r="K2" s="1"/>
      <c r="L2" s="1"/>
      <c r="N2" s="70" t="s">
        <v>1008</v>
      </c>
    </row>
    <row r="3" spans="2:14" ht="15" thickBot="1" x14ac:dyDescent="0.4">
      <c r="B3" s="12" t="str">
        <f>INDEX('League Settings'!$H$5:$H$18,IF(MOD(C3,2)=0,'League Settings'!$I$2-MOD(ROW()-3,'League Settings'!$I$2),MOD(ROW()-3,'League Settings'!$I$2)+1))</f>
        <v>1st</v>
      </c>
      <c r="C3" s="29">
        <f>CEILING((ROW()-2)/'League Settings'!$I$2,1)</f>
        <v>1</v>
      </c>
      <c r="D3" s="42">
        <v>1</v>
      </c>
      <c r="E3" s="34" t="str">
        <f>IF((D3)&gt;0,INDEX('Default Rankings'!$B$3:$D$302,'Live Draft Picks'!D3,2) &amp; " " &amp; INDEX('Default Rankings'!$B$3:$D$302,'Live Draft Picks'!D3,3),"")</f>
        <v>Christian McCaffrey CAR</v>
      </c>
      <c r="F3" s="35" t="str">
        <f>IF((D3)&gt;0,INDEX('Default Rankings'!$C$3:$E$302,'Live Draft Picks'!D3,3),"")</f>
        <v>RB</v>
      </c>
      <c r="H3" s="203" t="s">
        <v>828</v>
      </c>
      <c r="I3" s="204" t="s">
        <v>830</v>
      </c>
      <c r="J3" s="205" t="s">
        <v>813</v>
      </c>
      <c r="K3" s="205" t="s">
        <v>826</v>
      </c>
      <c r="L3" s="199" t="s">
        <v>32</v>
      </c>
      <c r="N3" s="71">
        <f>_xlfn.FLOOR.MATH(COUNTIF('Live Draft Picks'!D3:D254,"&gt;0")/'League Settings'!I2+1)</f>
        <v>16</v>
      </c>
    </row>
    <row r="4" spans="2:14" x14ac:dyDescent="0.35">
      <c r="B4" s="12" t="str">
        <f>INDEX('League Settings'!$H$5:$H$18,IF(MOD(C4,2)=0,'League Settings'!$I$2-MOD(ROW()-3,'League Settings'!$I$2),MOD(ROW()-3,'League Settings'!$I$2)+1))</f>
        <v>2nd</v>
      </c>
      <c r="C4" s="29">
        <f>CEILING((ROW()-2)/'League Settings'!$I$2,1)</f>
        <v>1</v>
      </c>
      <c r="D4" s="42">
        <v>2</v>
      </c>
      <c r="E4" s="34" t="str">
        <f>IF((D4)&gt;0,INDEX('Default Rankings'!$B$3:$D$302,'Live Draft Picks'!D4,2) &amp; " " &amp; INDEX('Default Rankings'!$B$3:$D$302,'Live Draft Picks'!D4,3),"")</f>
        <v>Saquon Barkley NYG</v>
      </c>
      <c r="F4" s="35" t="str">
        <f>IF((D4)&gt;0,INDEX('Default Rankings'!$C$3:$E$302,'Live Draft Picks'!D4,3),"")</f>
        <v>RB</v>
      </c>
      <c r="H4" s="203"/>
      <c r="I4" s="204"/>
      <c r="J4" s="206"/>
      <c r="K4" s="206"/>
      <c r="L4" s="200"/>
    </row>
    <row r="5" spans="2:14" x14ac:dyDescent="0.35">
      <c r="B5" s="12" t="str">
        <f>INDEX('League Settings'!$H$5:$H$18,IF(MOD(C5,2)=0,'League Settings'!$I$2-MOD(ROW()-3,'League Settings'!$I$2),MOD(ROW()-3,'League Settings'!$I$2)+1))</f>
        <v>3rd</v>
      </c>
      <c r="C5" s="29">
        <f>CEILING((ROW()-2)/'League Settings'!$I$2,1)</f>
        <v>1</v>
      </c>
      <c r="D5" s="42">
        <v>3</v>
      </c>
      <c r="E5" s="34" t="str">
        <f>IF((D5)&gt;0,INDEX('Default Rankings'!$B$3:$D$302,'Live Draft Picks'!D5,2) &amp; " " &amp; INDEX('Default Rankings'!$B$3:$D$302,'Live Draft Picks'!D5,3),"")</f>
        <v>Ezekiel Elliott DAL</v>
      </c>
      <c r="F5" s="35" t="str">
        <f>IF((D5)&gt;0,INDEX('Default Rankings'!$C$3:$E$302,'Live Draft Picks'!D5,3),"")</f>
        <v>RB</v>
      </c>
      <c r="H5" s="203"/>
      <c r="I5" s="204"/>
      <c r="J5" s="206"/>
      <c r="K5" s="206"/>
      <c r="L5" s="200"/>
    </row>
    <row r="6" spans="2:14" x14ac:dyDescent="0.35">
      <c r="B6" s="12" t="str">
        <f>INDEX('League Settings'!$H$5:$H$18,IF(MOD(C6,2)=0,'League Settings'!$I$2-MOD(ROW()-3,'League Settings'!$I$2),MOD(ROW()-3,'League Settings'!$I$2)+1))</f>
        <v>4th</v>
      </c>
      <c r="C6" s="29">
        <f>CEILING((ROW()-2)/'League Settings'!$I$2,1)</f>
        <v>1</v>
      </c>
      <c r="D6" s="42">
        <v>4</v>
      </c>
      <c r="E6" s="34" t="str">
        <f>IF((D6)&gt;0,INDEX('Default Rankings'!$B$3:$D$302,'Live Draft Picks'!D6,2) &amp; " " &amp; INDEX('Default Rankings'!$B$3:$D$302,'Live Draft Picks'!D6,3),"")</f>
        <v>Dalvin Cook MIN</v>
      </c>
      <c r="F6" s="35" t="str">
        <f>IF((D6)&gt;0,INDEX('Default Rankings'!$C$3:$E$302,'Live Draft Picks'!D6,3),"")</f>
        <v>RB</v>
      </c>
      <c r="H6" s="38">
        <v>0.34</v>
      </c>
      <c r="I6" s="40"/>
      <c r="J6" s="34"/>
      <c r="K6" s="34" t="str">
        <f>IF((J6)&gt;0,INDEX(#REF!,'Live Draft Picks'!J6,2) &amp; " " &amp; INDEX(#REF!,'Live Draft Picks'!J6,3),"")</f>
        <v/>
      </c>
      <c r="L6" s="35" t="str">
        <f>IF((J6)&gt;0,INDEX(#REF!,'Live Draft Picks'!J6,4),"")</f>
        <v/>
      </c>
    </row>
    <row r="7" spans="2:14" x14ac:dyDescent="0.35">
      <c r="B7" s="12" t="str">
        <f>INDEX('League Settings'!$H$5:$H$18,IF(MOD(C7,2)=0,'League Settings'!$I$2-MOD(ROW()-3,'League Settings'!$I$2),MOD(ROW()-3,'League Settings'!$I$2)+1))</f>
        <v>5th</v>
      </c>
      <c r="C7" s="29">
        <f>CEILING((ROW()-2)/'League Settings'!$I$2,1)</f>
        <v>1</v>
      </c>
      <c r="D7" s="42">
        <v>5</v>
      </c>
      <c r="E7" s="34" t="str">
        <f>IF((D7)&gt;0,INDEX('Default Rankings'!$B$3:$D$302,'Live Draft Picks'!D7,2) &amp; " " &amp; INDEX('Default Rankings'!$B$3:$D$302,'Live Draft Picks'!D7,3),"")</f>
        <v>Alvin Kamara NO</v>
      </c>
      <c r="F7" s="35" t="str">
        <f>IF((D7)&gt;0,INDEX('Default Rankings'!$C$3:$E$302,'Live Draft Picks'!D7,3),"")</f>
        <v>RB</v>
      </c>
      <c r="H7" s="38">
        <v>0.75</v>
      </c>
      <c r="I7" s="40"/>
      <c r="J7" s="34"/>
      <c r="K7" s="34" t="str">
        <f>IF((J7)&gt;0,INDEX(#REF!,'Live Draft Picks'!J7,2) &amp; " " &amp; INDEX(#REF!,'Live Draft Picks'!J7,3),"")</f>
        <v/>
      </c>
      <c r="L7" s="35" t="str">
        <f>IF((J7)&gt;0,INDEX(#REF!,'Live Draft Picks'!J7,4),"")</f>
        <v/>
      </c>
    </row>
    <row r="8" spans="2:14" x14ac:dyDescent="0.35">
      <c r="B8" s="12" t="str">
        <f>INDEX('League Settings'!$H$5:$H$18,IF(MOD(C8,2)=0,'League Settings'!$I$2-MOD(ROW()-3,'League Settings'!$I$2),MOD(ROW()-3,'League Settings'!$I$2)+1))</f>
        <v>6th</v>
      </c>
      <c r="C8" s="29">
        <f>CEILING((ROW()-2)/'League Settings'!$I$2,1)</f>
        <v>1</v>
      </c>
      <c r="D8" s="42">
        <v>7</v>
      </c>
      <c r="E8" s="34" t="str">
        <f>IF((D8)&gt;0,INDEX('Default Rankings'!$B$3:$D$302,'Live Draft Picks'!D8,2) &amp; " " &amp; INDEX('Default Rankings'!$B$3:$D$302,'Live Draft Picks'!D8,3),"")</f>
        <v>Derrick Henry TEN</v>
      </c>
      <c r="F8" s="35" t="str">
        <f>IF((D8)&gt;0,INDEX('Default Rankings'!$C$3:$E$302,'Live Draft Picks'!D8,3),"")</f>
        <v>RB</v>
      </c>
      <c r="H8" s="38">
        <v>0.85</v>
      </c>
      <c r="I8" s="40"/>
      <c r="J8" s="34"/>
      <c r="K8" s="34" t="str">
        <f>IF((J8)&gt;0,INDEX(#REF!,'Live Draft Picks'!J8,2) &amp; " " &amp; INDEX(#REF!,'Live Draft Picks'!J8,3),"")</f>
        <v/>
      </c>
      <c r="L8" s="35" t="str">
        <f>IF((J8)&gt;0,INDEX(#REF!,'Live Draft Picks'!J8,4),"")</f>
        <v/>
      </c>
    </row>
    <row r="9" spans="2:14" x14ac:dyDescent="0.35">
      <c r="B9" s="12" t="str">
        <f>INDEX('League Settings'!$H$5:$H$18,IF(MOD(C9,2)=0,'League Settings'!$I$2-MOD(ROW()-3,'League Settings'!$I$2),MOD(ROW()-3,'League Settings'!$I$2)+1))</f>
        <v>7th</v>
      </c>
      <c r="C9" s="29">
        <f>CEILING((ROW()-2)/'League Settings'!$I$2,1)</f>
        <v>1</v>
      </c>
      <c r="D9" s="42">
        <v>6</v>
      </c>
      <c r="E9" s="34" t="str">
        <f>IF((D9)&gt;0,INDEX('Default Rankings'!$B$3:$D$302,'Live Draft Picks'!D9,2) &amp; " " &amp; INDEX('Default Rankings'!$B$3:$D$302,'Live Draft Picks'!D9,3),"")</f>
        <v>Michael Thomas NO</v>
      </c>
      <c r="F9" s="35" t="str">
        <f>IF((D9)&gt;0,INDEX('Default Rankings'!$C$3:$E$302,'Live Draft Picks'!D9,3),"")</f>
        <v>WR</v>
      </c>
      <c r="H9" s="38">
        <v>0.15</v>
      </c>
      <c r="I9" s="40"/>
      <c r="J9" s="34"/>
      <c r="K9" s="34" t="str">
        <f>IF((J9)&gt;0,INDEX(#REF!,'Live Draft Picks'!J9,2) &amp; " " &amp; INDEX(#REF!,'Live Draft Picks'!J9,3),"")</f>
        <v/>
      </c>
      <c r="L9" s="35" t="str">
        <f>IF((J9)&gt;0,INDEX(#REF!,'Live Draft Picks'!J9,4),"")</f>
        <v/>
      </c>
    </row>
    <row r="10" spans="2:14" x14ac:dyDescent="0.35">
      <c r="B10" s="12" t="str">
        <f>INDEX('League Settings'!$H$5:$H$18,IF(MOD(C10,2)=0,'League Settings'!$I$2-MOD(ROW()-3,'League Settings'!$I$2),MOD(ROW()-3,'League Settings'!$I$2)+1))</f>
        <v>8th</v>
      </c>
      <c r="C10" s="29">
        <f>CEILING((ROW()-2)/'League Settings'!$I$2,1)</f>
        <v>1</v>
      </c>
      <c r="D10" s="42">
        <v>8</v>
      </c>
      <c r="E10" s="34" t="str">
        <f>IF((D10)&gt;0,INDEX('Default Rankings'!$B$3:$D$302,'Live Draft Picks'!D10,2) &amp; " " &amp; INDEX('Default Rankings'!$B$3:$D$302,'Live Draft Picks'!D10,3),"")</f>
        <v>Clyde Edwards-Helaire KC</v>
      </c>
      <c r="F10" s="35" t="str">
        <f>IF((D10)&gt;0,INDEX('Default Rankings'!$C$3:$E$302,'Live Draft Picks'!D10,3),"")</f>
        <v>RB</v>
      </c>
      <c r="H10" s="38">
        <v>0.43</v>
      </c>
      <c r="I10" s="40"/>
      <c r="J10" s="34"/>
      <c r="K10" s="34" t="str">
        <f>IF((J10)&gt;0,INDEX(#REF!,'Live Draft Picks'!J10,2) &amp; " " &amp; INDEX(#REF!,'Live Draft Picks'!J10,3),"")</f>
        <v/>
      </c>
      <c r="L10" s="35" t="str">
        <f>IF((J10)&gt;0,INDEX(#REF!,'Live Draft Picks'!J10,4),"")</f>
        <v/>
      </c>
    </row>
    <row r="11" spans="2:14" x14ac:dyDescent="0.35">
      <c r="B11" s="12" t="str">
        <f>INDEX('League Settings'!$H$5:$H$18,IF(MOD(C11,2)=0,'League Settings'!$I$2-MOD(ROW()-3,'League Settings'!$I$2),MOD(ROW()-3,'League Settings'!$I$2)+1))</f>
        <v>8th</v>
      </c>
      <c r="C11" s="29">
        <f>CEILING((ROW()-2)/'League Settings'!$I$2,1)</f>
        <v>2</v>
      </c>
      <c r="D11" s="42">
        <v>10</v>
      </c>
      <c r="E11" s="34" t="str">
        <f>IF((D11)&gt;0,INDEX('Default Rankings'!$B$3:$D$302,'Live Draft Picks'!D11,2) &amp; " " &amp; INDEX('Default Rankings'!$B$3:$D$302,'Live Draft Picks'!D11,3),"")</f>
        <v>Josh Jacobs LV</v>
      </c>
      <c r="F11" s="35" t="str">
        <f>IF((D11)&gt;0,INDEX('Default Rankings'!$C$3:$E$302,'Live Draft Picks'!D11,3),"")</f>
        <v>RB</v>
      </c>
      <c r="H11" s="38">
        <v>0.45</v>
      </c>
      <c r="I11" s="40"/>
      <c r="J11" s="34"/>
      <c r="K11" s="34" t="str">
        <f>IF((J11)&gt;0,INDEX(#REF!,'Live Draft Picks'!J11,2) &amp; " " &amp; INDEX(#REF!,'Live Draft Picks'!J11,3),"")</f>
        <v/>
      </c>
      <c r="L11" s="35" t="str">
        <f>IF((J11)&gt;0,INDEX(#REF!,'Live Draft Picks'!J11,4),"")</f>
        <v/>
      </c>
    </row>
    <row r="12" spans="2:14" ht="15" thickBot="1" x14ac:dyDescent="0.4">
      <c r="B12" s="12" t="str">
        <f>INDEX('League Settings'!$H$5:$H$18,IF(MOD(C12,2)=0,'League Settings'!$I$2-MOD(ROW()-3,'League Settings'!$I$2),MOD(ROW()-3,'League Settings'!$I$2)+1))</f>
        <v>7th</v>
      </c>
      <c r="C12" s="29">
        <f>CEILING((ROW()-2)/'League Settings'!$I$2,1)</f>
        <v>2</v>
      </c>
      <c r="D12" s="42">
        <v>14</v>
      </c>
      <c r="E12" s="34" t="str">
        <f>IF((D12)&gt;0,INDEX('Default Rankings'!$B$3:$D$302,'Live Draft Picks'!D12,2) &amp; " " &amp; INDEX('Default Rankings'!$B$3:$D$302,'Live Draft Picks'!D12,3),"")</f>
        <v>Aaron Jones GB</v>
      </c>
      <c r="F12" s="35" t="str">
        <f>IF((D12)&gt;0,INDEX('Default Rankings'!$C$3:$E$302,'Live Draft Picks'!D12,3),"")</f>
        <v>RB</v>
      </c>
      <c r="H12" s="39">
        <v>0.55000000000000004</v>
      </c>
      <c r="I12" s="41"/>
      <c r="J12" s="36"/>
      <c r="K12" s="36" t="str">
        <f>IF((J12)&gt;0,INDEX(#REF!,'Live Draft Picks'!J12,2) &amp; " " &amp; INDEX(#REF!,'Live Draft Picks'!J12,3),"")</f>
        <v/>
      </c>
      <c r="L12" s="37" t="str">
        <f>IF((J12)&gt;0,INDEX(#REF!,'Live Draft Picks'!J12,4),"")</f>
        <v/>
      </c>
    </row>
    <row r="13" spans="2:14" x14ac:dyDescent="0.35">
      <c r="B13" s="12" t="str">
        <f>INDEX('League Settings'!$H$5:$H$18,IF(MOD(C13,2)=0,'League Settings'!$I$2-MOD(ROW()-3,'League Settings'!$I$2),MOD(ROW()-3,'League Settings'!$I$2)+1))</f>
        <v>6th</v>
      </c>
      <c r="C13" s="29">
        <f>CEILING((ROW()-2)/'League Settings'!$I$2,1)</f>
        <v>2</v>
      </c>
      <c r="D13" s="42">
        <v>16</v>
      </c>
      <c r="E13" s="34" t="str">
        <f>IF((D13)&gt;0,INDEX('Default Rankings'!$B$3:$D$302,'Live Draft Picks'!D13,2) &amp; " " &amp; INDEX('Default Rankings'!$B$3:$D$302,'Live Draft Picks'!D13,3),"")</f>
        <v>Davante Adams GB</v>
      </c>
      <c r="F13" s="35" t="str">
        <f>IF((D13)&gt;0,INDEX('Default Rankings'!$C$3:$E$302,'Live Draft Picks'!D13,3),"")</f>
        <v>WR</v>
      </c>
    </row>
    <row r="14" spans="2:14" x14ac:dyDescent="0.35">
      <c r="B14" s="12" t="str">
        <f>INDEX('League Settings'!$H$5:$H$18,IF(MOD(C14,2)=0,'League Settings'!$I$2-MOD(ROW()-3,'League Settings'!$I$2),MOD(ROW()-3,'League Settings'!$I$2)+1))</f>
        <v>5th</v>
      </c>
      <c r="C14" s="29">
        <f>CEILING((ROW()-2)/'League Settings'!$I$2,1)</f>
        <v>2</v>
      </c>
      <c r="D14" s="42">
        <v>18</v>
      </c>
      <c r="E14" s="34" t="str">
        <f>IF((D14)&gt;0,INDEX('Default Rankings'!$B$3:$D$302,'Live Draft Picks'!D14,2) &amp; " " &amp; INDEX('Default Rankings'!$B$3:$D$302,'Live Draft Picks'!D14,3),"")</f>
        <v>Julio Jones ATL</v>
      </c>
      <c r="F14" s="35" t="str">
        <f>IF((D14)&gt;0,INDEX('Default Rankings'!$C$3:$E$302,'Live Draft Picks'!D14,3),"")</f>
        <v>WR</v>
      </c>
    </row>
    <row r="15" spans="2:14" x14ac:dyDescent="0.35">
      <c r="B15" s="12" t="str">
        <f>INDEX('League Settings'!$H$5:$H$18,IF(MOD(C15,2)=0,'League Settings'!$I$2-MOD(ROW()-3,'League Settings'!$I$2),MOD(ROW()-3,'League Settings'!$I$2)+1))</f>
        <v>4th</v>
      </c>
      <c r="C15" s="29">
        <f>CEILING((ROW()-2)/'League Settings'!$I$2,1)</f>
        <v>2</v>
      </c>
      <c r="D15" s="42">
        <v>20</v>
      </c>
      <c r="E15" s="34" t="str">
        <f>IF((D15)&gt;0,INDEX('Default Rankings'!$B$3:$D$302,'Live Draft Picks'!D15,2) &amp; " " &amp; INDEX('Default Rankings'!$B$3:$D$302,'Live Draft Picks'!D15,3),"")</f>
        <v>Travis Kelce KC</v>
      </c>
      <c r="F15" s="35" t="str">
        <f>IF((D15)&gt;0,INDEX('Default Rankings'!$C$3:$E$302,'Live Draft Picks'!D15,3),"")</f>
        <v>TE</v>
      </c>
    </row>
    <row r="16" spans="2:14" x14ac:dyDescent="0.35">
      <c r="B16" s="12" t="str">
        <f>INDEX('League Settings'!$H$5:$H$18,IF(MOD(C16,2)=0,'League Settings'!$I$2-MOD(ROW()-3,'League Settings'!$I$2),MOD(ROW()-3,'League Settings'!$I$2)+1))</f>
        <v>3rd</v>
      </c>
      <c r="C16" s="29">
        <f>CEILING((ROW()-2)/'League Settings'!$I$2,1)</f>
        <v>2</v>
      </c>
      <c r="D16" s="42">
        <v>17</v>
      </c>
      <c r="E16" s="34" t="str">
        <f>IF((D16)&gt;0,INDEX('Default Rankings'!$B$3:$D$302,'Live Draft Picks'!D16,2) &amp; " " &amp; INDEX('Default Rankings'!$B$3:$D$302,'Live Draft Picks'!D16,3),"")</f>
        <v>Tyreek Hill KC</v>
      </c>
      <c r="F16" s="35" t="str">
        <f>IF((D16)&gt;0,INDEX('Default Rankings'!$C$3:$E$302,'Live Draft Picks'!D16,3),"")</f>
        <v>WR</v>
      </c>
    </row>
    <row r="17" spans="2:6" x14ac:dyDescent="0.35">
      <c r="B17" s="12" t="str">
        <f>INDEX('League Settings'!$H$5:$H$18,IF(MOD(C17,2)=0,'League Settings'!$I$2-MOD(ROW()-3,'League Settings'!$I$2),MOD(ROW()-3,'League Settings'!$I$2)+1))</f>
        <v>2nd</v>
      </c>
      <c r="C17" s="29">
        <f>CEILING((ROW()-2)/'League Settings'!$I$2,1)</f>
        <v>2</v>
      </c>
      <c r="D17" s="42">
        <v>13</v>
      </c>
      <c r="E17" s="34" t="str">
        <f>IF((D17)&gt;0,INDEX('Default Rankings'!$B$3:$D$302,'Live Draft Picks'!D17,2) &amp; " " &amp; INDEX('Default Rankings'!$B$3:$D$302,'Live Draft Picks'!D17,3),"")</f>
        <v>Kenyan Drake ARI</v>
      </c>
      <c r="F17" s="35" t="str">
        <f>IF((D17)&gt;0,INDEX('Default Rankings'!$C$3:$E$302,'Live Draft Picks'!D17,3),"")</f>
        <v>RB</v>
      </c>
    </row>
    <row r="18" spans="2:6" x14ac:dyDescent="0.35">
      <c r="B18" s="12" t="str">
        <f>INDEX('League Settings'!$H$5:$H$18,IF(MOD(C18,2)=0,'League Settings'!$I$2-MOD(ROW()-3,'League Settings'!$I$2),MOD(ROW()-3,'League Settings'!$I$2)+1))</f>
        <v>1st</v>
      </c>
      <c r="C18" s="29">
        <f>CEILING((ROW()-2)/'League Settings'!$I$2,1)</f>
        <v>2</v>
      </c>
      <c r="D18" s="42">
        <v>19</v>
      </c>
      <c r="E18" s="34" t="str">
        <f>IF((D18)&gt;0,INDEX('Default Rankings'!$B$3:$D$302,'Live Draft Picks'!D18,2) &amp; " " &amp; INDEX('Default Rankings'!$B$3:$D$302,'Live Draft Picks'!D18,3),"")</f>
        <v>DeAndre Hopkins ARI</v>
      </c>
      <c r="F18" s="35" t="str">
        <f>IF((D18)&gt;0,INDEX('Default Rankings'!$C$3:$E$302,'Live Draft Picks'!D18,3),"")</f>
        <v>WR</v>
      </c>
    </row>
    <row r="19" spans="2:6" x14ac:dyDescent="0.35">
      <c r="B19" s="12" t="str">
        <f>INDEX('League Settings'!$H$5:$H$18,IF(MOD(C19,2)=0,'League Settings'!$I$2-MOD(ROW()-3,'League Settings'!$I$2),MOD(ROW()-3,'League Settings'!$I$2)+1))</f>
        <v>1st</v>
      </c>
      <c r="C19" s="29">
        <f>CEILING((ROW()-2)/'League Settings'!$I$2,1)</f>
        <v>3</v>
      </c>
      <c r="D19" s="42">
        <v>21</v>
      </c>
      <c r="E19" s="34" t="str">
        <f>IF((D19)&gt;0,INDEX('Default Rankings'!$B$3:$D$302,'Live Draft Picks'!D19,2) &amp; " " &amp; INDEX('Default Rankings'!$B$3:$D$302,'Live Draft Picks'!D19,3),"")</f>
        <v>Chris Godwin TB</v>
      </c>
      <c r="F19" s="35" t="str">
        <f>IF((D19)&gt;0,INDEX('Default Rankings'!$C$3:$E$302,'Live Draft Picks'!D19,3),"")</f>
        <v>WR</v>
      </c>
    </row>
    <row r="20" spans="2:6" x14ac:dyDescent="0.35">
      <c r="B20" s="12" t="str">
        <f>INDEX('League Settings'!$H$5:$H$18,IF(MOD(C20,2)=0,'League Settings'!$I$2-MOD(ROW()-3,'League Settings'!$I$2),MOD(ROW()-3,'League Settings'!$I$2)+1))</f>
        <v>2nd</v>
      </c>
      <c r="C20" s="29">
        <f>CEILING((ROW()-2)/'League Settings'!$I$2,1)</f>
        <v>3</v>
      </c>
      <c r="D20" s="42">
        <v>24</v>
      </c>
      <c r="E20" s="34" t="str">
        <f>IF((D20)&gt;0,INDEX('Default Rankings'!$B$3:$D$302,'Live Draft Picks'!D20,2) &amp; " " &amp; INDEX('Default Rankings'!$B$3:$D$302,'Live Draft Picks'!D20,3),"")</f>
        <v>Kenny Golladay DET</v>
      </c>
      <c r="F20" s="35" t="str">
        <f>IF((D20)&gt;0,INDEX('Default Rankings'!$C$3:$E$302,'Live Draft Picks'!D20,3),"")</f>
        <v>WR</v>
      </c>
    </row>
    <row r="21" spans="2:6" x14ac:dyDescent="0.35">
      <c r="B21" s="12" t="str">
        <f>INDEX('League Settings'!$H$5:$H$18,IF(MOD(C21,2)=0,'League Settings'!$I$2-MOD(ROW()-3,'League Settings'!$I$2),MOD(ROW()-3,'League Settings'!$I$2)+1))</f>
        <v>3rd</v>
      </c>
      <c r="C21" s="29">
        <f>CEILING((ROW()-2)/'League Settings'!$I$2,1)</f>
        <v>3</v>
      </c>
      <c r="D21" s="42">
        <v>12</v>
      </c>
      <c r="E21" s="34" t="str">
        <f>IF((D21)&gt;0,INDEX('Default Rankings'!$B$3:$D$302,'Live Draft Picks'!D21,2) &amp; " " &amp; INDEX('Default Rankings'!$B$3:$D$302,'Live Draft Picks'!D21,3),"")</f>
        <v>Joe Mixon CIN</v>
      </c>
      <c r="F21" s="35" t="str">
        <f>IF((D21)&gt;0,INDEX('Default Rankings'!$C$3:$E$302,'Live Draft Picks'!D21,3),"")</f>
        <v>RB</v>
      </c>
    </row>
    <row r="22" spans="2:6" x14ac:dyDescent="0.35">
      <c r="B22" s="12" t="str">
        <f>INDEX('League Settings'!$H$5:$H$18,IF(MOD(C22,2)=0,'League Settings'!$I$2-MOD(ROW()-3,'League Settings'!$I$2),MOD(ROW()-3,'League Settings'!$I$2)+1))</f>
        <v>4th</v>
      </c>
      <c r="C22" s="29">
        <f>CEILING((ROW()-2)/'League Settings'!$I$2,1)</f>
        <v>3</v>
      </c>
      <c r="D22" s="42">
        <v>9</v>
      </c>
      <c r="E22" s="34" t="str">
        <f>IF((D22)&gt;0,INDEX('Default Rankings'!$B$3:$D$302,'Live Draft Picks'!D22,2) &amp; " " &amp; INDEX('Default Rankings'!$B$3:$D$302,'Live Draft Picks'!D22,3),"")</f>
        <v>Miles Sanders PHI</v>
      </c>
      <c r="F22" s="35" t="str">
        <f>IF((D22)&gt;0,INDEX('Default Rankings'!$C$3:$E$302,'Live Draft Picks'!D22,3),"")</f>
        <v>RB</v>
      </c>
    </row>
    <row r="23" spans="2:6" x14ac:dyDescent="0.35">
      <c r="B23" s="12" t="str">
        <f>INDEX('League Settings'!$H$5:$H$18,IF(MOD(C23,2)=0,'League Settings'!$I$2-MOD(ROW()-3,'League Settings'!$I$2),MOD(ROW()-3,'League Settings'!$I$2)+1))</f>
        <v>5th</v>
      </c>
      <c r="C23" s="29">
        <f>CEILING((ROW()-2)/'League Settings'!$I$2,1)</f>
        <v>3</v>
      </c>
      <c r="D23" s="42">
        <v>22</v>
      </c>
      <c r="E23" s="34" t="str">
        <f>IF((D23)&gt;0,INDEX('Default Rankings'!$B$3:$D$302,'Live Draft Picks'!D23,2) &amp; " " &amp; INDEX('Default Rankings'!$B$3:$D$302,'Live Draft Picks'!D23,3),"")</f>
        <v>Mike Evans TB</v>
      </c>
      <c r="F23" s="35" t="str">
        <f>IF((D23)&gt;0,INDEX('Default Rankings'!$C$3:$E$302,'Live Draft Picks'!D23,3),"")</f>
        <v>WR</v>
      </c>
    </row>
    <row r="24" spans="2:6" x14ac:dyDescent="0.35">
      <c r="B24" s="12" t="str">
        <f>INDEX('League Settings'!$H$5:$H$18,IF(MOD(C24,2)=0,'League Settings'!$I$2-MOD(ROW()-3,'League Settings'!$I$2),MOD(ROW()-3,'League Settings'!$I$2)+1))</f>
        <v>6th</v>
      </c>
      <c r="C24" s="29">
        <f>CEILING((ROW()-2)/'League Settings'!$I$2,1)</f>
        <v>3</v>
      </c>
      <c r="D24" s="42">
        <v>23</v>
      </c>
      <c r="E24" s="34" t="str">
        <f>IF((D24)&gt;0,INDEX('Default Rankings'!$B$3:$D$302,'Live Draft Picks'!D24,2) &amp; " " &amp; INDEX('Default Rankings'!$B$3:$D$302,'Live Draft Picks'!D24,3),"")</f>
        <v>George Kittle SF</v>
      </c>
      <c r="F24" s="35" t="str">
        <f>IF((D24)&gt;0,INDEX('Default Rankings'!$C$3:$E$302,'Live Draft Picks'!D24,3),"")</f>
        <v>TE</v>
      </c>
    </row>
    <row r="25" spans="2:6" x14ac:dyDescent="0.35">
      <c r="B25" s="12" t="str">
        <f>INDEX('League Settings'!$H$5:$H$18,IF(MOD(C25,2)=0,'League Settings'!$I$2-MOD(ROW()-3,'League Settings'!$I$2),MOD(ROW()-3,'League Settings'!$I$2)+1))</f>
        <v>7th</v>
      </c>
      <c r="C25" s="29">
        <f>CEILING((ROW()-2)/'League Settings'!$I$2,1)</f>
        <v>3</v>
      </c>
      <c r="D25" s="42">
        <v>35</v>
      </c>
      <c r="E25" s="34" t="str">
        <f>IF((D25)&gt;0,INDEX('Default Rankings'!$B$3:$D$302,'Live Draft Picks'!D25,2) &amp; " " &amp; INDEX('Default Rankings'!$B$3:$D$302,'Live Draft Picks'!D25,3),"")</f>
        <v>Patrick Mahomes KC</v>
      </c>
      <c r="F25" s="35" t="str">
        <f>IF((D25)&gt;0,INDEX('Default Rankings'!$C$3:$E$302,'Live Draft Picks'!D25,3),"")</f>
        <v>QB</v>
      </c>
    </row>
    <row r="26" spans="2:6" x14ac:dyDescent="0.35">
      <c r="B26" s="12" t="str">
        <f>INDEX('League Settings'!$H$5:$H$18,IF(MOD(C26,2)=0,'League Settings'!$I$2-MOD(ROW()-3,'League Settings'!$I$2),MOD(ROW()-3,'League Settings'!$I$2)+1))</f>
        <v>8th</v>
      </c>
      <c r="C26" s="29">
        <f>CEILING((ROW()-2)/'League Settings'!$I$2,1)</f>
        <v>3</v>
      </c>
      <c r="D26" s="42">
        <v>15</v>
      </c>
      <c r="E26" s="34" t="str">
        <f>IF((D26)&gt;0,INDEX('Default Rankings'!$B$3:$D$302,'Live Draft Picks'!D26,2) &amp; " " &amp; INDEX('Default Rankings'!$B$3:$D$302,'Live Draft Picks'!D26,3),"")</f>
        <v>Austin Ekeler LAC</v>
      </c>
      <c r="F26" s="35" t="str">
        <f>IF((D26)&gt;0,INDEX('Default Rankings'!$C$3:$E$302,'Live Draft Picks'!D26,3),"")</f>
        <v>RB</v>
      </c>
    </row>
    <row r="27" spans="2:6" x14ac:dyDescent="0.35">
      <c r="B27" s="12" t="str">
        <f>INDEX('League Settings'!$H$5:$H$18,IF(MOD(C27,2)=0,'League Settings'!$I$2-MOD(ROW()-3,'League Settings'!$I$2),MOD(ROW()-3,'League Settings'!$I$2)+1))</f>
        <v>8th</v>
      </c>
      <c r="C27" s="29">
        <f>CEILING((ROW()-2)/'League Settings'!$I$2,1)</f>
        <v>4</v>
      </c>
      <c r="D27" s="42">
        <v>28</v>
      </c>
      <c r="E27" s="34" t="str">
        <f>IF((D27)&gt;0,INDEX('Default Rankings'!$B$3:$D$302,'Live Draft Picks'!D27,2) &amp; " " &amp; INDEX('Default Rankings'!$B$3:$D$302,'Live Draft Picks'!D27,3),"")</f>
        <v>Allen Robinson II CHI</v>
      </c>
      <c r="F27" s="35" t="str">
        <f>IF((D27)&gt;0,INDEX('Default Rankings'!$C$3:$E$302,'Live Draft Picks'!D27,3),"")</f>
        <v>WR</v>
      </c>
    </row>
    <row r="28" spans="2:6" x14ac:dyDescent="0.35">
      <c r="B28" s="12" t="str">
        <f>INDEX('League Settings'!$H$5:$H$18,IF(MOD(C28,2)=0,'League Settings'!$I$2-MOD(ROW()-3,'League Settings'!$I$2),MOD(ROW()-3,'League Settings'!$I$2)+1))</f>
        <v>7th</v>
      </c>
      <c r="C28" s="29">
        <f>CEILING((ROW()-2)/'League Settings'!$I$2,1)</f>
        <v>4</v>
      </c>
      <c r="D28" s="42">
        <v>26</v>
      </c>
      <c r="E28" s="34" t="str">
        <f>IF((D28)&gt;0,INDEX('Default Rankings'!$B$3:$D$302,'Live Draft Picks'!D28,2) &amp; " " &amp; INDEX('Default Rankings'!$B$3:$D$302,'Live Draft Picks'!D28,3),"")</f>
        <v>Adam Thielen MIN</v>
      </c>
      <c r="F28" s="35" t="str">
        <f>IF((D28)&gt;0,INDEX('Default Rankings'!$C$3:$E$302,'Live Draft Picks'!D28,3),"")</f>
        <v>WR</v>
      </c>
    </row>
    <row r="29" spans="2:6" x14ac:dyDescent="0.35">
      <c r="B29" s="12" t="str">
        <f>INDEX('League Settings'!$H$5:$H$18,IF(MOD(C29,2)=0,'League Settings'!$I$2-MOD(ROW()-3,'League Settings'!$I$2),MOD(ROW()-3,'League Settings'!$I$2)+1))</f>
        <v>6th</v>
      </c>
      <c r="C29" s="29">
        <f>CEILING((ROW()-2)/'League Settings'!$I$2,1)</f>
        <v>4</v>
      </c>
      <c r="D29" s="42">
        <v>11</v>
      </c>
      <c r="E29" s="34" t="str">
        <f>IF((D29)&gt;0,INDEX('Default Rankings'!$B$3:$D$302,'Live Draft Picks'!D29,2) &amp; " " &amp; INDEX('Default Rankings'!$B$3:$D$302,'Live Draft Picks'!D29,3),"")</f>
        <v>Nick Chubb CLE</v>
      </c>
      <c r="F29" s="35" t="str">
        <f>IF((D29)&gt;0,INDEX('Default Rankings'!$C$3:$E$302,'Live Draft Picks'!D29,3),"")</f>
        <v>RB</v>
      </c>
    </row>
    <row r="30" spans="2:6" x14ac:dyDescent="0.35">
      <c r="B30" s="12" t="str">
        <f>INDEX('League Settings'!$H$5:$H$18,IF(MOD(C30,2)=0,'League Settings'!$I$2-MOD(ROW()-3,'League Settings'!$I$2),MOD(ROW()-3,'League Settings'!$I$2)+1))</f>
        <v>5th</v>
      </c>
      <c r="C30" s="29">
        <f>CEILING((ROW()-2)/'League Settings'!$I$2,1)</f>
        <v>4</v>
      </c>
      <c r="D30" s="42">
        <v>34</v>
      </c>
      <c r="E30" s="34" t="str">
        <f>IF((D30)&gt;0,INDEX('Default Rankings'!$B$3:$D$302,'Live Draft Picks'!D30,2) &amp; " " &amp; INDEX('Default Rankings'!$B$3:$D$302,'Live Draft Picks'!D30,3),"")</f>
        <v>Lamar Jackson BAL</v>
      </c>
      <c r="F30" s="35" t="str">
        <f>IF((D30)&gt;0,INDEX('Default Rankings'!$C$3:$E$302,'Live Draft Picks'!D30,3),"")</f>
        <v>QB</v>
      </c>
    </row>
    <row r="31" spans="2:6" x14ac:dyDescent="0.35">
      <c r="B31" s="12" t="str">
        <f>INDEX('League Settings'!$H$5:$H$18,IF(MOD(C31,2)=0,'League Settings'!$I$2-MOD(ROW()-3,'League Settings'!$I$2),MOD(ROW()-3,'League Settings'!$I$2)+1))</f>
        <v>4th</v>
      </c>
      <c r="C31" s="29">
        <f>CEILING((ROW()-2)/'League Settings'!$I$2,1)</f>
        <v>4</v>
      </c>
      <c r="D31" s="42">
        <v>25</v>
      </c>
      <c r="E31" s="34" t="str">
        <f>IF((D31)&gt;0,INDEX('Default Rankings'!$B$3:$D$302,'Live Draft Picks'!D31,2) &amp; " " &amp; INDEX('Default Rankings'!$B$3:$D$302,'Live Draft Picks'!D31,3),"")</f>
        <v>DJ Moore CAR</v>
      </c>
      <c r="F31" s="35" t="str">
        <f>IF((D31)&gt;0,INDEX('Default Rankings'!$C$3:$E$302,'Live Draft Picks'!D31,3),"")</f>
        <v>WR</v>
      </c>
    </row>
    <row r="32" spans="2:6" x14ac:dyDescent="0.35">
      <c r="B32" s="12" t="str">
        <f>INDEX('League Settings'!$H$5:$H$18,IF(MOD(C32,2)=0,'League Settings'!$I$2-MOD(ROW()-3,'League Settings'!$I$2),MOD(ROW()-3,'League Settings'!$I$2)+1))</f>
        <v>3rd</v>
      </c>
      <c r="C32" s="29">
        <f>CEILING((ROW()-2)/'League Settings'!$I$2,1)</f>
        <v>4</v>
      </c>
      <c r="D32" s="42">
        <v>30</v>
      </c>
      <c r="E32" s="34" t="str">
        <f>IF((D32)&gt;0,INDEX('Default Rankings'!$B$3:$D$302,'Live Draft Picks'!D32,2) &amp; " " &amp; INDEX('Default Rankings'!$B$3:$D$302,'Live Draft Picks'!D32,3),"")</f>
        <v>JuJu Smith-Schuster PIT</v>
      </c>
      <c r="F32" s="35" t="str">
        <f>IF((D32)&gt;0,INDEX('Default Rankings'!$C$3:$E$302,'Live Draft Picks'!D32,3),"")</f>
        <v>WR</v>
      </c>
    </row>
    <row r="33" spans="2:6" x14ac:dyDescent="0.35">
      <c r="B33" s="12" t="str">
        <f>INDEX('League Settings'!$H$5:$H$18,IF(MOD(C33,2)=0,'League Settings'!$I$2-MOD(ROW()-3,'League Settings'!$I$2),MOD(ROW()-3,'League Settings'!$I$2)+1))</f>
        <v>2nd</v>
      </c>
      <c r="C33" s="29">
        <f>CEILING((ROW()-2)/'League Settings'!$I$2,1)</f>
        <v>4</v>
      </c>
      <c r="D33" s="42">
        <v>40</v>
      </c>
      <c r="E33" s="34" t="str">
        <f>IF((D33)&gt;0,INDEX('Default Rankings'!$B$3:$D$302,'Live Draft Picks'!D33,2) &amp; " " &amp; INDEX('Default Rankings'!$B$3:$D$302,'Live Draft Picks'!D33,3),"")</f>
        <v>David Johnson HOU</v>
      </c>
      <c r="F33" s="35" t="str">
        <f>IF((D33)&gt;0,INDEX('Default Rankings'!$C$3:$E$302,'Live Draft Picks'!D33,3),"")</f>
        <v>RB</v>
      </c>
    </row>
    <row r="34" spans="2:6" x14ac:dyDescent="0.35">
      <c r="B34" s="12" t="str">
        <f>INDEX('League Settings'!$H$5:$H$18,IF(MOD(C34,2)=0,'League Settings'!$I$2-MOD(ROW()-3,'League Settings'!$I$2),MOD(ROW()-3,'League Settings'!$I$2)+1))</f>
        <v>1st</v>
      </c>
      <c r="C34" s="29">
        <f>CEILING((ROW()-2)/'League Settings'!$I$2,1)</f>
        <v>4</v>
      </c>
      <c r="D34" s="42">
        <v>27</v>
      </c>
      <c r="E34" s="34" t="str">
        <f>IF((D34)&gt;0,INDEX('Default Rankings'!$B$3:$D$302,'Live Draft Picks'!D34,2) &amp; " " &amp; INDEX('Default Rankings'!$B$3:$D$302,'Live Draft Picks'!D34,3),"")</f>
        <v>Amari Cooper DAL</v>
      </c>
      <c r="F34" s="35" t="str">
        <f>IF((D34)&gt;0,INDEX('Default Rankings'!$C$3:$E$302,'Live Draft Picks'!D34,3),"")</f>
        <v>WR</v>
      </c>
    </row>
    <row r="35" spans="2:6" x14ac:dyDescent="0.35">
      <c r="B35" s="12" t="str">
        <f>INDEX('League Settings'!$H$5:$H$18,IF(MOD(C35,2)=0,'League Settings'!$I$2-MOD(ROW()-3,'League Settings'!$I$2),MOD(ROW()-3,'League Settings'!$I$2)+1))</f>
        <v>1st</v>
      </c>
      <c r="C35" s="29">
        <f>CEILING((ROW()-2)/'League Settings'!$I$2,1)</f>
        <v>5</v>
      </c>
      <c r="D35" s="42">
        <v>41</v>
      </c>
      <c r="E35" s="34" t="str">
        <f>IF((D35)&gt;0,INDEX('Default Rankings'!$B$3:$D$302,'Live Draft Picks'!D35,2) &amp; " " &amp; INDEX('Default Rankings'!$B$3:$D$302,'Live Draft Picks'!D35,3),"")</f>
        <v>Mark Andrews BAL</v>
      </c>
      <c r="F35" s="35" t="str">
        <f>IF((D35)&gt;0,INDEX('Default Rankings'!$C$3:$E$302,'Live Draft Picks'!D35,3),"")</f>
        <v>TE</v>
      </c>
    </row>
    <row r="36" spans="2:6" x14ac:dyDescent="0.35">
      <c r="B36" s="12" t="str">
        <f>INDEX('League Settings'!$H$5:$H$18,IF(MOD(C36,2)=0,'League Settings'!$I$2-MOD(ROW()-3,'League Settings'!$I$2),MOD(ROW()-3,'League Settings'!$I$2)+1))</f>
        <v>2nd</v>
      </c>
      <c r="C36" s="29">
        <f>CEILING((ROW()-2)/'League Settings'!$I$2,1)</f>
        <v>5</v>
      </c>
      <c r="D36" s="42">
        <v>42</v>
      </c>
      <c r="E36" s="34" t="str">
        <f>IF((D36)&gt;0,INDEX('Default Rankings'!$B$3:$D$302,'Live Draft Picks'!D36,2) &amp; " " &amp; INDEX('Default Rankings'!$B$3:$D$302,'Live Draft Picks'!D36,3),"")</f>
        <v>Zach Ertz PHI</v>
      </c>
      <c r="F36" s="35" t="str">
        <f>IF((D36)&gt;0,INDEX('Default Rankings'!$C$3:$E$302,'Live Draft Picks'!D36,3),"")</f>
        <v>TE</v>
      </c>
    </row>
    <row r="37" spans="2:6" x14ac:dyDescent="0.35">
      <c r="B37" s="12" t="str">
        <f>INDEX('League Settings'!$H$5:$H$18,IF(MOD(C37,2)=0,'League Settings'!$I$2-MOD(ROW()-3,'League Settings'!$I$2),MOD(ROW()-3,'League Settings'!$I$2)+1))</f>
        <v>3rd</v>
      </c>
      <c r="C37" s="29">
        <f>CEILING((ROW()-2)/'League Settings'!$I$2,1)</f>
        <v>5</v>
      </c>
      <c r="D37" s="42">
        <v>69</v>
      </c>
      <c r="E37" s="34" t="str">
        <f>IF((D37)&gt;0,INDEX('Default Rankings'!$B$3:$D$302,'Live Draft Picks'!D37,2) &amp; " " &amp; INDEX('Default Rankings'!$B$3:$D$302,'Live Draft Picks'!D37,3),"")</f>
        <v>Darren Waller LV</v>
      </c>
      <c r="F37" s="35" t="str">
        <f>IF((D37)&gt;0,INDEX('Default Rankings'!$C$3:$E$302,'Live Draft Picks'!D37,3),"")</f>
        <v>TE</v>
      </c>
    </row>
    <row r="38" spans="2:6" x14ac:dyDescent="0.35">
      <c r="B38" s="12" t="str">
        <f>INDEX('League Settings'!$H$5:$H$18,IF(MOD(C38,2)=0,'League Settings'!$I$2-MOD(ROW()-3,'League Settings'!$I$2),MOD(ROW()-3,'League Settings'!$I$2)+1))</f>
        <v>4th</v>
      </c>
      <c r="C38" s="29">
        <f>CEILING((ROW()-2)/'League Settings'!$I$2,1)</f>
        <v>5</v>
      </c>
      <c r="D38" s="42">
        <v>33</v>
      </c>
      <c r="E38" s="34" t="str">
        <f>IF((D38)&gt;0,INDEX('Default Rankings'!$B$3:$D$302,'Live Draft Picks'!D38,2) &amp; " " &amp; INDEX('Default Rankings'!$B$3:$D$302,'Live Draft Picks'!D38,3),"")</f>
        <v>Calvin Ridley ATL</v>
      </c>
      <c r="F38" s="35" t="str">
        <f>IF((D38)&gt;0,INDEX('Default Rankings'!$C$3:$E$302,'Live Draft Picks'!D38,3),"")</f>
        <v>WR</v>
      </c>
    </row>
    <row r="39" spans="2:6" x14ac:dyDescent="0.35">
      <c r="B39" s="12" t="str">
        <f>INDEX('League Settings'!$H$5:$H$18,IF(MOD(C39,2)=0,'League Settings'!$I$2-MOD(ROW()-3,'League Settings'!$I$2),MOD(ROW()-3,'League Settings'!$I$2)+1))</f>
        <v>5th</v>
      </c>
      <c r="C39" s="29">
        <f>CEILING((ROW()-2)/'League Settings'!$I$2,1)</f>
        <v>5</v>
      </c>
      <c r="D39" s="42">
        <v>39</v>
      </c>
      <c r="E39" s="34" t="str">
        <f>IF((D39)&gt;0,INDEX('Default Rankings'!$B$3:$D$302,'Live Draft Picks'!D39,2) &amp; " " &amp; INDEX('Default Rankings'!$B$3:$D$302,'Live Draft Picks'!D39,3),"")</f>
        <v>Chris Carson SEA</v>
      </c>
      <c r="F39" s="35" t="str">
        <f>IF((D39)&gt;0,INDEX('Default Rankings'!$C$3:$E$302,'Live Draft Picks'!D39,3),"")</f>
        <v>RB</v>
      </c>
    </row>
    <row r="40" spans="2:6" x14ac:dyDescent="0.35">
      <c r="B40" s="12" t="str">
        <f>INDEX('League Settings'!$H$5:$H$18,IF(MOD(C40,2)=0,'League Settings'!$I$2-MOD(ROW()-3,'League Settings'!$I$2),MOD(ROW()-3,'League Settings'!$I$2)+1))</f>
        <v>6th</v>
      </c>
      <c r="C40" s="29">
        <f>CEILING((ROW()-2)/'League Settings'!$I$2,1)</f>
        <v>5</v>
      </c>
      <c r="D40" s="42">
        <v>75</v>
      </c>
      <c r="E40" s="34" t="str">
        <f>IF((D40)&gt;0,INDEX('Default Rankings'!$B$3:$D$302,'Live Draft Picks'!D40,2) &amp; " " &amp; INDEX('Default Rankings'!$B$3:$D$302,'Live Draft Picks'!D40,3),"")</f>
        <v>Dak Prescott DAL</v>
      </c>
      <c r="F40" s="35" t="str">
        <f>IF((D40)&gt;0,INDEX('Default Rankings'!$C$3:$E$302,'Live Draft Picks'!D40,3),"")</f>
        <v>QB</v>
      </c>
    </row>
    <row r="41" spans="2:6" x14ac:dyDescent="0.35">
      <c r="B41" s="12" t="str">
        <f>INDEX('League Settings'!$H$5:$H$18,IF(MOD(C41,2)=0,'League Settings'!$I$2-MOD(ROW()-3,'League Settings'!$I$2),MOD(ROW()-3,'League Settings'!$I$2)+1))</f>
        <v>7th</v>
      </c>
      <c r="C41" s="29">
        <f>CEILING((ROW()-2)/'League Settings'!$I$2,1)</f>
        <v>5</v>
      </c>
      <c r="D41" s="42">
        <v>50</v>
      </c>
      <c r="E41" s="34" t="str">
        <f>IF((D41)&gt;0,INDEX('Default Rankings'!$B$3:$D$302,'Live Draft Picks'!D41,2) &amp; " " &amp; INDEX('Default Rankings'!$B$3:$D$302,'Live Draft Picks'!D41,3),"")</f>
        <v>Terry McLaurin WAS</v>
      </c>
      <c r="F41" s="35" t="str">
        <f>IF((D41)&gt;0,INDEX('Default Rankings'!$C$3:$E$302,'Live Draft Picks'!D41,3),"")</f>
        <v>WR</v>
      </c>
    </row>
    <row r="42" spans="2:6" x14ac:dyDescent="0.35">
      <c r="B42" s="12" t="str">
        <f>INDEX('League Settings'!$H$5:$H$18,IF(MOD(C42,2)=0,'League Settings'!$I$2-MOD(ROW()-3,'League Settings'!$I$2),MOD(ROW()-3,'League Settings'!$I$2)+1))</f>
        <v>8th</v>
      </c>
      <c r="C42" s="29">
        <f>CEILING((ROW()-2)/'League Settings'!$I$2,1)</f>
        <v>5</v>
      </c>
      <c r="D42" s="42">
        <v>43</v>
      </c>
      <c r="E42" s="34" t="str">
        <f>IF((D42)&gt;0,INDEX('Default Rankings'!$B$3:$D$302,'Live Draft Picks'!D42,2) &amp; " " &amp; INDEX('Default Rankings'!$B$3:$D$302,'Live Draft Picks'!D42,3),"")</f>
        <v>Todd Gurley II ATL</v>
      </c>
      <c r="F42" s="35" t="str">
        <f>IF((D42)&gt;0,INDEX('Default Rankings'!$C$3:$E$302,'Live Draft Picks'!D42,3),"")</f>
        <v>RB</v>
      </c>
    </row>
    <row r="43" spans="2:6" x14ac:dyDescent="0.35">
      <c r="B43" s="12" t="str">
        <f>INDEX('League Settings'!$H$5:$H$18,IF(MOD(C43,2)=0,'League Settings'!$I$2-MOD(ROW()-3,'League Settings'!$I$2),MOD(ROW()-3,'League Settings'!$I$2)+1))</f>
        <v>8th</v>
      </c>
      <c r="C43" s="29">
        <f>CEILING((ROW()-2)/'League Settings'!$I$2,1)</f>
        <v>6</v>
      </c>
      <c r="D43" s="42">
        <v>36</v>
      </c>
      <c r="E43" s="34" t="str">
        <f>IF((D43)&gt;0,INDEX('Default Rankings'!$B$3:$D$302,'Live Draft Picks'!D43,2) &amp; " " &amp; INDEX('Default Rankings'!$B$3:$D$302,'Live Draft Picks'!D43,3),"")</f>
        <v>Tyler Lockett SEA</v>
      </c>
      <c r="F43" s="35" t="str">
        <f>IF((D43)&gt;0,INDEX('Default Rankings'!$C$3:$E$302,'Live Draft Picks'!D43,3),"")</f>
        <v>WR</v>
      </c>
    </row>
    <row r="44" spans="2:6" x14ac:dyDescent="0.35">
      <c r="B44" s="12" t="str">
        <f>INDEX('League Settings'!$H$5:$H$18,IF(MOD(C44,2)=0,'League Settings'!$I$2-MOD(ROW()-3,'League Settings'!$I$2),MOD(ROW()-3,'League Settings'!$I$2)+1))</f>
        <v>7th</v>
      </c>
      <c r="C44" s="29">
        <f>CEILING((ROW()-2)/'League Settings'!$I$2,1)</f>
        <v>6</v>
      </c>
      <c r="D44" s="42">
        <v>44</v>
      </c>
      <c r="E44" s="34" t="str">
        <f>IF((D44)&gt;0,INDEX('Default Rankings'!$B$3:$D$302,'Live Draft Picks'!D44,2) &amp; " " &amp; INDEX('Default Rankings'!$B$3:$D$302,'Live Draft Picks'!D44,3),"")</f>
        <v>James Conner PIT</v>
      </c>
      <c r="F44" s="35" t="str">
        <f>IF((D44)&gt;0,INDEX('Default Rankings'!$C$3:$E$302,'Live Draft Picks'!D44,3),"")</f>
        <v>RB</v>
      </c>
    </row>
    <row r="45" spans="2:6" x14ac:dyDescent="0.35">
      <c r="B45" s="12" t="str">
        <f>INDEX('League Settings'!$H$5:$H$18,IF(MOD(C45,2)=0,'League Settings'!$I$2-MOD(ROW()-3,'League Settings'!$I$2),MOD(ROW()-3,'League Settings'!$I$2)+1))</f>
        <v>6th</v>
      </c>
      <c r="C45" s="29">
        <f>CEILING((ROW()-2)/'League Settings'!$I$2,1)</f>
        <v>6</v>
      </c>
      <c r="D45" s="42">
        <v>32</v>
      </c>
      <c r="E45" s="34" t="str">
        <f>IF((D45)&gt;0,INDEX('Default Rankings'!$B$3:$D$302,'Live Draft Picks'!D45,2) &amp; " " &amp; INDEX('Default Rankings'!$B$3:$D$302,'Live Draft Picks'!D45,3),"")</f>
        <v>A.J. Brown TEN</v>
      </c>
      <c r="F45" s="35" t="str">
        <f>IF((D45)&gt;0,INDEX('Default Rankings'!$C$3:$E$302,'Live Draft Picks'!D45,3),"")</f>
        <v>WR</v>
      </c>
    </row>
    <row r="46" spans="2:6" x14ac:dyDescent="0.35">
      <c r="B46" s="12" t="str">
        <f>INDEX('League Settings'!$H$5:$H$18,IF(MOD(C46,2)=0,'League Settings'!$I$2-MOD(ROW()-3,'League Settings'!$I$2),MOD(ROW()-3,'League Settings'!$I$2)+1))</f>
        <v>5th</v>
      </c>
      <c r="C46" s="29">
        <f>CEILING((ROW()-2)/'League Settings'!$I$2,1)</f>
        <v>6</v>
      </c>
      <c r="D46" s="42">
        <v>31</v>
      </c>
      <c r="E46" s="34" t="str">
        <f>IF((D46)&gt;0,INDEX('Default Rankings'!$B$3:$D$302,'Live Draft Picks'!D46,2) &amp; " " &amp; INDEX('Default Rankings'!$B$3:$D$302,'Live Draft Picks'!D46,3),"")</f>
        <v>Courtland Sutton DEN</v>
      </c>
      <c r="F46" s="35" t="str">
        <f>IF((D46)&gt;0,INDEX('Default Rankings'!$C$3:$E$302,'Live Draft Picks'!D46,3),"")</f>
        <v>WR</v>
      </c>
    </row>
    <row r="47" spans="2:6" x14ac:dyDescent="0.35">
      <c r="B47" s="12" t="str">
        <f>INDEX('League Settings'!$H$5:$H$18,IF(MOD(C47,2)=0,'League Settings'!$I$2-MOD(ROW()-3,'League Settings'!$I$2),MOD(ROW()-3,'League Settings'!$I$2)+1))</f>
        <v>4th</v>
      </c>
      <c r="C47" s="29">
        <f>CEILING((ROW()-2)/'League Settings'!$I$2,1)</f>
        <v>6</v>
      </c>
      <c r="D47" s="42">
        <v>47</v>
      </c>
      <c r="E47" s="34" t="str">
        <f>IF((D47)&gt;0,INDEX('Default Rankings'!$B$3:$D$302,'Live Draft Picks'!D47,2) &amp; " " &amp; INDEX('Default Rankings'!$B$3:$D$302,'Live Draft Picks'!D47,3),"")</f>
        <v>Le'Veon Bell NYJ</v>
      </c>
      <c r="F47" s="35" t="str">
        <f>IF((D47)&gt;0,INDEX('Default Rankings'!$C$3:$E$302,'Live Draft Picks'!D47,3),"")</f>
        <v>RB</v>
      </c>
    </row>
    <row r="48" spans="2:6" x14ac:dyDescent="0.35">
      <c r="B48" s="12" t="str">
        <f>INDEX('League Settings'!$H$5:$H$18,IF(MOD(C48,2)=0,'League Settings'!$I$2-MOD(ROW()-3,'League Settings'!$I$2),MOD(ROW()-3,'League Settings'!$I$2)+1))</f>
        <v>3rd</v>
      </c>
      <c r="C48" s="29">
        <f>CEILING((ROW()-2)/'League Settings'!$I$2,1)</f>
        <v>6</v>
      </c>
      <c r="D48" s="42">
        <v>76</v>
      </c>
      <c r="E48" s="34" t="str">
        <f>IF((D48)&gt;0,INDEX('Default Rankings'!$B$3:$D$302,'Live Draft Picks'!D48,2) &amp; " " &amp; INDEX('Default Rankings'!$B$3:$D$302,'Live Draft Picks'!D48,3),"")</f>
        <v>Russell Wilson SEA</v>
      </c>
      <c r="F48" s="35" t="str">
        <f>IF((D48)&gt;0,INDEX('Default Rankings'!$C$3:$E$302,'Live Draft Picks'!D48,3),"")</f>
        <v>QB</v>
      </c>
    </row>
    <row r="49" spans="2:6" x14ac:dyDescent="0.35">
      <c r="B49" s="12" t="str">
        <f>INDEX('League Settings'!$H$5:$H$18,IF(MOD(C49,2)=0,'League Settings'!$I$2-MOD(ROW()-3,'League Settings'!$I$2),MOD(ROW()-3,'League Settings'!$I$2)+1))</f>
        <v>2nd</v>
      </c>
      <c r="C49" s="29">
        <f>CEILING((ROW()-2)/'League Settings'!$I$2,1)</f>
        <v>6</v>
      </c>
      <c r="D49" s="42">
        <v>29</v>
      </c>
      <c r="E49" s="34" t="str">
        <f>IF((D49)&gt;0,INDEX('Default Rankings'!$B$3:$D$302,'Live Draft Picks'!D49,2) &amp; " " &amp; INDEX('Default Rankings'!$B$3:$D$302,'Live Draft Picks'!D49,3),"")</f>
        <v>Odell Beckham Jr. CLE</v>
      </c>
      <c r="F49" s="35" t="str">
        <f>IF((D49)&gt;0,INDEX('Default Rankings'!$C$3:$E$302,'Live Draft Picks'!D49,3),"")</f>
        <v>WR</v>
      </c>
    </row>
    <row r="50" spans="2:6" x14ac:dyDescent="0.35">
      <c r="B50" s="12" t="str">
        <f>INDEX('League Settings'!$H$5:$H$18,IF(MOD(C50,2)=0,'League Settings'!$I$2-MOD(ROW()-3,'League Settings'!$I$2),MOD(ROW()-3,'League Settings'!$I$2)+1))</f>
        <v>1st</v>
      </c>
      <c r="C50" s="29">
        <f>CEILING((ROW()-2)/'League Settings'!$I$2,1)</f>
        <v>6</v>
      </c>
      <c r="D50" s="42">
        <v>45</v>
      </c>
      <c r="E50" s="34" t="str">
        <f>IF((D50)&gt;0,INDEX('Default Rankings'!$B$3:$D$302,'Live Draft Picks'!D50,2) &amp; " " &amp; INDEX('Default Rankings'!$B$3:$D$302,'Live Draft Picks'!D50,3),"")</f>
        <v>Jonathan Taylor IND</v>
      </c>
      <c r="F50" s="35" t="str">
        <f>IF((D50)&gt;0,INDEX('Default Rankings'!$C$3:$E$302,'Live Draft Picks'!D50,3),"")</f>
        <v>RB</v>
      </c>
    </row>
    <row r="51" spans="2:6" x14ac:dyDescent="0.35">
      <c r="B51" s="12" t="str">
        <f>INDEX('League Settings'!$H$5:$H$18,IF(MOD(C51,2)=0,'League Settings'!$I$2-MOD(ROW()-3,'League Settings'!$I$2),MOD(ROW()-3,'League Settings'!$I$2)+1))</f>
        <v>1st</v>
      </c>
      <c r="C51" s="29">
        <f>CEILING((ROW()-2)/'League Settings'!$I$2,1)</f>
        <v>7</v>
      </c>
      <c r="D51" s="42">
        <v>73</v>
      </c>
      <c r="E51" s="34" t="str">
        <f>IF((D51)&gt;0,INDEX('Default Rankings'!$B$3:$D$302,'Live Draft Picks'!D51,2) &amp; " " &amp; INDEX('Default Rankings'!$B$3:$D$302,'Live Draft Picks'!D51,3),"")</f>
        <v>Deshaun Watson HOU</v>
      </c>
      <c r="F51" s="35" t="str">
        <f>IF((D51)&gt;0,INDEX('Default Rankings'!$C$3:$E$302,'Live Draft Picks'!D51,3),"")</f>
        <v>QB</v>
      </c>
    </row>
    <row r="52" spans="2:6" x14ac:dyDescent="0.35">
      <c r="B52" s="12" t="str">
        <f>INDEX('League Settings'!$H$5:$H$18,IF(MOD(C52,2)=0,'League Settings'!$I$2-MOD(ROW()-3,'League Settings'!$I$2),MOD(ROW()-3,'League Settings'!$I$2)+1))</f>
        <v>2nd</v>
      </c>
      <c r="C52" s="29">
        <f>CEILING((ROW()-2)/'League Settings'!$I$2,1)</f>
        <v>7</v>
      </c>
      <c r="D52" s="42">
        <v>74</v>
      </c>
      <c r="E52" s="34" t="str">
        <f>IF((D52)&gt;0,INDEX('Default Rankings'!$B$3:$D$302,'Live Draft Picks'!D52,2) &amp; " " &amp; INDEX('Default Rankings'!$B$3:$D$302,'Live Draft Picks'!D52,3),"")</f>
        <v>Kyler Murray ARI</v>
      </c>
      <c r="F52" s="35" t="str">
        <f>IF((D52)&gt;0,INDEX('Default Rankings'!$C$3:$E$302,'Live Draft Picks'!D52,3),"")</f>
        <v>QB</v>
      </c>
    </row>
    <row r="53" spans="2:6" x14ac:dyDescent="0.35">
      <c r="B53" s="12" t="str">
        <f>INDEX('League Settings'!$H$5:$H$18,IF(MOD(C53,2)=0,'League Settings'!$I$2-MOD(ROW()-3,'League Settings'!$I$2),MOD(ROW()-3,'League Settings'!$I$2)+1))</f>
        <v>3rd</v>
      </c>
      <c r="C53" s="29">
        <f>CEILING((ROW()-2)/'League Settings'!$I$2,1)</f>
        <v>7</v>
      </c>
      <c r="D53" s="42">
        <v>46</v>
      </c>
      <c r="E53" s="34" t="str">
        <f>IF((D53)&gt;0,INDEX('Default Rankings'!$B$3:$D$302,'Live Draft Picks'!D53,2) &amp; " " &amp; INDEX('Default Rankings'!$B$3:$D$302,'Live Draft Picks'!D53,3),"")</f>
        <v>Melvin Gordon DEN</v>
      </c>
      <c r="F53" s="35" t="str">
        <f>IF((D53)&gt;0,INDEX('Default Rankings'!$C$3:$E$302,'Live Draft Picks'!D53,3),"")</f>
        <v>RB</v>
      </c>
    </row>
    <row r="54" spans="2:6" x14ac:dyDescent="0.35">
      <c r="B54" s="12" t="str">
        <f>INDEX('League Settings'!$H$5:$H$18,IF(MOD(C54,2)=0,'League Settings'!$I$2-MOD(ROW()-3,'League Settings'!$I$2),MOD(ROW()-3,'League Settings'!$I$2)+1))</f>
        <v>4th</v>
      </c>
      <c r="C54" s="29">
        <f>CEILING((ROW()-2)/'League Settings'!$I$2,1)</f>
        <v>7</v>
      </c>
      <c r="D54" s="42">
        <v>82</v>
      </c>
      <c r="E54" s="34" t="str">
        <f>IF((D54)&gt;0,INDEX('Default Rankings'!$B$3:$D$302,'Live Draft Picks'!D54,2) &amp; " " &amp; INDEX('Default Rankings'!$B$3:$D$302,'Live Draft Picks'!D54,3),"")</f>
        <v>Evan Engram NYG</v>
      </c>
      <c r="F54" s="35" t="str">
        <f>IF((D54)&gt;0,INDEX('Default Rankings'!$C$3:$E$302,'Live Draft Picks'!D54,3),"")</f>
        <v>TE</v>
      </c>
    </row>
    <row r="55" spans="2:6" x14ac:dyDescent="0.35">
      <c r="B55" s="12" t="str">
        <f>INDEX('League Settings'!$H$5:$H$18,IF(MOD(C55,2)=0,'League Settings'!$I$2-MOD(ROW()-3,'League Settings'!$I$2),MOD(ROW()-3,'League Settings'!$I$2)+1))</f>
        <v>5th</v>
      </c>
      <c r="C55" s="29">
        <f>CEILING((ROW()-2)/'League Settings'!$I$2,1)</f>
        <v>7</v>
      </c>
      <c r="D55" s="42">
        <v>37</v>
      </c>
      <c r="E55" s="34" t="str">
        <f>IF((D55)&gt;0,INDEX('Default Rankings'!$B$3:$D$302,'Live Draft Picks'!D55,2) &amp; " " &amp; INDEX('Default Rankings'!$B$3:$D$302,'Live Draft Picks'!D55,3),"")</f>
        <v>Robert Woods LAR</v>
      </c>
      <c r="F55" s="35" t="str">
        <f>IF((D55)&gt;0,INDEX('Default Rankings'!$C$3:$E$302,'Live Draft Picks'!D55,3),"")</f>
        <v>WR</v>
      </c>
    </row>
    <row r="56" spans="2:6" x14ac:dyDescent="0.35">
      <c r="B56" s="12" t="str">
        <f>INDEX('League Settings'!$H$5:$H$18,IF(MOD(C56,2)=0,'League Settings'!$I$2-MOD(ROW()-3,'League Settings'!$I$2),MOD(ROW()-3,'League Settings'!$I$2)+1))</f>
        <v>6th</v>
      </c>
      <c r="C56" s="29">
        <f>CEILING((ROW()-2)/'League Settings'!$I$2,1)</f>
        <v>7</v>
      </c>
      <c r="D56" s="42">
        <v>59</v>
      </c>
      <c r="E56" s="34" t="str">
        <f>IF((D56)&gt;0,INDEX('Default Rankings'!$B$3:$D$302,'Live Draft Picks'!D56,2) &amp; " " &amp; INDEX('Default Rankings'!$B$3:$D$302,'Live Draft Picks'!D56,3),"")</f>
        <v>Kareem Hunt CLE</v>
      </c>
      <c r="F56" s="35" t="str">
        <f>IF((D56)&gt;0,INDEX('Default Rankings'!$C$3:$E$302,'Live Draft Picks'!D56,3),"")</f>
        <v>RB</v>
      </c>
    </row>
    <row r="57" spans="2:6" x14ac:dyDescent="0.35">
      <c r="B57" s="12" t="str">
        <f>INDEX('League Settings'!$H$5:$H$18,IF(MOD(C57,2)=0,'League Settings'!$I$2-MOD(ROW()-3,'League Settings'!$I$2),MOD(ROW()-3,'League Settings'!$I$2)+1))</f>
        <v>7th</v>
      </c>
      <c r="C57" s="29">
        <f>CEILING((ROW()-2)/'League Settings'!$I$2,1)</f>
        <v>7</v>
      </c>
      <c r="D57" s="42">
        <v>55</v>
      </c>
      <c r="E57" s="34" t="str">
        <f>IF((D57)&gt;0,INDEX('Default Rankings'!$B$3:$D$302,'Live Draft Picks'!D57,2) &amp; " " &amp; INDEX('Default Rankings'!$B$3:$D$302,'Live Draft Picks'!D57,3),"")</f>
        <v>DJ Chark Jr. JAC</v>
      </c>
      <c r="F57" s="35" t="str">
        <f>IF((D57)&gt;0,INDEX('Default Rankings'!$C$3:$E$302,'Live Draft Picks'!D57,3),"")</f>
        <v>WR</v>
      </c>
    </row>
    <row r="58" spans="2:6" x14ac:dyDescent="0.35">
      <c r="B58" s="12" t="str">
        <f>INDEX('League Settings'!$H$5:$H$18,IF(MOD(C58,2)=0,'League Settings'!$I$2-MOD(ROW()-3,'League Settings'!$I$2),MOD(ROW()-3,'League Settings'!$I$2)+1))</f>
        <v>8th</v>
      </c>
      <c r="C58" s="29">
        <f>CEILING((ROW()-2)/'League Settings'!$I$2,1)</f>
        <v>7</v>
      </c>
      <c r="D58" s="42">
        <v>38</v>
      </c>
      <c r="E58" s="34" t="str">
        <f>IF((D58)&gt;0,INDEX('Default Rankings'!$B$3:$D$302,'Live Draft Picks'!D58,2) &amp; " " &amp; INDEX('Default Rankings'!$B$3:$D$302,'Live Draft Picks'!D58,3),"")</f>
        <v>Cooper Kupp LAR</v>
      </c>
      <c r="F58" s="35" t="str">
        <f>IF((D58)&gt;0,INDEX('Default Rankings'!$C$3:$E$302,'Live Draft Picks'!D58,3),"")</f>
        <v>WR</v>
      </c>
    </row>
    <row r="59" spans="2:6" x14ac:dyDescent="0.35">
      <c r="B59" s="12" t="str">
        <f>INDEX('League Settings'!$H$5:$H$18,IF(MOD(C59,2)=0,'League Settings'!$I$2-MOD(ROW()-3,'League Settings'!$I$2),MOD(ROW()-3,'League Settings'!$I$2)+1))</f>
        <v>8th</v>
      </c>
      <c r="C59" s="29">
        <f>CEILING((ROW()-2)/'League Settings'!$I$2,1)</f>
        <v>8</v>
      </c>
      <c r="D59" s="42">
        <v>65</v>
      </c>
      <c r="E59" s="34" t="str">
        <f>IF((D59)&gt;0,INDEX('Default Rankings'!$B$3:$D$302,'Live Draft Picks'!D59,2) &amp; " " &amp; INDEX('Default Rankings'!$B$3:$D$302,'Live Draft Picks'!D59,3),"")</f>
        <v>Tyler Boyd CIN</v>
      </c>
      <c r="F59" s="35" t="str">
        <f>IF((D59)&gt;0,INDEX('Default Rankings'!$C$3:$E$302,'Live Draft Picks'!D59,3),"")</f>
        <v>WR</v>
      </c>
    </row>
    <row r="60" spans="2:6" x14ac:dyDescent="0.35">
      <c r="B60" s="12" t="str">
        <f>INDEX('League Settings'!$H$5:$H$18,IF(MOD(C60,2)=0,'League Settings'!$I$2-MOD(ROW()-3,'League Settings'!$I$2),MOD(ROW()-3,'League Settings'!$I$2)+1))</f>
        <v>7th</v>
      </c>
      <c r="C60" s="29">
        <f>CEILING((ROW()-2)/'League Settings'!$I$2,1)</f>
        <v>8</v>
      </c>
      <c r="D60" s="42">
        <v>52</v>
      </c>
      <c r="E60" s="34" t="str">
        <f>IF((D60)&gt;0,INDEX('Default Rankings'!$B$3:$D$302,'Live Draft Picks'!D60,2) &amp; " " &amp; INDEX('Default Rankings'!$B$3:$D$302,'Live Draft Picks'!D60,3),"")</f>
        <v>Keenan Allen LAC</v>
      </c>
      <c r="F60" s="35" t="str">
        <f>IF((D60)&gt;0,INDEX('Default Rankings'!$C$3:$E$302,'Live Draft Picks'!D60,3),"")</f>
        <v>WR</v>
      </c>
    </row>
    <row r="61" spans="2:6" x14ac:dyDescent="0.35">
      <c r="B61" s="12" t="str">
        <f>INDEX('League Settings'!$H$5:$H$18,IF(MOD(C61,2)=0,'League Settings'!$I$2-MOD(ROW()-3,'League Settings'!$I$2),MOD(ROW()-3,'League Settings'!$I$2)+1))</f>
        <v>6th</v>
      </c>
      <c r="C61" s="29">
        <f>CEILING((ROW()-2)/'League Settings'!$I$2,1)</f>
        <v>8</v>
      </c>
      <c r="D61" s="42">
        <v>53</v>
      </c>
      <c r="E61" s="34" t="str">
        <f>IF((D61)&gt;0,INDEX('Default Rankings'!$B$3:$D$302,'Live Draft Picks'!D61,2) &amp; " " &amp; INDEX('Default Rankings'!$B$3:$D$302,'Live Draft Picks'!D61,3),"")</f>
        <v>DK Metcalf SEA</v>
      </c>
      <c r="F61" s="35" t="str">
        <f>IF((D61)&gt;0,INDEX('Default Rankings'!$C$3:$E$302,'Live Draft Picks'!D61,3),"")</f>
        <v>WR</v>
      </c>
    </row>
    <row r="62" spans="2:6" x14ac:dyDescent="0.35">
      <c r="B62" s="12" t="str">
        <f>INDEX('League Settings'!$H$5:$H$18,IF(MOD(C62,2)=0,'League Settings'!$I$2-MOD(ROW()-3,'League Settings'!$I$2),MOD(ROW()-3,'League Settings'!$I$2)+1))</f>
        <v>5th</v>
      </c>
      <c r="C62" s="29">
        <f>CEILING((ROW()-2)/'League Settings'!$I$2,1)</f>
        <v>8</v>
      </c>
      <c r="D62" s="42">
        <v>51</v>
      </c>
      <c r="E62" s="34" t="str">
        <f>IF((D62)&gt;0,INDEX('Default Rankings'!$B$3:$D$302,'Live Draft Picks'!D62,2) &amp; " " &amp; INDEX('Default Rankings'!$B$3:$D$302,'Live Draft Picks'!D62,3),"")</f>
        <v>T.Y. Hilton IND</v>
      </c>
      <c r="F62" s="35" t="str">
        <f>IF((D62)&gt;0,INDEX('Default Rankings'!$C$3:$E$302,'Live Draft Picks'!D62,3),"")</f>
        <v>WR</v>
      </c>
    </row>
    <row r="63" spans="2:6" x14ac:dyDescent="0.35">
      <c r="B63" s="12" t="str">
        <f>INDEX('League Settings'!$H$5:$H$18,IF(MOD(C63,2)=0,'League Settings'!$I$2-MOD(ROW()-3,'League Settings'!$I$2),MOD(ROW()-3,'League Settings'!$I$2)+1))</f>
        <v>4th</v>
      </c>
      <c r="C63" s="29">
        <f>CEILING((ROW()-2)/'League Settings'!$I$2,1)</f>
        <v>8</v>
      </c>
      <c r="D63" s="42">
        <v>54</v>
      </c>
      <c r="E63" s="34" t="str">
        <f>IF((D63)&gt;0,INDEX('Default Rankings'!$B$3:$D$302,'Live Draft Picks'!D63,2) &amp; " " &amp; INDEX('Default Rankings'!$B$3:$D$302,'Live Draft Picks'!D63,3),"")</f>
        <v>Jarvis Landry CLE</v>
      </c>
      <c r="F63" s="35" t="str">
        <f>IF((D63)&gt;0,INDEX('Default Rankings'!$C$3:$E$302,'Live Draft Picks'!D63,3),"")</f>
        <v>WR</v>
      </c>
    </row>
    <row r="64" spans="2:6" x14ac:dyDescent="0.35">
      <c r="B64" s="12" t="str">
        <f>INDEX('League Settings'!$H$5:$H$18,IF(MOD(C64,2)=0,'League Settings'!$I$2-MOD(ROW()-3,'League Settings'!$I$2),MOD(ROW()-3,'League Settings'!$I$2)+1))</f>
        <v>3rd</v>
      </c>
      <c r="C64" s="29">
        <f>CEILING((ROW()-2)/'League Settings'!$I$2,1)</f>
        <v>8</v>
      </c>
      <c r="D64" s="42">
        <v>61</v>
      </c>
      <c r="E64" s="34" t="str">
        <f>IF((D64)&gt;0,INDEX('Default Rankings'!$B$3:$D$302,'Live Draft Picks'!D64,2) &amp; " " &amp; INDEX('Default Rankings'!$B$3:$D$302,'Live Draft Picks'!D64,3),"")</f>
        <v>DeVante Parker MIA</v>
      </c>
      <c r="F64" s="35" t="str">
        <f>IF((D64)&gt;0,INDEX('Default Rankings'!$C$3:$E$302,'Live Draft Picks'!D64,3),"")</f>
        <v>WR</v>
      </c>
    </row>
    <row r="65" spans="2:6" x14ac:dyDescent="0.35">
      <c r="B65" s="12" t="str">
        <f>INDEX('League Settings'!$H$5:$H$18,IF(MOD(C65,2)=0,'League Settings'!$I$2-MOD(ROW()-3,'League Settings'!$I$2),MOD(ROW()-3,'League Settings'!$I$2)+1))</f>
        <v>2nd</v>
      </c>
      <c r="C65" s="29">
        <f>CEILING((ROW()-2)/'League Settings'!$I$2,1)</f>
        <v>8</v>
      </c>
      <c r="D65" s="42">
        <v>57</v>
      </c>
      <c r="E65" s="34" t="str">
        <f>IF((D65)&gt;0,INDEX('Default Rankings'!$B$3:$D$302,'Live Draft Picks'!D65,2) &amp; " " &amp; INDEX('Default Rankings'!$B$3:$D$302,'Live Draft Picks'!D65,3),"")</f>
        <v>David Montgomery CHI</v>
      </c>
      <c r="F65" s="35" t="str">
        <f>IF((D65)&gt;0,INDEX('Default Rankings'!$C$3:$E$302,'Live Draft Picks'!D65,3),"")</f>
        <v>RB</v>
      </c>
    </row>
    <row r="66" spans="2:6" x14ac:dyDescent="0.35">
      <c r="B66" s="12" t="str">
        <f>INDEX('League Settings'!$H$5:$H$18,IF(MOD(C66,2)=0,'League Settings'!$I$2-MOD(ROW()-3,'League Settings'!$I$2),MOD(ROW()-3,'League Settings'!$I$2)+1))</f>
        <v>1st</v>
      </c>
      <c r="C66" s="29">
        <f>CEILING((ROW()-2)/'League Settings'!$I$2,1)</f>
        <v>8</v>
      </c>
      <c r="D66" s="42">
        <v>70</v>
      </c>
      <c r="E66" s="34" t="str">
        <f>IF((D66)&gt;0,INDEX('Default Rankings'!$B$3:$D$302,'Live Draft Picks'!D66,2) &amp; " " &amp; INDEX('Default Rankings'!$B$3:$D$302,'Live Draft Picks'!D66,3),"")</f>
        <v>Mark Ingram II BAL</v>
      </c>
      <c r="F66" s="35" t="str">
        <f>IF((D66)&gt;0,INDEX('Default Rankings'!$C$3:$E$302,'Live Draft Picks'!D66,3),"")</f>
        <v>RB</v>
      </c>
    </row>
    <row r="67" spans="2:6" x14ac:dyDescent="0.35">
      <c r="B67" s="12" t="str">
        <f>INDEX('League Settings'!$H$5:$H$18,IF(MOD(C67,2)=0,'League Settings'!$I$2-MOD(ROW()-3,'League Settings'!$I$2),MOD(ROW()-3,'League Settings'!$I$2)+1))</f>
        <v>1st</v>
      </c>
      <c r="C67" s="29">
        <f>CEILING((ROW()-2)/'League Settings'!$I$2,1)</f>
        <v>9</v>
      </c>
      <c r="D67" s="42">
        <v>78</v>
      </c>
      <c r="E67" s="34" t="str">
        <f>IF((D67)&gt;0,INDEX('Default Rankings'!$B$3:$D$302,'Live Draft Picks'!D67,2) &amp; " " &amp; INDEX('Default Rankings'!$B$3:$D$302,'Live Draft Picks'!D67,3),"")</f>
        <v>Julian Edelman NE</v>
      </c>
      <c r="F67" s="35" t="str">
        <f>IF((D67)&gt;0,INDEX('Default Rankings'!$C$3:$E$302,'Live Draft Picks'!D67,3),"")</f>
        <v>WR</v>
      </c>
    </row>
    <row r="68" spans="2:6" x14ac:dyDescent="0.35">
      <c r="B68" s="12" t="str">
        <f>INDEX('League Settings'!$H$5:$H$18,IF(MOD(C68,2)=0,'League Settings'!$I$2-MOD(ROW()-3,'League Settings'!$I$2),MOD(ROW()-3,'League Settings'!$I$2)+1))</f>
        <v>2nd</v>
      </c>
      <c r="C68" s="29">
        <f>CEILING((ROW()-2)/'League Settings'!$I$2,1)</f>
        <v>9</v>
      </c>
      <c r="D68" s="42">
        <v>96</v>
      </c>
      <c r="E68" s="34" t="str">
        <f>IF((D68)&gt;0,INDEX('Default Rankings'!$B$3:$D$302,'Live Draft Picks'!D68,2) &amp; " " &amp; INDEX('Default Rankings'!$B$3:$D$302,'Live Draft Picks'!D68,3),"")</f>
        <v>Darius Slayton NYG</v>
      </c>
      <c r="F68" s="35" t="str">
        <f>IF((D68)&gt;0,INDEX('Default Rankings'!$C$3:$E$302,'Live Draft Picks'!D68,3),"")</f>
        <v>WR</v>
      </c>
    </row>
    <row r="69" spans="2:6" x14ac:dyDescent="0.35">
      <c r="B69" s="12" t="str">
        <f>INDEX('League Settings'!$H$5:$H$18,IF(MOD(C69,2)=0,'League Settings'!$I$2-MOD(ROW()-3,'League Settings'!$I$2),MOD(ROW()-3,'League Settings'!$I$2)+1))</f>
        <v>3rd</v>
      </c>
      <c r="C69" s="29">
        <f>CEILING((ROW()-2)/'League Settings'!$I$2,1)</f>
        <v>9</v>
      </c>
      <c r="D69" s="42">
        <v>172</v>
      </c>
      <c r="E69" s="34" t="str">
        <f>IF((D69)&gt;0,INDEX('Default Rankings'!$B$3:$D$302,'Live Draft Picks'!D69,2) &amp; " " &amp; INDEX('Default Rankings'!$B$3:$D$302,'Live Draft Picks'!D69,3),"")</f>
        <v xml:space="preserve">49ers D/ST </v>
      </c>
      <c r="F69" s="35" t="str">
        <f>IF((D69)&gt;0,INDEX('Default Rankings'!$C$3:$E$302,'Live Draft Picks'!D69,3),"")</f>
        <v>DST</v>
      </c>
    </row>
    <row r="70" spans="2:6" x14ac:dyDescent="0.35">
      <c r="B70" s="12" t="str">
        <f>INDEX('League Settings'!$H$5:$H$18,IF(MOD(C70,2)=0,'League Settings'!$I$2-MOD(ROW()-3,'League Settings'!$I$2),MOD(ROW()-3,'League Settings'!$I$2)+1))</f>
        <v>4th</v>
      </c>
      <c r="C70" s="29">
        <f>CEILING((ROW()-2)/'League Settings'!$I$2,1)</f>
        <v>9</v>
      </c>
      <c r="D70" s="42">
        <v>117</v>
      </c>
      <c r="E70" s="34" t="str">
        <f>IF((D70)&gt;0,INDEX('Default Rankings'!$B$3:$D$302,'Live Draft Picks'!D70,2) &amp; " " &amp; INDEX('Default Rankings'!$B$3:$D$302,'Live Draft Picks'!D70,3),"")</f>
        <v>Tom Brady TB</v>
      </c>
      <c r="F70" s="35" t="str">
        <f>IF((D70)&gt;0,INDEX('Default Rankings'!$C$3:$E$302,'Live Draft Picks'!D70,3),"")</f>
        <v>QB</v>
      </c>
    </row>
    <row r="71" spans="2:6" x14ac:dyDescent="0.35">
      <c r="B71" s="12" t="str">
        <f>INDEX('League Settings'!$H$5:$H$18,IF(MOD(C71,2)=0,'League Settings'!$I$2-MOD(ROW()-3,'League Settings'!$I$2),MOD(ROW()-3,'League Settings'!$I$2)+1))</f>
        <v>5th</v>
      </c>
      <c r="C71" s="29">
        <f>CEILING((ROW()-2)/'League Settings'!$I$2,1)</f>
        <v>9</v>
      </c>
      <c r="D71" s="42">
        <v>64</v>
      </c>
      <c r="E71" s="34" t="str">
        <f>IF((D71)&gt;0,INDEX('Default Rankings'!$B$3:$D$302,'Live Draft Picks'!D71,2) &amp; " " &amp; INDEX('Default Rankings'!$B$3:$D$302,'Live Draft Picks'!D71,3),"")</f>
        <v>Stefon Diggs BUF</v>
      </c>
      <c r="F71" s="35" t="str">
        <f>IF((D71)&gt;0,INDEX('Default Rankings'!$C$3:$E$302,'Live Draft Picks'!D71,3),"")</f>
        <v>WR</v>
      </c>
    </row>
    <row r="72" spans="2:6" x14ac:dyDescent="0.35">
      <c r="B72" s="12" t="str">
        <f>INDEX('League Settings'!$H$5:$H$18,IF(MOD(C72,2)=0,'League Settings'!$I$2-MOD(ROW()-3,'League Settings'!$I$2),MOD(ROW()-3,'League Settings'!$I$2)+1))</f>
        <v>6th</v>
      </c>
      <c r="C72" s="29">
        <f>CEILING((ROW()-2)/'League Settings'!$I$2,1)</f>
        <v>9</v>
      </c>
      <c r="D72" s="42">
        <v>183</v>
      </c>
      <c r="E72" s="34" t="str">
        <f>IF((D72)&gt;0,INDEX('Default Rankings'!$B$3:$D$302,'Live Draft Picks'!D72,2) &amp; " " &amp; INDEX('Default Rankings'!$B$3:$D$302,'Live Draft Picks'!D72,3),"")</f>
        <v>Harrison Butker KC</v>
      </c>
      <c r="F72" s="35" t="str">
        <f>IF((D72)&gt;0,INDEX('Default Rankings'!$C$3:$E$302,'Live Draft Picks'!D72,3),"")</f>
        <v>K</v>
      </c>
    </row>
    <row r="73" spans="2:6" x14ac:dyDescent="0.35">
      <c r="B73" s="12" t="str">
        <f>INDEX('League Settings'!$H$5:$H$18,IF(MOD(C73,2)=0,'League Settings'!$I$2-MOD(ROW()-3,'League Settings'!$I$2),MOD(ROW()-3,'League Settings'!$I$2)+1))</f>
        <v>7th</v>
      </c>
      <c r="C73" s="29">
        <f>CEILING((ROW()-2)/'League Settings'!$I$2,1)</f>
        <v>9</v>
      </c>
      <c r="D73" s="42">
        <v>171</v>
      </c>
      <c r="E73" s="34" t="str">
        <f>IF((D73)&gt;0,INDEX('Default Rankings'!$B$3:$D$302,'Live Draft Picks'!D73,2) &amp; " " &amp; INDEX('Default Rankings'!$B$3:$D$302,'Live Draft Picks'!D73,3),"")</f>
        <v xml:space="preserve">Bills D/ST </v>
      </c>
      <c r="F73" s="35" t="str">
        <f>IF((D73)&gt;0,INDEX('Default Rankings'!$C$3:$E$302,'Live Draft Picks'!D73,3),"")</f>
        <v>DST</v>
      </c>
    </row>
    <row r="74" spans="2:6" x14ac:dyDescent="0.35">
      <c r="B74" s="12" t="str">
        <f>INDEX('League Settings'!$H$5:$H$18,IF(MOD(C74,2)=0,'League Settings'!$I$2-MOD(ROW()-3,'League Settings'!$I$2),MOD(ROW()-3,'League Settings'!$I$2)+1))</f>
        <v>8th</v>
      </c>
      <c r="C74" s="29">
        <f>CEILING((ROW()-2)/'League Settings'!$I$2,1)</f>
        <v>9</v>
      </c>
      <c r="D74" s="42">
        <v>116</v>
      </c>
      <c r="E74" s="34" t="str">
        <f>IF((D74)&gt;0,INDEX('Default Rankings'!$B$3:$D$302,'Live Draft Picks'!D74,2) &amp; " " &amp; INDEX('Default Rankings'!$B$3:$D$302,'Live Draft Picks'!D74,3),"")</f>
        <v>Matt Ryan ATL</v>
      </c>
      <c r="F74" s="35" t="str">
        <f>IF((D74)&gt;0,INDEX('Default Rankings'!$C$3:$E$302,'Live Draft Picks'!D74,3),"")</f>
        <v>QB</v>
      </c>
    </row>
    <row r="75" spans="2:6" x14ac:dyDescent="0.35">
      <c r="B75" s="12" t="str">
        <f>INDEX('League Settings'!$H$5:$H$18,IF(MOD(C75,2)=0,'League Settings'!$I$2-MOD(ROW()-3,'League Settings'!$I$2),MOD(ROW()-3,'League Settings'!$I$2)+1))</f>
        <v>8th</v>
      </c>
      <c r="C75" s="29">
        <f>CEILING((ROW()-2)/'League Settings'!$I$2,1)</f>
        <v>10</v>
      </c>
      <c r="D75" s="42">
        <v>83</v>
      </c>
      <c r="E75" s="34" t="str">
        <f>IF((D75)&gt;0,INDEX('Default Rankings'!$B$3:$D$302,'Live Draft Picks'!D75,2) &amp; " " &amp; INDEX('Default Rankings'!$B$3:$D$302,'Live Draft Picks'!D75,3),"")</f>
        <v>Tyler Higbee LAR</v>
      </c>
      <c r="F75" s="35" t="str">
        <f>IF((D75)&gt;0,INDEX('Default Rankings'!$C$3:$E$302,'Live Draft Picks'!D75,3),"")</f>
        <v>TE</v>
      </c>
    </row>
    <row r="76" spans="2:6" x14ac:dyDescent="0.35">
      <c r="B76" s="12" t="str">
        <f>INDEX('League Settings'!$H$5:$H$18,IF(MOD(C76,2)=0,'League Settings'!$I$2-MOD(ROW()-3,'League Settings'!$I$2),MOD(ROW()-3,'League Settings'!$I$2)+1))</f>
        <v>7th</v>
      </c>
      <c r="C76" s="29">
        <f>CEILING((ROW()-2)/'League Settings'!$I$2,1)</f>
        <v>10</v>
      </c>
      <c r="D76" s="42">
        <v>60</v>
      </c>
      <c r="E76" s="34" t="str">
        <f>IF((D76)&gt;0,INDEX('Default Rankings'!$B$3:$D$302,'Live Draft Picks'!D76,2) &amp; " " &amp; INDEX('Default Rankings'!$B$3:$D$302,'Live Draft Picks'!D76,3),"")</f>
        <v>Antonio Gibson WAS</v>
      </c>
      <c r="F76" s="35" t="str">
        <f>IF((D76)&gt;0,INDEX('Default Rankings'!$C$3:$E$302,'Live Draft Picks'!D76,3),"")</f>
        <v>RB</v>
      </c>
    </row>
    <row r="77" spans="2:6" x14ac:dyDescent="0.35">
      <c r="B77" s="12" t="str">
        <f>INDEX('League Settings'!$H$5:$H$18,IF(MOD(C77,2)=0,'League Settings'!$I$2-MOD(ROW()-3,'League Settings'!$I$2),MOD(ROW()-3,'League Settings'!$I$2)+1))</f>
        <v>6th</v>
      </c>
      <c r="C77" s="29">
        <f>CEILING((ROW()-2)/'League Settings'!$I$2,1)</f>
        <v>10</v>
      </c>
      <c r="D77" s="42">
        <v>170</v>
      </c>
      <c r="E77" s="34" t="str">
        <f>IF((D77)&gt;0,INDEX('Default Rankings'!$B$3:$D$302,'Live Draft Picks'!D77,2) &amp; " " &amp; INDEX('Default Rankings'!$B$3:$D$302,'Live Draft Picks'!D77,3),"")</f>
        <v xml:space="preserve">Steelers D/ST </v>
      </c>
      <c r="F77" s="35" t="str">
        <f>IF((D77)&gt;0,INDEX('Default Rankings'!$C$3:$E$302,'Live Draft Picks'!D77,3),"")</f>
        <v>DST</v>
      </c>
    </row>
    <row r="78" spans="2:6" x14ac:dyDescent="0.35">
      <c r="B78" s="12" t="str">
        <f>INDEX('League Settings'!$H$5:$H$18,IF(MOD(C78,2)=0,'League Settings'!$I$2-MOD(ROW()-3,'League Settings'!$I$2),MOD(ROW()-3,'League Settings'!$I$2)+1))</f>
        <v>5th</v>
      </c>
      <c r="C78" s="29">
        <f>CEILING((ROW()-2)/'League Settings'!$I$2,1)</f>
        <v>10</v>
      </c>
      <c r="D78" s="42">
        <v>48</v>
      </c>
      <c r="E78" s="34" t="str">
        <f>IF((D78)&gt;0,INDEX('Default Rankings'!$B$3:$D$302,'Live Draft Picks'!D78,2) &amp; " " &amp; INDEX('Default Rankings'!$B$3:$D$302,'Live Draft Picks'!D78,3),"")</f>
        <v>Cam Akers LAR</v>
      </c>
      <c r="F78" s="35" t="str">
        <f>IF((D78)&gt;0,INDEX('Default Rankings'!$C$3:$E$302,'Live Draft Picks'!D78,3),"")</f>
        <v>RB</v>
      </c>
    </row>
    <row r="79" spans="2:6" x14ac:dyDescent="0.35">
      <c r="B79" s="12" t="str">
        <f>INDEX('League Settings'!$H$5:$H$18,IF(MOD(C79,2)=0,'League Settings'!$I$2-MOD(ROW()-3,'League Settings'!$I$2),MOD(ROW()-3,'League Settings'!$I$2)+1))</f>
        <v>4th</v>
      </c>
      <c r="C79" s="29">
        <f>CEILING((ROW()-2)/'League Settings'!$I$2,1)</f>
        <v>10</v>
      </c>
      <c r="D79" s="42">
        <v>173</v>
      </c>
      <c r="E79" s="34" t="str">
        <f>IF((D79)&gt;0,INDEX('Default Rankings'!$B$3:$D$302,'Live Draft Picks'!D79,2) &amp; " " &amp; INDEX('Default Rankings'!$B$3:$D$302,'Live Draft Picks'!D79,3),"")</f>
        <v xml:space="preserve">Ravens D/ST </v>
      </c>
      <c r="F79" s="35" t="str">
        <f>IF((D79)&gt;0,INDEX('Default Rankings'!$C$3:$E$302,'Live Draft Picks'!D79,3),"")</f>
        <v>DST</v>
      </c>
    </row>
    <row r="80" spans="2:6" x14ac:dyDescent="0.35">
      <c r="B80" s="12" t="str">
        <f>INDEX('League Settings'!$H$5:$H$18,IF(MOD(C80,2)=0,'League Settings'!$I$2-MOD(ROW()-3,'League Settings'!$I$2),MOD(ROW()-3,'League Settings'!$I$2)+1))</f>
        <v>3rd</v>
      </c>
      <c r="C80" s="29">
        <f>CEILING((ROW()-2)/'League Settings'!$I$2,1)</f>
        <v>10</v>
      </c>
      <c r="D80" s="42">
        <v>182</v>
      </c>
      <c r="E80" s="34" t="str">
        <f>IF((D80)&gt;0,INDEX('Default Rankings'!$B$3:$D$302,'Live Draft Picks'!D80,2) &amp; " " &amp; INDEX('Default Rankings'!$B$3:$D$302,'Live Draft Picks'!D80,3),"")</f>
        <v>Justin Tucker BAL</v>
      </c>
      <c r="F80" s="35" t="str">
        <f>IF((D80)&gt;0,INDEX('Default Rankings'!$C$3:$E$302,'Live Draft Picks'!D80,3),"")</f>
        <v>K</v>
      </c>
    </row>
    <row r="81" spans="2:6" x14ac:dyDescent="0.35">
      <c r="B81" s="12" t="str">
        <f>INDEX('League Settings'!$H$5:$H$18,IF(MOD(C81,2)=0,'League Settings'!$I$2-MOD(ROW()-3,'League Settings'!$I$2),MOD(ROW()-3,'League Settings'!$I$2)+1))</f>
        <v>2nd</v>
      </c>
      <c r="C81" s="29">
        <f>CEILING((ROW()-2)/'League Settings'!$I$2,1)</f>
        <v>10</v>
      </c>
      <c r="D81" s="42">
        <v>184</v>
      </c>
      <c r="E81" s="34" t="str">
        <f>IF((D81)&gt;0,INDEX('Default Rankings'!$B$3:$D$302,'Live Draft Picks'!D81,2) &amp; " " &amp; INDEX('Default Rankings'!$B$3:$D$302,'Live Draft Picks'!D81,3),"")</f>
        <v>Wil Lutz NO</v>
      </c>
      <c r="F81" s="35" t="str">
        <f>IF((D81)&gt;0,INDEX('Default Rankings'!$C$3:$E$302,'Live Draft Picks'!D81,3),"")</f>
        <v>K</v>
      </c>
    </row>
    <row r="82" spans="2:6" x14ac:dyDescent="0.35">
      <c r="B82" s="12" t="str">
        <f>INDEX('League Settings'!$H$5:$H$18,IF(MOD(C82,2)=0,'League Settings'!$I$2-MOD(ROW()-3,'League Settings'!$I$2),MOD(ROW()-3,'League Settings'!$I$2)+1))</f>
        <v>1st</v>
      </c>
      <c r="C82" s="29">
        <f>CEILING((ROW()-2)/'League Settings'!$I$2,1)</f>
        <v>10</v>
      </c>
      <c r="D82" s="42">
        <v>300</v>
      </c>
      <c r="E82" s="34" t="str">
        <f>IF((D82)&gt;0,INDEX('Default Rankings'!$B$3:$D$302,'Live Draft Picks'!D82,2) &amp; " " &amp; INDEX('Default Rankings'!$B$3:$D$302,'Live Draft Picks'!D82,3),"")</f>
        <v>Ryan Nall CHI</v>
      </c>
      <c r="F82" s="35" t="str">
        <f>IF((D82)&gt;0,INDEX('Default Rankings'!$C$3:$E$302,'Live Draft Picks'!D82,3),"")</f>
        <v>RB</v>
      </c>
    </row>
    <row r="83" spans="2:6" x14ac:dyDescent="0.35">
      <c r="B83" s="12" t="str">
        <f>INDEX('League Settings'!$H$5:$H$18,IF(MOD(C83,2)=0,'League Settings'!$I$2-MOD(ROW()-3,'League Settings'!$I$2),MOD(ROW()-3,'League Settings'!$I$2)+1))</f>
        <v>1st</v>
      </c>
      <c r="C83" s="29">
        <f>CEILING((ROW()-2)/'League Settings'!$I$2,1)</f>
        <v>11</v>
      </c>
      <c r="D83" s="42">
        <v>79</v>
      </c>
      <c r="E83" s="34" t="str">
        <f>IF((D83)&gt;0,INDEX('Default Rankings'!$B$3:$D$302,'Live Draft Picks'!D83,2) &amp; " " &amp; INDEX('Default Rankings'!$B$3:$D$302,'Live Draft Picks'!D83,3),"")</f>
        <v>Sterling Shepard NYG</v>
      </c>
      <c r="F83" s="35" t="str">
        <f>IF((D83)&gt;0,INDEX('Default Rankings'!$C$3:$E$302,'Live Draft Picks'!D83,3),"")</f>
        <v>WR</v>
      </c>
    </row>
    <row r="84" spans="2:6" x14ac:dyDescent="0.35">
      <c r="B84" s="12" t="str">
        <f>INDEX('League Settings'!$H$5:$H$18,IF(MOD(C84,2)=0,'League Settings'!$I$2-MOD(ROW()-3,'League Settings'!$I$2),MOD(ROW()-3,'League Settings'!$I$2)+1))</f>
        <v>2nd</v>
      </c>
      <c r="C84" s="29">
        <f>CEILING((ROW()-2)/'League Settings'!$I$2,1)</f>
        <v>11</v>
      </c>
      <c r="D84" s="42">
        <v>58</v>
      </c>
      <c r="E84" s="34" t="str">
        <f>IF((D84)&gt;0,INDEX('Default Rankings'!$B$3:$D$302,'Live Draft Picks'!D84,2) &amp; " " &amp; INDEX('Default Rankings'!$B$3:$D$302,'Live Draft Picks'!D84,3),"")</f>
        <v>Devin Singletary BUF</v>
      </c>
      <c r="F84" s="35" t="str">
        <f>IF((D84)&gt;0,INDEX('Default Rankings'!$C$3:$E$302,'Live Draft Picks'!D84,3),"")</f>
        <v>RB</v>
      </c>
    </row>
    <row r="85" spans="2:6" x14ac:dyDescent="0.35">
      <c r="B85" s="12" t="str">
        <f>INDEX('League Settings'!$H$5:$H$18,IF(MOD(C85,2)=0,'League Settings'!$I$2-MOD(ROW()-3,'League Settings'!$I$2),MOD(ROW()-3,'League Settings'!$I$2)+1))</f>
        <v>3rd</v>
      </c>
      <c r="C85" s="29">
        <f>CEILING((ROW()-2)/'League Settings'!$I$2,1)</f>
        <v>11</v>
      </c>
      <c r="D85" s="42">
        <v>56</v>
      </c>
      <c r="E85" s="34" t="str">
        <f>IF((D85)&gt;0,INDEX('Default Rankings'!$B$3:$D$302,'Live Draft Picks'!D85,2) &amp; " " &amp; INDEX('Default Rankings'!$B$3:$D$302,'Live Draft Picks'!D85,3),"")</f>
        <v>Raheem Mostert SF</v>
      </c>
      <c r="F85" s="35" t="str">
        <f>IF((D85)&gt;0,INDEX('Default Rankings'!$C$3:$E$302,'Live Draft Picks'!D85,3),"")</f>
        <v>RB</v>
      </c>
    </row>
    <row r="86" spans="2:6" x14ac:dyDescent="0.35">
      <c r="B86" s="12" t="str">
        <f>INDEX('League Settings'!$H$5:$H$18,IF(MOD(C86,2)=0,'League Settings'!$I$2-MOD(ROW()-3,'League Settings'!$I$2),MOD(ROW()-3,'League Settings'!$I$2)+1))</f>
        <v>4th</v>
      </c>
      <c r="C86" s="29">
        <f>CEILING((ROW()-2)/'League Settings'!$I$2,1)</f>
        <v>11</v>
      </c>
      <c r="D86" s="42">
        <v>176</v>
      </c>
      <c r="E86" s="34" t="str">
        <f>IF((D86)&gt;0,INDEX('Default Rankings'!$B$3:$D$302,'Live Draft Picks'!D86,2) &amp; " " &amp; INDEX('Default Rankings'!$B$3:$D$302,'Live Draft Picks'!D86,3),"")</f>
        <v xml:space="preserve">Bears D/ST </v>
      </c>
      <c r="F86" s="35" t="str">
        <f>IF((D86)&gt;0,INDEX('Default Rankings'!$C$3:$E$302,'Live Draft Picks'!D86,3),"")</f>
        <v>DST</v>
      </c>
    </row>
    <row r="87" spans="2:6" x14ac:dyDescent="0.35">
      <c r="B87" s="12" t="str">
        <f>INDEX('League Settings'!$H$5:$H$18,IF(MOD(C87,2)=0,'League Settings'!$I$2-MOD(ROW()-3,'League Settings'!$I$2),MOD(ROW()-3,'League Settings'!$I$2)+1))</f>
        <v>5th</v>
      </c>
      <c r="C87" s="29">
        <f>CEILING((ROW()-2)/'League Settings'!$I$2,1)</f>
        <v>11</v>
      </c>
      <c r="D87" s="42">
        <v>299</v>
      </c>
      <c r="E87" s="34" t="str">
        <f>IF((D87)&gt;0,INDEX('Default Rankings'!$B$3:$D$302,'Live Draft Picks'!D87,2) &amp; " " &amp; INDEX('Default Rankings'!$B$3:$D$302,'Live Draft Picks'!D87,3),"")</f>
        <v>Darwin Thompson KC</v>
      </c>
      <c r="F87" s="35" t="str">
        <f>IF((D87)&gt;0,INDEX('Default Rankings'!$C$3:$E$302,'Live Draft Picks'!D87,3),"")</f>
        <v>RB</v>
      </c>
    </row>
    <row r="88" spans="2:6" x14ac:dyDescent="0.35">
      <c r="B88" s="12" t="str">
        <f>INDEX('League Settings'!$H$5:$H$18,IF(MOD(C88,2)=0,'League Settings'!$I$2-MOD(ROW()-3,'League Settings'!$I$2),MOD(ROW()-3,'League Settings'!$I$2)+1))</f>
        <v>6th</v>
      </c>
      <c r="C88" s="29">
        <f>CEILING((ROW()-2)/'League Settings'!$I$2,1)</f>
        <v>11</v>
      </c>
      <c r="D88" s="42">
        <v>85</v>
      </c>
      <c r="E88" s="34" t="str">
        <f>IF((D88)&gt;0,INDEX('Default Rankings'!$B$3:$D$302,'Live Draft Picks'!D88,2) &amp; " " &amp; INDEX('Default Rankings'!$B$3:$D$302,'Live Draft Picks'!D88,3),"")</f>
        <v>Leonard Fournette JAC</v>
      </c>
      <c r="F88" s="35" t="str">
        <f>IF((D88)&gt;0,INDEX('Default Rankings'!$C$3:$E$302,'Live Draft Picks'!D88,3),"")</f>
        <v>RB</v>
      </c>
    </row>
    <row r="89" spans="2:6" x14ac:dyDescent="0.35">
      <c r="B89" s="12" t="str">
        <f>INDEX('League Settings'!$H$5:$H$18,IF(MOD(C89,2)=0,'League Settings'!$I$2-MOD(ROW()-3,'League Settings'!$I$2),MOD(ROW()-3,'League Settings'!$I$2)+1))</f>
        <v>7th</v>
      </c>
      <c r="C89" s="29">
        <f>CEILING((ROW()-2)/'League Settings'!$I$2,1)</f>
        <v>11</v>
      </c>
      <c r="D89" s="42">
        <v>112</v>
      </c>
      <c r="E89" s="34" t="str">
        <f>IF((D89)&gt;0,INDEX('Default Rankings'!$B$3:$D$302,'Live Draft Picks'!D89,2) &amp; " " &amp; INDEX('Default Rankings'!$B$3:$D$302,'Live Draft Picks'!D89,3),"")</f>
        <v>Rob Gronkowski TB</v>
      </c>
      <c r="F89" s="35" t="str">
        <f>IF((D89)&gt;0,INDEX('Default Rankings'!$C$3:$E$302,'Live Draft Picks'!D89,3),"")</f>
        <v>TE</v>
      </c>
    </row>
    <row r="90" spans="2:6" x14ac:dyDescent="0.35">
      <c r="B90" s="12" t="str">
        <f>INDEX('League Settings'!$H$5:$H$18,IF(MOD(C90,2)=0,'League Settings'!$I$2-MOD(ROW()-3,'League Settings'!$I$2),MOD(ROW()-3,'League Settings'!$I$2)+1))</f>
        <v>8th</v>
      </c>
      <c r="C90" s="29">
        <f>CEILING((ROW()-2)/'League Settings'!$I$2,1)</f>
        <v>11</v>
      </c>
      <c r="D90" s="42">
        <v>298</v>
      </c>
      <c r="E90" s="34" t="str">
        <f>IF((D90)&gt;0,INDEX('Default Rankings'!$B$3:$D$302,'Live Draft Picks'!D90,2) &amp; " " &amp; INDEX('Default Rankings'!$B$3:$D$302,'Live Draft Picks'!D90,3),"")</f>
        <v>Justin Herbert LAC</v>
      </c>
      <c r="F90" s="35" t="str">
        <f>IF((D90)&gt;0,INDEX('Default Rankings'!$C$3:$E$302,'Live Draft Picks'!D90,3),"")</f>
        <v>QB</v>
      </c>
    </row>
    <row r="91" spans="2:6" x14ac:dyDescent="0.35">
      <c r="B91" s="12" t="str">
        <f>INDEX('League Settings'!$H$5:$H$18,IF(MOD(C91,2)=0,'League Settings'!$I$2-MOD(ROW()-3,'League Settings'!$I$2),MOD(ROW()-3,'League Settings'!$I$2)+1))</f>
        <v>8th</v>
      </c>
      <c r="C91" s="29">
        <f>CEILING((ROW()-2)/'League Settings'!$I$2,1)</f>
        <v>12</v>
      </c>
      <c r="D91" s="42">
        <v>93</v>
      </c>
      <c r="E91" s="34" t="str">
        <f>IF((D91)&gt;0,INDEX('Default Rankings'!$B$3:$D$302,'Live Draft Picks'!D91,2) &amp; " " &amp; INDEX('Default Rankings'!$B$3:$D$302,'Live Draft Picks'!D91,3),"")</f>
        <v>James White NE</v>
      </c>
      <c r="F91" s="35" t="str">
        <f>IF((D91)&gt;0,INDEX('Default Rankings'!$C$3:$E$302,'Live Draft Picks'!D91,3),"")</f>
        <v>RB</v>
      </c>
    </row>
    <row r="92" spans="2:6" x14ac:dyDescent="0.35">
      <c r="B92" s="12" t="str">
        <f>INDEX('League Settings'!$H$5:$H$18,IF(MOD(C92,2)=0,'League Settings'!$I$2-MOD(ROW()-3,'League Settings'!$I$2),MOD(ROW()-3,'League Settings'!$I$2)+1))</f>
        <v>7th</v>
      </c>
      <c r="C92" s="29">
        <f>CEILING((ROW()-2)/'League Settings'!$I$2,1)</f>
        <v>12</v>
      </c>
      <c r="D92" s="42">
        <v>136</v>
      </c>
      <c r="E92" s="34" t="str">
        <f>IF((D92)&gt;0,INDEX('Default Rankings'!$B$3:$D$302,'Live Draft Picks'!D92,2) &amp; " " &amp; INDEX('Default Rankings'!$B$3:$D$302,'Live Draft Picks'!D92,3),"")</f>
        <v>Austin Hooper CLE</v>
      </c>
      <c r="F92" s="35" t="str">
        <f>IF((D92)&gt;0,INDEX('Default Rankings'!$C$3:$E$302,'Live Draft Picks'!D92,3),"")</f>
        <v>TE</v>
      </c>
    </row>
    <row r="93" spans="2:6" x14ac:dyDescent="0.35">
      <c r="B93" s="12" t="str">
        <f>INDEX('League Settings'!$H$5:$H$18,IF(MOD(C93,2)=0,'League Settings'!$I$2-MOD(ROW()-3,'League Settings'!$I$2),MOD(ROW()-3,'League Settings'!$I$2)+1))</f>
        <v>6th</v>
      </c>
      <c r="C93" s="29">
        <f>CEILING((ROW()-2)/'League Settings'!$I$2,1)</f>
        <v>12</v>
      </c>
      <c r="D93" s="42">
        <v>114</v>
      </c>
      <c r="E93" s="34" t="str">
        <f>IF((D93)&gt;0,INDEX('Default Rankings'!$B$3:$D$302,'Live Draft Picks'!D93,2) &amp; " " &amp; INDEX('Default Rankings'!$B$3:$D$302,'Live Draft Picks'!D93,3),"")</f>
        <v>Hayden Hurst ATL</v>
      </c>
      <c r="F93" s="35" t="str">
        <f>IF((D93)&gt;0,INDEX('Default Rankings'!$C$3:$E$302,'Live Draft Picks'!D93,3),"")</f>
        <v>TE</v>
      </c>
    </row>
    <row r="94" spans="2:6" x14ac:dyDescent="0.35">
      <c r="B94" s="12" t="str">
        <f>INDEX('League Settings'!$H$5:$H$18,IF(MOD(C94,2)=0,'League Settings'!$I$2-MOD(ROW()-3,'League Settings'!$I$2),MOD(ROW()-3,'League Settings'!$I$2)+1))</f>
        <v>5th</v>
      </c>
      <c r="C94" s="29">
        <f>CEILING((ROW()-2)/'League Settings'!$I$2,1)</f>
        <v>12</v>
      </c>
      <c r="D94" s="42">
        <v>111</v>
      </c>
      <c r="E94" s="34" t="str">
        <f>IF((D94)&gt;0,INDEX('Default Rankings'!$B$3:$D$302,'Live Draft Picks'!D94,2) &amp; " " &amp; INDEX('Default Rankings'!$B$3:$D$302,'Live Draft Picks'!D94,3),"")</f>
        <v>Jared Cook NO</v>
      </c>
      <c r="F94" s="35" t="str">
        <f>IF((D94)&gt;0,INDEX('Default Rankings'!$C$3:$E$302,'Live Draft Picks'!D94,3),"")</f>
        <v>TE</v>
      </c>
    </row>
    <row r="95" spans="2:6" x14ac:dyDescent="0.35">
      <c r="B95" s="12" t="str">
        <f>INDEX('League Settings'!$H$5:$H$18,IF(MOD(C95,2)=0,'League Settings'!$I$2-MOD(ROW()-3,'League Settings'!$I$2),MOD(ROW()-3,'League Settings'!$I$2)+1))</f>
        <v>4th</v>
      </c>
      <c r="C95" s="29">
        <f>CEILING((ROW()-2)/'League Settings'!$I$2,1)</f>
        <v>12</v>
      </c>
      <c r="D95" s="42">
        <v>120</v>
      </c>
      <c r="E95" s="34" t="str">
        <f>IF((D95)&gt;0,INDEX('Default Rankings'!$B$3:$D$302,'Live Draft Picks'!D95,2) &amp; " " &amp; INDEX('Default Rankings'!$B$3:$D$302,'Live Draft Picks'!D95,3),"")</f>
        <v>Drew Brees NO</v>
      </c>
      <c r="F95" s="35" t="str">
        <f>IF((D95)&gt;0,INDEX('Default Rankings'!$C$3:$E$302,'Live Draft Picks'!D95,3),"")</f>
        <v>QB</v>
      </c>
    </row>
    <row r="96" spans="2:6" x14ac:dyDescent="0.35">
      <c r="B96" s="12" t="str">
        <f>INDEX('League Settings'!$H$5:$H$18,IF(MOD(C96,2)=0,'League Settings'!$I$2-MOD(ROW()-3,'League Settings'!$I$2),MOD(ROW()-3,'League Settings'!$I$2)+1))</f>
        <v>3rd</v>
      </c>
      <c r="C96" s="29">
        <f>CEILING((ROW()-2)/'League Settings'!$I$2,1)</f>
        <v>12</v>
      </c>
      <c r="D96" s="42">
        <v>110</v>
      </c>
      <c r="E96" s="34" t="str">
        <f>IF((D96)&gt;0,INDEX('Default Rankings'!$B$3:$D$302,'Live Draft Picks'!D96,2) &amp; " " &amp; INDEX('Default Rankings'!$B$3:$D$302,'Live Draft Picks'!D96,3),"")</f>
        <v>Hunter Henry LAC</v>
      </c>
      <c r="F96" s="35" t="str">
        <f>IF((D96)&gt;0,INDEX('Default Rankings'!$C$3:$E$302,'Live Draft Picks'!D96,3),"")</f>
        <v>TE</v>
      </c>
    </row>
    <row r="97" spans="2:6" x14ac:dyDescent="0.35">
      <c r="B97" s="12" t="str">
        <f>INDEX('League Settings'!$H$5:$H$18,IF(MOD(C97,2)=0,'League Settings'!$I$2-MOD(ROW()-3,'League Settings'!$I$2),MOD(ROW()-3,'League Settings'!$I$2)+1))</f>
        <v>2nd</v>
      </c>
      <c r="C97" s="29">
        <f>CEILING((ROW()-2)/'League Settings'!$I$2,1)</f>
        <v>12</v>
      </c>
      <c r="D97" s="42">
        <v>185</v>
      </c>
      <c r="E97" s="34" t="str">
        <f>IF((D97)&gt;0,INDEX('Default Rankings'!$B$3:$D$302,'Live Draft Picks'!D97,2) &amp; " " &amp; INDEX('Default Rankings'!$B$3:$D$302,'Live Draft Picks'!D97,3),"")</f>
        <v>Matt Prater DET</v>
      </c>
      <c r="F97" s="35" t="str">
        <f>IF((D97)&gt;0,INDEX('Default Rankings'!$C$3:$E$302,'Live Draft Picks'!D97,3),"")</f>
        <v>K</v>
      </c>
    </row>
    <row r="98" spans="2:6" x14ac:dyDescent="0.35">
      <c r="B98" s="12" t="str">
        <f>INDEX('League Settings'!$H$5:$H$18,IF(MOD(C98,2)=0,'League Settings'!$I$2-MOD(ROW()-3,'League Settings'!$I$2),MOD(ROW()-3,'League Settings'!$I$2)+1))</f>
        <v>1st</v>
      </c>
      <c r="C98" s="29">
        <f>CEILING((ROW()-2)/'League Settings'!$I$2,1)</f>
        <v>12</v>
      </c>
      <c r="D98" s="42">
        <v>163</v>
      </c>
      <c r="E98" s="34" t="str">
        <f>IF((D98)&gt;0,INDEX('Default Rankings'!$B$3:$D$302,'Live Draft Picks'!D98,2) &amp; " " &amp; INDEX('Default Rankings'!$B$3:$D$302,'Live Draft Picks'!D98,3),"")</f>
        <v>Eric Ebron PIT</v>
      </c>
      <c r="F98" s="35" t="str">
        <f>IF((D98)&gt;0,INDEX('Default Rankings'!$C$3:$E$302,'Live Draft Picks'!D98,3),"")</f>
        <v>TE</v>
      </c>
    </row>
    <row r="99" spans="2:6" x14ac:dyDescent="0.35">
      <c r="B99" s="12" t="str">
        <f>INDEX('League Settings'!$H$5:$H$18,IF(MOD(C99,2)=0,'League Settings'!$I$2-MOD(ROW()-3,'League Settings'!$I$2),MOD(ROW()-3,'League Settings'!$I$2)+1))</f>
        <v>1st</v>
      </c>
      <c r="C99" s="29">
        <f>CEILING((ROW()-2)/'League Settings'!$I$2,1)</f>
        <v>13</v>
      </c>
      <c r="D99" s="42">
        <v>138</v>
      </c>
      <c r="E99" s="34" t="str">
        <f>IF((D99)&gt;0,INDEX('Default Rankings'!$B$3:$D$302,'Live Draft Picks'!D99,2) &amp; " " &amp; INDEX('Default Rankings'!$B$3:$D$302,'Live Draft Picks'!D99,3),"")</f>
        <v>Cam Newton NE</v>
      </c>
      <c r="F99" s="35" t="str">
        <f>IF((D99)&gt;0,INDEX('Default Rankings'!$C$3:$E$302,'Live Draft Picks'!D99,3),"")</f>
        <v>QB</v>
      </c>
    </row>
    <row r="100" spans="2:6" x14ac:dyDescent="0.35">
      <c r="B100" s="12" t="str">
        <f>INDEX('League Settings'!$H$5:$H$18,IF(MOD(C100,2)=0,'League Settings'!$I$2-MOD(ROW()-3,'League Settings'!$I$2),MOD(ROW()-3,'League Settings'!$I$2)+1))</f>
        <v>2nd</v>
      </c>
      <c r="C100" s="29">
        <f>CEILING((ROW()-2)/'League Settings'!$I$2,1)</f>
        <v>13</v>
      </c>
      <c r="D100" s="42">
        <v>121</v>
      </c>
      <c r="E100" s="34" t="str">
        <f>IF((D100)&gt;0,INDEX('Default Rankings'!$B$3:$D$302,'Live Draft Picks'!D100,2) &amp; " " &amp; INDEX('Default Rankings'!$B$3:$D$302,'Live Draft Picks'!D100,3),"")</f>
        <v>Matthew Stafford DET</v>
      </c>
      <c r="F100" s="35" t="str">
        <f>IF((D100)&gt;0,INDEX('Default Rankings'!$C$3:$E$302,'Live Draft Picks'!D100,3),"")</f>
        <v>QB</v>
      </c>
    </row>
    <row r="101" spans="2:6" x14ac:dyDescent="0.35">
      <c r="B101" s="12" t="str">
        <f>INDEX('League Settings'!$H$5:$H$18,IF(MOD(C101,2)=0,'League Settings'!$I$2-MOD(ROW()-3,'League Settings'!$I$2),MOD(ROW()-3,'League Settings'!$I$2)+1))</f>
        <v>3rd</v>
      </c>
      <c r="C101" s="29">
        <f>CEILING((ROW()-2)/'League Settings'!$I$2,1)</f>
        <v>13</v>
      </c>
      <c r="D101" s="42">
        <v>62</v>
      </c>
      <c r="E101" s="34" t="str">
        <f>IF((D101)&gt;0,INDEX('Default Rankings'!$B$3:$D$302,'Live Draft Picks'!D101,2) &amp; " " &amp; INDEX('Default Rankings'!$B$3:$D$302,'Live Draft Picks'!D101,3),"")</f>
        <v>Michael Gallup DAL</v>
      </c>
      <c r="F101" s="35" t="str">
        <f>IF((D101)&gt;0,INDEX('Default Rankings'!$C$3:$E$302,'Live Draft Picks'!D101,3),"")</f>
        <v>WR</v>
      </c>
    </row>
    <row r="102" spans="2:6" x14ac:dyDescent="0.35">
      <c r="B102" s="12" t="str">
        <f>INDEX('League Settings'!$H$5:$H$18,IF(MOD(C102,2)=0,'League Settings'!$I$2-MOD(ROW()-3,'League Settings'!$I$2),MOD(ROW()-3,'League Settings'!$I$2)+1))</f>
        <v>4th</v>
      </c>
      <c r="C102" s="29">
        <f>CEILING((ROW()-2)/'League Settings'!$I$2,1)</f>
        <v>13</v>
      </c>
      <c r="D102" s="42">
        <v>90</v>
      </c>
      <c r="E102" s="34" t="str">
        <f>IF((D102)&gt;0,INDEX('Default Rankings'!$B$3:$D$302,'Live Draft Picks'!D102,2) &amp; " " &amp; INDEX('Default Rankings'!$B$3:$D$302,'Live Draft Picks'!D102,3),"")</f>
        <v>Tarik Cohen CHI</v>
      </c>
      <c r="F102" s="35" t="str">
        <f>IF((D102)&gt;0,INDEX('Default Rankings'!$C$3:$E$302,'Live Draft Picks'!D102,3),"")</f>
        <v>RB</v>
      </c>
    </row>
    <row r="103" spans="2:6" x14ac:dyDescent="0.35">
      <c r="B103" s="12" t="str">
        <f>INDEX('League Settings'!$H$5:$H$18,IF(MOD(C103,2)=0,'League Settings'!$I$2-MOD(ROW()-3,'League Settings'!$I$2),MOD(ROW()-3,'League Settings'!$I$2)+1))</f>
        <v>5th</v>
      </c>
      <c r="C103" s="29">
        <f>CEILING((ROW()-2)/'League Settings'!$I$2,1)</f>
        <v>13</v>
      </c>
      <c r="D103" s="42">
        <v>187</v>
      </c>
      <c r="E103" s="34" t="str">
        <f>IF((D103)&gt;0,INDEX('Default Rankings'!$B$3:$D$302,'Live Draft Picks'!D103,2) &amp; " " &amp; INDEX('Default Rankings'!$B$3:$D$302,'Live Draft Picks'!D103,3),"")</f>
        <v>Greg Zuerlein DAL</v>
      </c>
      <c r="F103" s="35" t="str">
        <f>IF((D103)&gt;0,INDEX('Default Rankings'!$C$3:$E$302,'Live Draft Picks'!D103,3),"")</f>
        <v>K</v>
      </c>
    </row>
    <row r="104" spans="2:6" x14ac:dyDescent="0.35">
      <c r="B104" s="12" t="str">
        <f>INDEX('League Settings'!$H$5:$H$18,IF(MOD(C104,2)=0,'League Settings'!$I$2-MOD(ROW()-3,'League Settings'!$I$2),MOD(ROW()-3,'League Settings'!$I$2)+1))</f>
        <v>6th</v>
      </c>
      <c r="C104" s="29">
        <f>CEILING((ROW()-2)/'League Settings'!$I$2,1)</f>
        <v>13</v>
      </c>
      <c r="D104" s="42">
        <v>66</v>
      </c>
      <c r="E104" s="34" t="str">
        <f>IF((D104)&gt;0,INDEX('Default Rankings'!$B$3:$D$302,'Live Draft Picks'!D104,2) &amp; " " &amp; INDEX('Default Rankings'!$B$3:$D$302,'Live Draft Picks'!D104,3),"")</f>
        <v>Will Fuller V HOU</v>
      </c>
      <c r="F104" s="35" t="str">
        <f>IF((D104)&gt;0,INDEX('Default Rankings'!$C$3:$E$302,'Live Draft Picks'!D104,3),"")</f>
        <v>WR</v>
      </c>
    </row>
    <row r="105" spans="2:6" x14ac:dyDescent="0.35">
      <c r="B105" s="12" t="str">
        <f>INDEX('League Settings'!$H$5:$H$18,IF(MOD(C105,2)=0,'League Settings'!$I$2-MOD(ROW()-3,'League Settings'!$I$2),MOD(ROW()-3,'League Settings'!$I$2)+1))</f>
        <v>7th</v>
      </c>
      <c r="C105" s="29">
        <f>CEILING((ROW()-2)/'League Settings'!$I$2,1)</f>
        <v>13</v>
      </c>
      <c r="D105" s="42">
        <v>297</v>
      </c>
      <c r="E105" s="34" t="str">
        <f>IF((D105)&gt;0,INDEX('Default Rankings'!$B$3:$D$302,'Live Draft Picks'!D105,2) &amp; " " &amp; INDEX('Default Rankings'!$B$3:$D$302,'Live Draft Picks'!D105,3),"")</f>
        <v>Ryan Fitzpatrick MIA</v>
      </c>
      <c r="F105" s="35" t="str">
        <f>IF((D105)&gt;0,INDEX('Default Rankings'!$C$3:$E$302,'Live Draft Picks'!D105,3),"")</f>
        <v>QB</v>
      </c>
    </row>
    <row r="106" spans="2:6" x14ac:dyDescent="0.35">
      <c r="B106" s="12" t="str">
        <f>INDEX('League Settings'!$H$5:$H$18,IF(MOD(C106,2)=0,'League Settings'!$I$2-MOD(ROW()-3,'League Settings'!$I$2),MOD(ROW()-3,'League Settings'!$I$2)+1))</f>
        <v>8th</v>
      </c>
      <c r="C106" s="29">
        <f>CEILING((ROW()-2)/'League Settings'!$I$2,1)</f>
        <v>13</v>
      </c>
      <c r="D106" s="42">
        <v>72</v>
      </c>
      <c r="E106" s="34" t="str">
        <f>IF((D106)&gt;0,INDEX('Default Rankings'!$B$3:$D$302,'Live Draft Picks'!D106,2) &amp; " " &amp; INDEX('Default Rankings'!$B$3:$D$302,'Live Draft Picks'!D106,3),"")</f>
        <v>Ronald Jones II TB</v>
      </c>
      <c r="F106" s="35" t="str">
        <f>IF((D106)&gt;0,INDEX('Default Rankings'!$C$3:$E$302,'Live Draft Picks'!D106,3),"")</f>
        <v>RB</v>
      </c>
    </row>
    <row r="107" spans="2:6" x14ac:dyDescent="0.35">
      <c r="B107" s="12" t="str">
        <f>INDEX('League Settings'!$H$5:$H$18,IF(MOD(C107,2)=0,'League Settings'!$I$2-MOD(ROW()-3,'League Settings'!$I$2),MOD(ROW()-3,'League Settings'!$I$2)+1))</f>
        <v>8th</v>
      </c>
      <c r="C107" s="29">
        <f>CEILING((ROW()-2)/'League Settings'!$I$2,1)</f>
        <v>14</v>
      </c>
      <c r="D107" s="42">
        <v>107</v>
      </c>
      <c r="E107" s="34" t="str">
        <f>IF((D107)&gt;0,INDEX('Default Rankings'!$B$3:$D$302,'Live Draft Picks'!D107,2) &amp; " " &amp; INDEX('Default Rankings'!$B$3:$D$302,'Live Draft Picks'!D107,3),"")</f>
        <v>Jerry Jeudy DEN</v>
      </c>
      <c r="F107" s="35" t="str">
        <f>IF((D107)&gt;0,INDEX('Default Rankings'!$C$3:$E$302,'Live Draft Picks'!D107,3),"")</f>
        <v>WR</v>
      </c>
    </row>
    <row r="108" spans="2:6" x14ac:dyDescent="0.35">
      <c r="B108" s="12" t="str">
        <f>INDEX('League Settings'!$H$5:$H$18,IF(MOD(C108,2)=0,'League Settings'!$I$2-MOD(ROW()-3,'League Settings'!$I$2),MOD(ROW()-3,'League Settings'!$I$2)+1))</f>
        <v>7th</v>
      </c>
      <c r="C108" s="29">
        <f>CEILING((ROW()-2)/'League Settings'!$I$2,1)</f>
        <v>14</v>
      </c>
      <c r="D108" s="42">
        <v>129</v>
      </c>
      <c r="E108" s="34" t="str">
        <f>IF((D108)&gt;0,INDEX('Default Rankings'!$B$3:$D$302,'Live Draft Picks'!D108,2) &amp; " " &amp; INDEX('Default Rankings'!$B$3:$D$302,'Live Draft Picks'!D108,3),"")</f>
        <v>Marlon Mack IND</v>
      </c>
      <c r="F108" s="35" t="str">
        <f>IF((D108)&gt;0,INDEX('Default Rankings'!$C$3:$E$302,'Live Draft Picks'!D108,3),"")</f>
        <v>RB</v>
      </c>
    </row>
    <row r="109" spans="2:6" x14ac:dyDescent="0.35">
      <c r="B109" s="12" t="str">
        <f>INDEX('League Settings'!$H$5:$H$18,IF(MOD(C109,2)=0,'League Settings'!$I$2-MOD(ROW()-3,'League Settings'!$I$2),MOD(ROW()-3,'League Settings'!$I$2)+1))</f>
        <v>6th</v>
      </c>
      <c r="C109" s="29">
        <f>CEILING((ROW()-2)/'League Settings'!$I$2,1)</f>
        <v>14</v>
      </c>
      <c r="D109" s="42">
        <v>49</v>
      </c>
      <c r="E109" s="34" t="str">
        <f>IF((D109)&gt;0,INDEX('Default Rankings'!$B$3:$D$302,'Live Draft Picks'!D109,2) &amp; " " &amp; INDEX('Default Rankings'!$B$3:$D$302,'Live Draft Picks'!D109,3),"")</f>
        <v>D'Andre Swift DET</v>
      </c>
      <c r="F109" s="35" t="str">
        <f>IF((D109)&gt;0,INDEX('Default Rankings'!$C$3:$E$302,'Live Draft Picks'!D109,3),"")</f>
        <v>RB</v>
      </c>
    </row>
    <row r="110" spans="2:6" x14ac:dyDescent="0.35">
      <c r="B110" s="12" t="str">
        <f>INDEX('League Settings'!$H$5:$H$18,IF(MOD(C110,2)=0,'League Settings'!$I$2-MOD(ROW()-3,'League Settings'!$I$2),MOD(ROW()-3,'League Settings'!$I$2)+1))</f>
        <v>5th</v>
      </c>
      <c r="C110" s="29">
        <f>CEILING((ROW()-2)/'League Settings'!$I$2,1)</f>
        <v>14</v>
      </c>
      <c r="D110" s="42">
        <v>77</v>
      </c>
      <c r="E110" s="34" t="str">
        <f>IF((D110)&gt;0,INDEX('Default Rankings'!$B$3:$D$302,'Live Draft Picks'!D110,2) &amp; " " &amp; INDEX('Default Rankings'!$B$3:$D$302,'Live Draft Picks'!D110,3),"")</f>
        <v>Marvin Jones Jr. DET</v>
      </c>
      <c r="F110" s="35" t="str">
        <f>IF((D110)&gt;0,INDEX('Default Rankings'!$C$3:$E$302,'Live Draft Picks'!D110,3),"")</f>
        <v>WR</v>
      </c>
    </row>
    <row r="111" spans="2:6" x14ac:dyDescent="0.35">
      <c r="B111" s="12" t="str">
        <f>INDEX('League Settings'!$H$5:$H$18,IF(MOD(C111,2)=0,'League Settings'!$I$2-MOD(ROW()-3,'League Settings'!$I$2),MOD(ROW()-3,'League Settings'!$I$2)+1))</f>
        <v>4th</v>
      </c>
      <c r="C111" s="29">
        <f>CEILING((ROW()-2)/'League Settings'!$I$2,1)</f>
        <v>14</v>
      </c>
      <c r="D111" s="42">
        <v>86</v>
      </c>
      <c r="E111" s="34" t="str">
        <f>IF((D111)&gt;0,INDEX('Default Rankings'!$B$3:$D$302,'Live Draft Picks'!D111,2) &amp; " " &amp; INDEX('Default Rankings'!$B$3:$D$302,'Live Draft Picks'!D111,3),"")</f>
        <v>Phillip Lindsay DEN</v>
      </c>
      <c r="F111" s="35" t="str">
        <f>IF((D111)&gt;0,INDEX('Default Rankings'!$C$3:$E$302,'Live Draft Picks'!D111,3),"")</f>
        <v>RB</v>
      </c>
    </row>
    <row r="112" spans="2:6" x14ac:dyDescent="0.35">
      <c r="B112" s="12" t="str">
        <f>INDEX('League Settings'!$H$5:$H$18,IF(MOD(C112,2)=0,'League Settings'!$I$2-MOD(ROW()-3,'League Settings'!$I$2),MOD(ROW()-3,'League Settings'!$I$2)+1))</f>
        <v>3rd</v>
      </c>
      <c r="C112" s="29">
        <f>CEILING((ROW()-2)/'League Settings'!$I$2,1)</f>
        <v>14</v>
      </c>
      <c r="D112" s="42">
        <v>81</v>
      </c>
      <c r="E112" s="34" t="str">
        <f>IF((D112)&gt;0,INDEX('Default Rankings'!$B$3:$D$302,'Live Draft Picks'!D112,2) &amp; " " &amp; INDEX('Default Rankings'!$B$3:$D$302,'Live Draft Picks'!D112,3),"")</f>
        <v>Diontae Johnson PIT</v>
      </c>
      <c r="F112" s="35" t="str">
        <f>IF((D112)&gt;0,INDEX('Default Rankings'!$C$3:$E$302,'Live Draft Picks'!D112,3),"")</f>
        <v>WR</v>
      </c>
    </row>
    <row r="113" spans="2:6" x14ac:dyDescent="0.35">
      <c r="B113" s="12" t="str">
        <f>INDEX('League Settings'!$H$5:$H$18,IF(MOD(C113,2)=0,'League Settings'!$I$2-MOD(ROW()-3,'League Settings'!$I$2),MOD(ROW()-3,'League Settings'!$I$2)+1))</f>
        <v>2nd</v>
      </c>
      <c r="C113" s="29">
        <f>CEILING((ROW()-2)/'League Settings'!$I$2,1)</f>
        <v>14</v>
      </c>
      <c r="D113" s="42">
        <v>63</v>
      </c>
      <c r="E113" s="34" t="str">
        <f>IF((D113)&gt;0,INDEX('Default Rankings'!$B$3:$D$302,'Live Draft Picks'!D113,2) &amp; " " &amp; INDEX('Default Rankings'!$B$3:$D$302,'Live Draft Picks'!D113,3),"")</f>
        <v>A.J. Green CIN</v>
      </c>
      <c r="F113" s="35" t="str">
        <f>IF((D113)&gt;0,INDEX('Default Rankings'!$C$3:$E$302,'Live Draft Picks'!D113,3),"")</f>
        <v>WR</v>
      </c>
    </row>
    <row r="114" spans="2:6" x14ac:dyDescent="0.35">
      <c r="B114" s="12" t="str">
        <f>INDEX('League Settings'!$H$5:$H$18,IF(MOD(C114,2)=0,'League Settings'!$I$2-MOD(ROW()-3,'League Settings'!$I$2),MOD(ROW()-3,'League Settings'!$I$2)+1))</f>
        <v>1st</v>
      </c>
      <c r="C114" s="29">
        <f>CEILING((ROW()-2)/'League Settings'!$I$2,1)</f>
        <v>14</v>
      </c>
      <c r="D114" s="42">
        <v>296</v>
      </c>
      <c r="E114" s="34" t="str">
        <f>IF((D114)&gt;0,INDEX('Default Rankings'!$B$3:$D$302,'Live Draft Picks'!D114,2) &amp; " " &amp; INDEX('Default Rankings'!$B$3:$D$302,'Live Draft Picks'!D114,3),"")</f>
        <v xml:space="preserve">Chiefs D/ST </v>
      </c>
      <c r="F114" s="35" t="str">
        <f>IF((D114)&gt;0,INDEX('Default Rankings'!$C$3:$E$302,'Live Draft Picks'!D114,3),"")</f>
        <v>DST</v>
      </c>
    </row>
    <row r="115" spans="2:6" x14ac:dyDescent="0.35">
      <c r="B115" s="12" t="str">
        <f>INDEX('League Settings'!$H$5:$H$18,IF(MOD(C115,2)=0,'League Settings'!$I$2-MOD(ROW()-3,'League Settings'!$I$2),MOD(ROW()-3,'League Settings'!$I$2)+1))</f>
        <v>1st</v>
      </c>
      <c r="C115" s="29">
        <f>CEILING((ROW()-2)/'League Settings'!$I$2,1)</f>
        <v>15</v>
      </c>
      <c r="D115" s="42">
        <v>188</v>
      </c>
      <c r="E115" s="34" t="str">
        <f>IF((D115)&gt;0,INDEX('Default Rankings'!$B$3:$D$302,'Live Draft Picks'!D115,2) &amp; " " &amp; INDEX('Default Rankings'!$B$3:$D$302,'Live Draft Picks'!D115,3),"")</f>
        <v>Robbie Gould SF</v>
      </c>
      <c r="F115" s="35" t="str">
        <f>IF((D115)&gt;0,INDEX('Default Rankings'!$C$3:$E$302,'Live Draft Picks'!D115,3),"")</f>
        <v>K</v>
      </c>
    </row>
    <row r="116" spans="2:6" x14ac:dyDescent="0.35">
      <c r="B116" s="12" t="str">
        <f>INDEX('League Settings'!$H$5:$H$18,IF(MOD(C116,2)=0,'League Settings'!$I$2-MOD(ROW()-3,'League Settings'!$I$2),MOD(ROW()-3,'League Settings'!$I$2)+1))</f>
        <v>2nd</v>
      </c>
      <c r="C116" s="29">
        <f>CEILING((ROW()-2)/'League Settings'!$I$2,1)</f>
        <v>15</v>
      </c>
      <c r="D116" s="42">
        <v>123</v>
      </c>
      <c r="E116" s="34" t="str">
        <f>IF((D116)&gt;0,INDEX('Default Rankings'!$B$3:$D$302,'Live Draft Picks'!D116,2) &amp; " " &amp; INDEX('Default Rankings'!$B$3:$D$302,'Live Draft Picks'!D116,3),"")</f>
        <v>Mecole Hardman KC</v>
      </c>
      <c r="F116" s="35" t="str">
        <f>IF((D116)&gt;0,INDEX('Default Rankings'!$C$3:$E$302,'Live Draft Picks'!D116,3),"")</f>
        <v>WR</v>
      </c>
    </row>
    <row r="117" spans="2:6" x14ac:dyDescent="0.35">
      <c r="B117" s="12" t="str">
        <f>INDEX('League Settings'!$H$5:$H$18,IF(MOD(C117,2)=0,'League Settings'!$I$2-MOD(ROW()-3,'League Settings'!$I$2),MOD(ROW()-3,'League Settings'!$I$2)+1))</f>
        <v>3rd</v>
      </c>
      <c r="C117" s="29">
        <f>CEILING((ROW()-2)/'League Settings'!$I$2,1)</f>
        <v>15</v>
      </c>
      <c r="D117" s="42">
        <v>118</v>
      </c>
      <c r="E117" s="34" t="str">
        <f>IF((D117)&gt;0,INDEX('Default Rankings'!$B$3:$D$302,'Live Draft Picks'!D117,2) &amp; " " &amp; INDEX('Default Rankings'!$B$3:$D$302,'Live Draft Picks'!D117,3),"")</f>
        <v>Carson Wentz PHI</v>
      </c>
      <c r="F117" s="35" t="str">
        <f>IF((D117)&gt;0,INDEX('Default Rankings'!$C$3:$E$302,'Live Draft Picks'!D117,3),"")</f>
        <v>QB</v>
      </c>
    </row>
    <row r="118" spans="2:6" x14ac:dyDescent="0.35">
      <c r="B118" s="12" t="str">
        <f>INDEX('League Settings'!$H$5:$H$18,IF(MOD(C118,2)=0,'League Settings'!$I$2-MOD(ROW()-3,'League Settings'!$I$2),MOD(ROW()-3,'League Settings'!$I$2)+1))</f>
        <v>4th</v>
      </c>
      <c r="C118" s="29">
        <f>CEILING((ROW()-2)/'League Settings'!$I$2,1)</f>
        <v>15</v>
      </c>
      <c r="D118" s="42">
        <v>89</v>
      </c>
      <c r="E118" s="34" t="str">
        <f>IF((D118)&gt;0,INDEX('Default Rankings'!$B$3:$D$302,'Live Draft Picks'!D118,2) &amp; " " &amp; INDEX('Default Rankings'!$B$3:$D$302,'Live Draft Picks'!D118,3),"")</f>
        <v>Zack Moss BUF</v>
      </c>
      <c r="F118" s="35" t="str">
        <f>IF((D118)&gt;0,INDEX('Default Rankings'!$C$3:$E$302,'Live Draft Picks'!D118,3),"")</f>
        <v>RB</v>
      </c>
    </row>
    <row r="119" spans="2:6" x14ac:dyDescent="0.35">
      <c r="B119" s="12" t="str">
        <f>INDEX('League Settings'!$H$5:$H$18,IF(MOD(C119,2)=0,'League Settings'!$I$2-MOD(ROW()-3,'League Settings'!$I$2),MOD(ROW()-3,'League Settings'!$I$2)+1))</f>
        <v>5th</v>
      </c>
      <c r="C119" s="29">
        <f>CEILING((ROW()-2)/'League Settings'!$I$2,1)</f>
        <v>15</v>
      </c>
      <c r="D119" s="42">
        <v>174</v>
      </c>
      <c r="E119" s="34" t="str">
        <f>IF((D119)&gt;0,INDEX('Default Rankings'!$B$3:$D$302,'Live Draft Picks'!D119,2) &amp; " " &amp; INDEX('Default Rankings'!$B$3:$D$302,'Live Draft Picks'!D119,3),"")</f>
        <v xml:space="preserve">Patriots D/ST </v>
      </c>
      <c r="F119" s="35" t="str">
        <f>IF((D119)&gt;0,INDEX('Default Rankings'!$C$3:$E$302,'Live Draft Picks'!D119,3),"")</f>
        <v>DST</v>
      </c>
    </row>
    <row r="120" spans="2:6" x14ac:dyDescent="0.35">
      <c r="B120" s="12" t="str">
        <f>INDEX('League Settings'!$H$5:$H$18,IF(MOD(C120,2)=0,'League Settings'!$I$2-MOD(ROW()-3,'League Settings'!$I$2),MOD(ROW()-3,'League Settings'!$I$2)+1))</f>
        <v>6th</v>
      </c>
      <c r="C120" s="29">
        <f>CEILING((ROW()-2)/'League Settings'!$I$2,1)</f>
        <v>15</v>
      </c>
      <c r="D120" s="42">
        <v>179</v>
      </c>
      <c r="E120" s="34" t="str">
        <f>IF((D120)&gt;0,INDEX('Default Rankings'!$B$3:$D$302,'Live Draft Picks'!D120,2) &amp; " " &amp; INDEX('Default Rankings'!$B$3:$D$302,'Live Draft Picks'!D120,3),"")</f>
        <v xml:space="preserve">Saints D/ST </v>
      </c>
      <c r="F120" s="35" t="str">
        <f>IF((D120)&gt;0,INDEX('Default Rankings'!$C$3:$E$302,'Live Draft Picks'!D120,3),"")</f>
        <v>DST</v>
      </c>
    </row>
    <row r="121" spans="2:6" x14ac:dyDescent="0.35">
      <c r="B121" s="12" t="str">
        <f>INDEX('League Settings'!$H$5:$H$18,IF(MOD(C121,2)=0,'League Settings'!$I$2-MOD(ROW()-3,'League Settings'!$I$2),MOD(ROW()-3,'League Settings'!$I$2)+1))</f>
        <v>7th</v>
      </c>
      <c r="C121" s="29">
        <f>CEILING((ROW()-2)/'League Settings'!$I$2,1)</f>
        <v>15</v>
      </c>
      <c r="D121" s="42">
        <v>67</v>
      </c>
      <c r="E121" s="34" t="str">
        <f>IF((D121)&gt;0,INDEX('Default Rankings'!$B$3:$D$302,'Live Draft Picks'!D121,2) &amp; " " &amp; INDEX('Default Rankings'!$B$3:$D$302,'Live Draft Picks'!D121,3),"")</f>
        <v>Marquise Brown BAL</v>
      </c>
      <c r="F121" s="35" t="str">
        <f>IF((D121)&gt;0,INDEX('Default Rankings'!$C$3:$E$302,'Live Draft Picks'!D121,3),"")</f>
        <v>WR</v>
      </c>
    </row>
    <row r="122" spans="2:6" x14ac:dyDescent="0.35">
      <c r="B122" s="12" t="str">
        <f>INDEX('League Settings'!$H$5:$H$18,IF(MOD(C122,2)=0,'League Settings'!$I$2-MOD(ROW()-3,'League Settings'!$I$2),MOD(ROW()-3,'League Settings'!$I$2)+1))</f>
        <v>8th</v>
      </c>
      <c r="C122" s="29">
        <f>CEILING((ROW()-2)/'League Settings'!$I$2,1)</f>
        <v>15</v>
      </c>
      <c r="D122" s="42">
        <v>122</v>
      </c>
      <c r="E122" s="34" t="str">
        <f>IF((D122)&gt;0,INDEX('Default Rankings'!$B$3:$D$302,'Live Draft Picks'!D122,2) &amp; " " &amp; INDEX('Default Rankings'!$B$3:$D$302,'Live Draft Picks'!D122,3),"")</f>
        <v>Aaron Rodgers GB</v>
      </c>
      <c r="F122" s="35" t="str">
        <f>IF((D122)&gt;0,INDEX('Default Rankings'!$C$3:$E$302,'Live Draft Picks'!D122,3),"")</f>
        <v>QB</v>
      </c>
    </row>
    <row r="123" spans="2:6" x14ac:dyDescent="0.35">
      <c r="B123" s="12" t="str">
        <f>INDEX('League Settings'!$H$5:$H$18,IF(MOD(C123,2)=0,'League Settings'!$I$2-MOD(ROW()-3,'League Settings'!$I$2),MOD(ROW()-3,'League Settings'!$I$2)+1))</f>
        <v>8th</v>
      </c>
      <c r="C123" s="29">
        <f>CEILING((ROW()-2)/'League Settings'!$I$2,1)</f>
        <v>16</v>
      </c>
      <c r="D123" s="42">
        <v>296</v>
      </c>
      <c r="E123" s="34" t="str">
        <f>IF((D123)&gt;0,INDEX('Default Rankings'!$B$3:$D$302,'Live Draft Picks'!D123,2) &amp; " " &amp; INDEX('Default Rankings'!$B$3:$D$302,'Live Draft Picks'!D123,3),"")</f>
        <v xml:space="preserve">Chiefs D/ST </v>
      </c>
      <c r="F123" s="35" t="str">
        <f>IF((D123)&gt;0,INDEX('Default Rankings'!$C$3:$E$302,'Live Draft Picks'!D123,3),"")</f>
        <v>DST</v>
      </c>
    </row>
    <row r="124" spans="2:6" x14ac:dyDescent="0.35">
      <c r="B124" s="12" t="str">
        <f>INDEX('League Settings'!$H$5:$H$18,IF(MOD(C124,2)=0,'League Settings'!$I$2-MOD(ROW()-3,'League Settings'!$I$2),MOD(ROW()-3,'League Settings'!$I$2)+1))</f>
        <v>7th</v>
      </c>
      <c r="C124" s="29">
        <f>CEILING((ROW()-2)/'League Settings'!$I$2,1)</f>
        <v>16</v>
      </c>
      <c r="D124" s="42">
        <v>101</v>
      </c>
      <c r="E124" s="34" t="str">
        <f>IF((D124)&gt;0,INDEX('Default Rankings'!$B$3:$D$302,'Live Draft Picks'!D124,2) &amp; " " &amp; INDEX('Default Rankings'!$B$3:$D$302,'Live Draft Picks'!D124,3),"")</f>
        <v>Henry Ruggs III LV</v>
      </c>
      <c r="F124" s="35" t="str">
        <f>IF((D124)&gt;0,INDEX('Default Rankings'!$C$3:$E$302,'Live Draft Picks'!D124,3),"")</f>
        <v>WR</v>
      </c>
    </row>
    <row r="125" spans="2:6" x14ac:dyDescent="0.35">
      <c r="B125" s="12" t="str">
        <f>INDEX('League Settings'!$H$5:$H$18,IF(MOD(C125,2)=0,'League Settings'!$I$2-MOD(ROW()-3,'League Settings'!$I$2),MOD(ROW()-3,'League Settings'!$I$2)+1))</f>
        <v>6th</v>
      </c>
      <c r="C125" s="29">
        <f>CEILING((ROW()-2)/'League Settings'!$I$2,1)</f>
        <v>16</v>
      </c>
      <c r="D125" s="42">
        <v>68</v>
      </c>
      <c r="E125" s="34" t="str">
        <f>IF((D125)&gt;0,INDEX('Default Rankings'!$B$3:$D$302,'Live Draft Picks'!D125,2) &amp; " " &amp; INDEX('Default Rankings'!$B$3:$D$302,'Live Draft Picks'!D125,3),"")</f>
        <v>Deebo Samuel SF</v>
      </c>
      <c r="F125" s="35" t="str">
        <f>IF((D125)&gt;0,INDEX('Default Rankings'!$C$3:$E$302,'Live Draft Picks'!D125,3),"")</f>
        <v>WR</v>
      </c>
    </row>
    <row r="126" spans="2:6" x14ac:dyDescent="0.35">
      <c r="B126" s="12" t="str">
        <f>INDEX('League Settings'!$H$5:$H$18,IF(MOD(C126,2)=0,'League Settings'!$I$2-MOD(ROW()-3,'League Settings'!$I$2),MOD(ROW()-3,'League Settings'!$I$2)+1))</f>
        <v>5th</v>
      </c>
      <c r="C126" s="29">
        <f>CEILING((ROW()-2)/'League Settings'!$I$2,1)</f>
        <v>16</v>
      </c>
      <c r="D126" s="42"/>
      <c r="E126" s="34" t="str">
        <f>IF((D126)&gt;0,INDEX('Default Rankings'!$B$3:$D$302,'Live Draft Picks'!D126,2) &amp; " " &amp; INDEX('Default Rankings'!$B$3:$D$302,'Live Draft Picks'!D126,3),"")</f>
        <v/>
      </c>
      <c r="F126" s="35" t="str">
        <f>IF((D126)&gt;0,INDEX('Default Rankings'!$C$3:$E$302,'Live Draft Picks'!D126,3),"")</f>
        <v/>
      </c>
    </row>
    <row r="127" spans="2:6" x14ac:dyDescent="0.35">
      <c r="B127" s="12" t="str">
        <f>INDEX('League Settings'!$H$5:$H$18,IF(MOD(C127,2)=0,'League Settings'!$I$2-MOD(ROW()-3,'League Settings'!$I$2),MOD(ROW()-3,'League Settings'!$I$2)+1))</f>
        <v>4th</v>
      </c>
      <c r="C127" s="29">
        <f>CEILING((ROW()-2)/'League Settings'!$I$2,1)</f>
        <v>16</v>
      </c>
      <c r="D127" s="42"/>
      <c r="E127" s="34" t="str">
        <f>IF((D127)&gt;0,INDEX('Default Rankings'!$B$3:$D$302,'Live Draft Picks'!D127,2) &amp; " " &amp; INDEX('Default Rankings'!$B$3:$D$302,'Live Draft Picks'!D127,3),"")</f>
        <v/>
      </c>
      <c r="F127" s="35" t="str">
        <f>IF((D127)&gt;0,INDEX('Default Rankings'!$C$3:$E$302,'Live Draft Picks'!D127,3),"")</f>
        <v/>
      </c>
    </row>
    <row r="128" spans="2:6" x14ac:dyDescent="0.35">
      <c r="B128" s="12" t="str">
        <f>INDEX('League Settings'!$H$5:$H$18,IF(MOD(C128,2)=0,'League Settings'!$I$2-MOD(ROW()-3,'League Settings'!$I$2),MOD(ROW()-3,'League Settings'!$I$2)+1))</f>
        <v>3rd</v>
      </c>
      <c r="C128" s="29">
        <f>CEILING((ROW()-2)/'League Settings'!$I$2,1)</f>
        <v>16</v>
      </c>
      <c r="D128" s="42"/>
      <c r="E128" s="34" t="str">
        <f>IF((D128)&gt;0,INDEX('Default Rankings'!$B$3:$D$302,'Live Draft Picks'!D128,2) &amp; " " &amp; INDEX('Default Rankings'!$B$3:$D$302,'Live Draft Picks'!D128,3),"")</f>
        <v/>
      </c>
      <c r="F128" s="35" t="str">
        <f>IF((D128)&gt;0,INDEX('Default Rankings'!$C$3:$E$302,'Live Draft Picks'!D128,3),"")</f>
        <v/>
      </c>
    </row>
    <row r="129" spans="2:6" x14ac:dyDescent="0.35">
      <c r="B129" s="12" t="str">
        <f>INDEX('League Settings'!$H$5:$H$18,IF(MOD(C129,2)=0,'League Settings'!$I$2-MOD(ROW()-3,'League Settings'!$I$2),MOD(ROW()-3,'League Settings'!$I$2)+1))</f>
        <v>2nd</v>
      </c>
      <c r="C129" s="29">
        <f>CEILING((ROW()-2)/'League Settings'!$I$2,1)</f>
        <v>16</v>
      </c>
      <c r="D129" s="42"/>
      <c r="E129" s="34" t="str">
        <f>IF((D129)&gt;0,INDEX('Default Rankings'!$B$3:$D$302,'Live Draft Picks'!D129,2) &amp; " " &amp; INDEX('Default Rankings'!$B$3:$D$302,'Live Draft Picks'!D129,3),"")</f>
        <v/>
      </c>
      <c r="F129" s="35" t="str">
        <f>IF((D129)&gt;0,INDEX('Default Rankings'!$C$3:$E$302,'Live Draft Picks'!D129,3),"")</f>
        <v/>
      </c>
    </row>
    <row r="130" spans="2:6" x14ac:dyDescent="0.35">
      <c r="B130" s="12" t="str">
        <f>INDEX('League Settings'!$H$5:$H$18,IF(MOD(C130,2)=0,'League Settings'!$I$2-MOD(ROW()-3,'League Settings'!$I$2),MOD(ROW()-3,'League Settings'!$I$2)+1))</f>
        <v>1st</v>
      </c>
      <c r="C130" s="29">
        <f>CEILING((ROW()-2)/'League Settings'!$I$2,1)</f>
        <v>16</v>
      </c>
      <c r="D130" s="42"/>
      <c r="E130" s="34" t="str">
        <f>IF((D130)&gt;0,INDEX('Default Rankings'!$B$3:$D$302,'Live Draft Picks'!D130,2) &amp; " " &amp; INDEX('Default Rankings'!$B$3:$D$302,'Live Draft Picks'!D130,3),"")</f>
        <v/>
      </c>
      <c r="F130" s="35" t="str">
        <f>IF((D130)&gt;0,INDEX('Default Rankings'!$C$3:$E$302,'Live Draft Picks'!D130,3),"")</f>
        <v/>
      </c>
    </row>
    <row r="131" spans="2:6" x14ac:dyDescent="0.35">
      <c r="B131" s="12" t="str">
        <f>INDEX('League Settings'!$H$5:$H$18,IF(MOD(C131,2)=0,'League Settings'!$I$2-MOD(ROW()-3,'League Settings'!$I$2),MOD(ROW()-3,'League Settings'!$I$2)+1))</f>
        <v>1st</v>
      </c>
      <c r="C131" s="29">
        <f>CEILING((ROW()-2)/'League Settings'!$I$2,1)</f>
        <v>17</v>
      </c>
      <c r="D131" s="42"/>
      <c r="E131" s="34" t="str">
        <f>IF((D131)&gt;0,INDEX('Default Rankings'!$B$3:$D$302,'Live Draft Picks'!D131,2) &amp; " " &amp; INDEX('Default Rankings'!$B$3:$D$302,'Live Draft Picks'!D131,3),"")</f>
        <v/>
      </c>
      <c r="F131" s="35" t="str">
        <f>IF((D131)&gt;0,INDEX('Default Rankings'!$C$3:$E$302,'Live Draft Picks'!D131,3),"")</f>
        <v/>
      </c>
    </row>
    <row r="132" spans="2:6" x14ac:dyDescent="0.35">
      <c r="B132" s="12" t="str">
        <f>INDEX('League Settings'!$H$5:$H$18,IF(MOD(C132,2)=0,'League Settings'!$I$2-MOD(ROW()-3,'League Settings'!$I$2),MOD(ROW()-3,'League Settings'!$I$2)+1))</f>
        <v>2nd</v>
      </c>
      <c r="C132" s="29">
        <f>CEILING((ROW()-2)/'League Settings'!$I$2,1)</f>
        <v>17</v>
      </c>
      <c r="D132" s="42"/>
      <c r="E132" s="34" t="str">
        <f>IF((D132)&gt;0,INDEX('Default Rankings'!$B$3:$D$302,'Live Draft Picks'!D132,2) &amp; " " &amp; INDEX('Default Rankings'!$B$3:$D$302,'Live Draft Picks'!D132,3),"")</f>
        <v/>
      </c>
      <c r="F132" s="35" t="str">
        <f>IF((D132)&gt;0,INDEX('Default Rankings'!$C$3:$E$302,'Live Draft Picks'!D132,3),"")</f>
        <v/>
      </c>
    </row>
    <row r="133" spans="2:6" x14ac:dyDescent="0.35">
      <c r="B133" s="12" t="str">
        <f>INDEX('League Settings'!$H$5:$H$18,IF(MOD(C133,2)=0,'League Settings'!$I$2-MOD(ROW()-3,'League Settings'!$I$2),MOD(ROW()-3,'League Settings'!$I$2)+1))</f>
        <v>3rd</v>
      </c>
      <c r="C133" s="29">
        <f>CEILING((ROW()-2)/'League Settings'!$I$2,1)</f>
        <v>17</v>
      </c>
      <c r="D133" s="42"/>
      <c r="E133" s="34" t="str">
        <f>IF((D133)&gt;0,INDEX('Default Rankings'!$B$3:$D$302,'Live Draft Picks'!D133,2) &amp; " " &amp; INDEX('Default Rankings'!$B$3:$D$302,'Live Draft Picks'!D133,3),"")</f>
        <v/>
      </c>
      <c r="F133" s="35" t="str">
        <f>IF((D133)&gt;0,INDEX('Default Rankings'!$C$3:$E$302,'Live Draft Picks'!D133,3),"")</f>
        <v/>
      </c>
    </row>
    <row r="134" spans="2:6" x14ac:dyDescent="0.35">
      <c r="B134" s="12" t="str">
        <f>INDEX('League Settings'!$H$5:$H$18,IF(MOD(C134,2)=0,'League Settings'!$I$2-MOD(ROW()-3,'League Settings'!$I$2),MOD(ROW()-3,'League Settings'!$I$2)+1))</f>
        <v>4th</v>
      </c>
      <c r="C134" s="29">
        <f>CEILING((ROW()-2)/'League Settings'!$I$2,1)</f>
        <v>17</v>
      </c>
      <c r="D134" s="42"/>
      <c r="E134" s="34" t="str">
        <f>IF((D134)&gt;0,INDEX('Default Rankings'!$B$3:$D$302,'Live Draft Picks'!D134,2) &amp; " " &amp; INDEX('Default Rankings'!$B$3:$D$302,'Live Draft Picks'!D134,3),"")</f>
        <v/>
      </c>
      <c r="F134" s="35" t="str">
        <f>IF((D134)&gt;0,INDEX('Default Rankings'!$C$3:$E$302,'Live Draft Picks'!D134,3),"")</f>
        <v/>
      </c>
    </row>
    <row r="135" spans="2:6" x14ac:dyDescent="0.35">
      <c r="B135" s="12" t="str">
        <f>INDEX('League Settings'!$H$5:$H$18,IF(MOD(C135,2)=0,'League Settings'!$I$2-MOD(ROW()-3,'League Settings'!$I$2),MOD(ROW()-3,'League Settings'!$I$2)+1))</f>
        <v>5th</v>
      </c>
      <c r="C135" s="29">
        <f>CEILING((ROW()-2)/'League Settings'!$I$2,1)</f>
        <v>17</v>
      </c>
      <c r="D135" s="42"/>
      <c r="E135" s="34" t="str">
        <f>IF((D135)&gt;0,INDEX('Default Rankings'!$B$3:$D$302,'Live Draft Picks'!D135,2) &amp; " " &amp; INDEX('Default Rankings'!$B$3:$D$302,'Live Draft Picks'!D135,3),"")</f>
        <v/>
      </c>
      <c r="F135" s="35" t="str">
        <f>IF((D135)&gt;0,INDEX('Default Rankings'!$C$3:$E$302,'Live Draft Picks'!D135,3),"")</f>
        <v/>
      </c>
    </row>
    <row r="136" spans="2:6" x14ac:dyDescent="0.35">
      <c r="B136" s="12" t="str">
        <f>INDEX('League Settings'!$H$5:$H$18,IF(MOD(C136,2)=0,'League Settings'!$I$2-MOD(ROW()-3,'League Settings'!$I$2),MOD(ROW()-3,'League Settings'!$I$2)+1))</f>
        <v>6th</v>
      </c>
      <c r="C136" s="29">
        <f>CEILING((ROW()-2)/'League Settings'!$I$2,1)</f>
        <v>17</v>
      </c>
      <c r="D136" s="42"/>
      <c r="E136" s="34" t="str">
        <f>IF((D136)&gt;0,INDEX('Default Rankings'!$B$3:$D$302,'Live Draft Picks'!D136,2) &amp; " " &amp; INDEX('Default Rankings'!$B$3:$D$302,'Live Draft Picks'!D136,3),"")</f>
        <v/>
      </c>
      <c r="F136" s="35" t="str">
        <f>IF((D136)&gt;0,INDEX('Default Rankings'!$C$3:$E$302,'Live Draft Picks'!D136,3),"")</f>
        <v/>
      </c>
    </row>
    <row r="137" spans="2:6" x14ac:dyDescent="0.35">
      <c r="B137" s="12" t="str">
        <f>INDEX('League Settings'!$H$5:$H$18,IF(MOD(C137,2)=0,'League Settings'!$I$2-MOD(ROW()-3,'League Settings'!$I$2),MOD(ROW()-3,'League Settings'!$I$2)+1))</f>
        <v>7th</v>
      </c>
      <c r="C137" s="29">
        <f>CEILING((ROW()-2)/'League Settings'!$I$2,1)</f>
        <v>17</v>
      </c>
      <c r="D137" s="42"/>
      <c r="E137" s="34" t="str">
        <f>IF((D137)&gt;0,INDEX('Default Rankings'!$B$3:$D$302,'Live Draft Picks'!D137,2) &amp; " " &amp; INDEX('Default Rankings'!$B$3:$D$302,'Live Draft Picks'!D137,3),"")</f>
        <v/>
      </c>
      <c r="F137" s="35" t="str">
        <f>IF((D137)&gt;0,INDEX('Default Rankings'!$C$3:$E$302,'Live Draft Picks'!D137,3),"")</f>
        <v/>
      </c>
    </row>
    <row r="138" spans="2:6" x14ac:dyDescent="0.35">
      <c r="B138" s="12" t="str">
        <f>INDEX('League Settings'!$H$5:$H$18,IF(MOD(C138,2)=0,'League Settings'!$I$2-MOD(ROW()-3,'League Settings'!$I$2),MOD(ROW()-3,'League Settings'!$I$2)+1))</f>
        <v>8th</v>
      </c>
      <c r="C138" s="29">
        <f>CEILING((ROW()-2)/'League Settings'!$I$2,1)</f>
        <v>17</v>
      </c>
      <c r="D138" s="42"/>
      <c r="E138" s="34" t="str">
        <f>IF((D138)&gt;0,INDEX('Default Rankings'!$B$3:$D$302,'Live Draft Picks'!D138,2) &amp; " " &amp; INDEX('Default Rankings'!$B$3:$D$302,'Live Draft Picks'!D138,3),"")</f>
        <v/>
      </c>
      <c r="F138" s="35" t="str">
        <f>IF((D138)&gt;0,INDEX('Default Rankings'!$C$3:$E$302,'Live Draft Picks'!D138,3),"")</f>
        <v/>
      </c>
    </row>
    <row r="139" spans="2:6" x14ac:dyDescent="0.35">
      <c r="B139" s="12" t="str">
        <f>INDEX('League Settings'!$H$5:$H$18,IF(MOD(C139,2)=0,'League Settings'!$I$2-MOD(ROW()-3,'League Settings'!$I$2),MOD(ROW()-3,'League Settings'!$I$2)+1))</f>
        <v>8th</v>
      </c>
      <c r="C139" s="29">
        <f>CEILING((ROW()-2)/'League Settings'!$I$2,1)</f>
        <v>18</v>
      </c>
      <c r="D139" s="42"/>
      <c r="E139" s="34" t="str">
        <f>IF((D139)&gt;0,INDEX('Default Rankings'!$B$3:$D$302,'Live Draft Picks'!D139,2) &amp; " " &amp; INDEX('Default Rankings'!$B$3:$D$302,'Live Draft Picks'!D139,3),"")</f>
        <v/>
      </c>
      <c r="F139" s="35" t="str">
        <f>IF((D139)&gt;0,INDEX('Default Rankings'!$C$3:$E$302,'Live Draft Picks'!D139,3),"")</f>
        <v/>
      </c>
    </row>
    <row r="140" spans="2:6" x14ac:dyDescent="0.35">
      <c r="B140" s="12" t="str">
        <f>INDEX('League Settings'!$H$5:$H$18,IF(MOD(C140,2)=0,'League Settings'!$I$2-MOD(ROW()-3,'League Settings'!$I$2),MOD(ROW()-3,'League Settings'!$I$2)+1))</f>
        <v>7th</v>
      </c>
      <c r="C140" s="29">
        <f>CEILING((ROW()-2)/'League Settings'!$I$2,1)</f>
        <v>18</v>
      </c>
      <c r="D140" s="42"/>
      <c r="E140" s="34" t="str">
        <f>IF((D140)&gt;0,INDEX('Default Rankings'!$B$3:$D$302,'Live Draft Picks'!D140,2) &amp; " " &amp; INDEX('Default Rankings'!$B$3:$D$302,'Live Draft Picks'!D140,3),"")</f>
        <v/>
      </c>
      <c r="F140" s="35" t="str">
        <f>IF((D140)&gt;0,INDEX('Default Rankings'!$C$3:$E$302,'Live Draft Picks'!D140,3),"")</f>
        <v/>
      </c>
    </row>
    <row r="141" spans="2:6" x14ac:dyDescent="0.35">
      <c r="B141" s="12" t="str">
        <f>INDEX('League Settings'!$H$5:$H$18,IF(MOD(C141,2)=0,'League Settings'!$I$2-MOD(ROW()-3,'League Settings'!$I$2),MOD(ROW()-3,'League Settings'!$I$2)+1))</f>
        <v>6th</v>
      </c>
      <c r="C141" s="29">
        <f>CEILING((ROW()-2)/'League Settings'!$I$2,1)</f>
        <v>18</v>
      </c>
      <c r="D141" s="42"/>
      <c r="E141" s="34" t="str">
        <f>IF((D141)&gt;0,INDEX('Default Rankings'!$B$3:$D$302,'Live Draft Picks'!D141,2) &amp; " " &amp; INDEX('Default Rankings'!$B$3:$D$302,'Live Draft Picks'!D141,3),"")</f>
        <v/>
      </c>
      <c r="F141" s="35" t="str">
        <f>IF((D141)&gt;0,INDEX('Default Rankings'!$C$3:$E$302,'Live Draft Picks'!D141,3),"")</f>
        <v/>
      </c>
    </row>
    <row r="142" spans="2:6" x14ac:dyDescent="0.35">
      <c r="B142" s="12" t="str">
        <f>INDEX('League Settings'!$H$5:$H$18,IF(MOD(C142,2)=0,'League Settings'!$I$2-MOD(ROW()-3,'League Settings'!$I$2),MOD(ROW()-3,'League Settings'!$I$2)+1))</f>
        <v>5th</v>
      </c>
      <c r="C142" s="29">
        <f>CEILING((ROW()-2)/'League Settings'!$I$2,1)</f>
        <v>18</v>
      </c>
      <c r="D142" s="42"/>
      <c r="E142" s="34" t="str">
        <f>IF((D142)&gt;0,INDEX('Default Rankings'!$B$3:$D$302,'Live Draft Picks'!D142,2) &amp; " " &amp; INDEX('Default Rankings'!$B$3:$D$302,'Live Draft Picks'!D142,3),"")</f>
        <v/>
      </c>
      <c r="F142" s="35" t="str">
        <f>IF((D142)&gt;0,INDEX('Default Rankings'!$C$3:$E$302,'Live Draft Picks'!D142,3),"")</f>
        <v/>
      </c>
    </row>
    <row r="143" spans="2:6" x14ac:dyDescent="0.35">
      <c r="B143" s="12" t="str">
        <f>INDEX('League Settings'!$H$5:$H$18,IF(MOD(C143,2)=0,'League Settings'!$I$2-MOD(ROW()-3,'League Settings'!$I$2),MOD(ROW()-3,'League Settings'!$I$2)+1))</f>
        <v>4th</v>
      </c>
      <c r="C143" s="29">
        <f>CEILING((ROW()-2)/'League Settings'!$I$2,1)</f>
        <v>18</v>
      </c>
      <c r="D143" s="42"/>
      <c r="E143" s="34" t="str">
        <f>IF((D143)&gt;0,INDEX('Default Rankings'!$B$3:$D$302,'Live Draft Picks'!D143,2) &amp; " " &amp; INDEX('Default Rankings'!$B$3:$D$302,'Live Draft Picks'!D143,3),"")</f>
        <v/>
      </c>
      <c r="F143" s="35" t="str">
        <f>IF((D143)&gt;0,INDEX('Default Rankings'!$C$3:$E$302,'Live Draft Picks'!D143,3),"")</f>
        <v/>
      </c>
    </row>
    <row r="144" spans="2:6" x14ac:dyDescent="0.35">
      <c r="B144" s="12" t="str">
        <f>INDEX('League Settings'!$H$5:$H$18,IF(MOD(C144,2)=0,'League Settings'!$I$2-MOD(ROW()-3,'League Settings'!$I$2),MOD(ROW()-3,'League Settings'!$I$2)+1))</f>
        <v>3rd</v>
      </c>
      <c r="C144" s="29">
        <f>CEILING((ROW()-2)/'League Settings'!$I$2,1)</f>
        <v>18</v>
      </c>
      <c r="D144" s="42"/>
      <c r="E144" s="34" t="str">
        <f>IF((D144)&gt;0,INDEX('Default Rankings'!$B$3:$D$302,'Live Draft Picks'!D144,2) &amp; " " &amp; INDEX('Default Rankings'!$B$3:$D$302,'Live Draft Picks'!D144,3),"")</f>
        <v/>
      </c>
      <c r="F144" s="35" t="str">
        <f>IF((D144)&gt;0,INDEX('Default Rankings'!$C$3:$E$302,'Live Draft Picks'!D144,3),"")</f>
        <v/>
      </c>
    </row>
    <row r="145" spans="2:6" x14ac:dyDescent="0.35">
      <c r="B145" s="12" t="str">
        <f>INDEX('League Settings'!$H$5:$H$18,IF(MOD(C145,2)=0,'League Settings'!$I$2-MOD(ROW()-3,'League Settings'!$I$2),MOD(ROW()-3,'League Settings'!$I$2)+1))</f>
        <v>2nd</v>
      </c>
      <c r="C145" s="29">
        <f>CEILING((ROW()-2)/'League Settings'!$I$2,1)</f>
        <v>18</v>
      </c>
      <c r="D145" s="42"/>
      <c r="E145" s="34" t="str">
        <f>IF((D145)&gt;0,INDEX('Default Rankings'!$B$3:$D$302,'Live Draft Picks'!D145,2) &amp; " " &amp; INDEX('Default Rankings'!$B$3:$D$302,'Live Draft Picks'!D145,3),"")</f>
        <v/>
      </c>
      <c r="F145" s="35" t="str">
        <f>IF((D145)&gt;0,INDEX('Default Rankings'!$C$3:$E$302,'Live Draft Picks'!D145,3),"")</f>
        <v/>
      </c>
    </row>
    <row r="146" spans="2:6" x14ac:dyDescent="0.35">
      <c r="B146" s="12" t="str">
        <f>INDEX('League Settings'!$H$5:$H$18,IF(MOD(C146,2)=0,'League Settings'!$I$2-MOD(ROW()-3,'League Settings'!$I$2),MOD(ROW()-3,'League Settings'!$I$2)+1))</f>
        <v>1st</v>
      </c>
      <c r="C146" s="29">
        <f>CEILING((ROW()-2)/'League Settings'!$I$2,1)</f>
        <v>18</v>
      </c>
      <c r="D146" s="42"/>
      <c r="E146" s="34" t="str">
        <f>IF((D146)&gt;0,INDEX('Default Rankings'!$B$3:$D$302,'Live Draft Picks'!D146,2) &amp; " " &amp; INDEX('Default Rankings'!$B$3:$D$302,'Live Draft Picks'!D146,3),"")</f>
        <v/>
      </c>
      <c r="F146" s="35" t="str">
        <f>IF((D146)&gt;0,INDEX('Default Rankings'!$C$3:$E$302,'Live Draft Picks'!D146,3),"")</f>
        <v/>
      </c>
    </row>
    <row r="147" spans="2:6" x14ac:dyDescent="0.35">
      <c r="B147" s="12" t="str">
        <f>INDEX('League Settings'!$H$5:$H$18,IF(MOD(C147,2)=0,'League Settings'!$I$2-MOD(ROW()-3,'League Settings'!$I$2),MOD(ROW()-3,'League Settings'!$I$2)+1))</f>
        <v>1st</v>
      </c>
      <c r="C147" s="29">
        <f>CEILING((ROW()-2)/'League Settings'!$I$2,1)</f>
        <v>19</v>
      </c>
      <c r="D147" s="42"/>
      <c r="E147" s="34" t="str">
        <f>IF((D147)&gt;0,INDEX('Default Rankings'!$B$3:$D$302,'Live Draft Picks'!D147,2) &amp; " " &amp; INDEX('Default Rankings'!$B$3:$D$302,'Live Draft Picks'!D147,3),"")</f>
        <v/>
      </c>
      <c r="F147" s="35" t="str">
        <f>IF((D147)&gt;0,INDEX('Default Rankings'!$C$3:$E$302,'Live Draft Picks'!D147,3),"")</f>
        <v/>
      </c>
    </row>
    <row r="148" spans="2:6" x14ac:dyDescent="0.35">
      <c r="B148" s="12" t="str">
        <f>INDEX('League Settings'!$H$5:$H$18,IF(MOD(C148,2)=0,'League Settings'!$I$2-MOD(ROW()-3,'League Settings'!$I$2),MOD(ROW()-3,'League Settings'!$I$2)+1))</f>
        <v>2nd</v>
      </c>
      <c r="C148" s="29">
        <f>CEILING((ROW()-2)/'League Settings'!$I$2,1)</f>
        <v>19</v>
      </c>
      <c r="D148" s="42"/>
      <c r="E148" s="34" t="str">
        <f>IF((D148)&gt;0,INDEX('Default Rankings'!$B$3:$D$302,'Live Draft Picks'!D148,2) &amp; " " &amp; INDEX('Default Rankings'!$B$3:$D$302,'Live Draft Picks'!D148,3),"")</f>
        <v/>
      </c>
      <c r="F148" s="35" t="str">
        <f>IF((D148)&gt;0,INDEX('Default Rankings'!$C$3:$E$302,'Live Draft Picks'!D148,3),"")</f>
        <v/>
      </c>
    </row>
    <row r="149" spans="2:6" x14ac:dyDescent="0.35">
      <c r="B149" s="12" t="str">
        <f>INDEX('League Settings'!$H$5:$H$18,IF(MOD(C149,2)=0,'League Settings'!$I$2-MOD(ROW()-3,'League Settings'!$I$2),MOD(ROW()-3,'League Settings'!$I$2)+1))</f>
        <v>3rd</v>
      </c>
      <c r="C149" s="29">
        <f>CEILING((ROW()-2)/'League Settings'!$I$2,1)</f>
        <v>19</v>
      </c>
      <c r="D149" s="42"/>
      <c r="E149" s="34" t="str">
        <f>IF((D149)&gt;0,INDEX('Default Rankings'!$B$3:$D$302,'Live Draft Picks'!D149,2) &amp; " " &amp; INDEX('Default Rankings'!$B$3:$D$302,'Live Draft Picks'!D149,3),"")</f>
        <v/>
      </c>
      <c r="F149" s="35" t="str">
        <f>IF((D149)&gt;0,INDEX('Default Rankings'!$C$3:$E$302,'Live Draft Picks'!D149,3),"")</f>
        <v/>
      </c>
    </row>
    <row r="150" spans="2:6" x14ac:dyDescent="0.35">
      <c r="B150" s="12" t="str">
        <f>INDEX('League Settings'!$H$5:$H$18,IF(MOD(C150,2)=0,'League Settings'!$I$2-MOD(ROW()-3,'League Settings'!$I$2),MOD(ROW()-3,'League Settings'!$I$2)+1))</f>
        <v>4th</v>
      </c>
      <c r="C150" s="29">
        <f>CEILING((ROW()-2)/'League Settings'!$I$2,1)</f>
        <v>19</v>
      </c>
      <c r="D150" s="42"/>
      <c r="E150" s="34" t="str">
        <f>IF((D150)&gt;0,INDEX('Default Rankings'!$B$3:$D$302,'Live Draft Picks'!D150,2) &amp; " " &amp; INDEX('Default Rankings'!$B$3:$D$302,'Live Draft Picks'!D150,3),"")</f>
        <v/>
      </c>
      <c r="F150" s="35" t="str">
        <f>IF((D150)&gt;0,INDEX('Default Rankings'!$C$3:$E$302,'Live Draft Picks'!D150,3),"")</f>
        <v/>
      </c>
    </row>
    <row r="151" spans="2:6" x14ac:dyDescent="0.35">
      <c r="B151" s="12" t="str">
        <f>INDEX('League Settings'!$H$5:$H$18,IF(MOD(C151,2)=0,'League Settings'!$I$2-MOD(ROW()-3,'League Settings'!$I$2),MOD(ROW()-3,'League Settings'!$I$2)+1))</f>
        <v>5th</v>
      </c>
      <c r="C151" s="29">
        <f>CEILING((ROW()-2)/'League Settings'!$I$2,1)</f>
        <v>19</v>
      </c>
      <c r="D151" s="42"/>
      <c r="E151" s="34" t="str">
        <f>IF((D151)&gt;0,INDEX('Default Rankings'!$B$3:$D$302,'Live Draft Picks'!D151,2) &amp; " " &amp; INDEX('Default Rankings'!$B$3:$D$302,'Live Draft Picks'!D151,3),"")</f>
        <v/>
      </c>
      <c r="F151" s="35" t="str">
        <f>IF((D151)&gt;0,INDEX('Default Rankings'!$C$3:$E$302,'Live Draft Picks'!D151,3),"")</f>
        <v/>
      </c>
    </row>
    <row r="152" spans="2:6" x14ac:dyDescent="0.35">
      <c r="B152" s="12" t="str">
        <f>INDEX('League Settings'!$H$5:$H$18,IF(MOD(C152,2)=0,'League Settings'!$I$2-MOD(ROW()-3,'League Settings'!$I$2),MOD(ROW()-3,'League Settings'!$I$2)+1))</f>
        <v>6th</v>
      </c>
      <c r="C152" s="29">
        <f>CEILING((ROW()-2)/'League Settings'!$I$2,1)</f>
        <v>19</v>
      </c>
      <c r="D152" s="42"/>
      <c r="E152" s="34" t="str">
        <f>IF((D152)&gt;0,INDEX('Default Rankings'!$B$3:$D$302,'Live Draft Picks'!D152,2) &amp; " " &amp; INDEX('Default Rankings'!$B$3:$D$302,'Live Draft Picks'!D152,3),"")</f>
        <v/>
      </c>
      <c r="F152" s="35" t="str">
        <f>IF((D152)&gt;0,INDEX('Default Rankings'!$C$3:$E$302,'Live Draft Picks'!D152,3),"")</f>
        <v/>
      </c>
    </row>
    <row r="153" spans="2:6" x14ac:dyDescent="0.35">
      <c r="B153" s="12" t="str">
        <f>INDEX('League Settings'!$H$5:$H$18,IF(MOD(C153,2)=0,'League Settings'!$I$2-MOD(ROW()-3,'League Settings'!$I$2),MOD(ROW()-3,'League Settings'!$I$2)+1))</f>
        <v>7th</v>
      </c>
      <c r="C153" s="29">
        <f>CEILING((ROW()-2)/'League Settings'!$I$2,1)</f>
        <v>19</v>
      </c>
      <c r="D153" s="42"/>
      <c r="E153" s="34" t="str">
        <f>IF((D153)&gt;0,INDEX('Default Rankings'!$B$3:$D$302,'Live Draft Picks'!D153,2) &amp; " " &amp; INDEX('Default Rankings'!$B$3:$D$302,'Live Draft Picks'!D153,3),"")</f>
        <v/>
      </c>
      <c r="F153" s="35" t="str">
        <f>IF((D153)&gt;0,INDEX('Default Rankings'!$C$3:$E$302,'Live Draft Picks'!D153,3),"")</f>
        <v/>
      </c>
    </row>
    <row r="154" spans="2:6" x14ac:dyDescent="0.35">
      <c r="B154" s="12" t="str">
        <f>INDEX('League Settings'!$H$5:$H$18,IF(MOD(C154,2)=0,'League Settings'!$I$2-MOD(ROW()-3,'League Settings'!$I$2),MOD(ROW()-3,'League Settings'!$I$2)+1))</f>
        <v>8th</v>
      </c>
      <c r="C154" s="29">
        <f>CEILING((ROW()-2)/'League Settings'!$I$2,1)</f>
        <v>19</v>
      </c>
      <c r="D154" s="42"/>
      <c r="E154" s="34" t="str">
        <f>IF((D154)&gt;0,INDEX('Default Rankings'!$B$3:$D$302,'Live Draft Picks'!D154,2) &amp; " " &amp; INDEX('Default Rankings'!$B$3:$D$302,'Live Draft Picks'!D154,3),"")</f>
        <v/>
      </c>
      <c r="F154" s="35" t="str">
        <f>IF((D154)&gt;0,INDEX('Default Rankings'!$C$3:$E$302,'Live Draft Picks'!D154,3),"")</f>
        <v/>
      </c>
    </row>
    <row r="155" spans="2:6" x14ac:dyDescent="0.35">
      <c r="B155" s="12" t="str">
        <f>INDEX('League Settings'!$H$5:$H$18,IF(MOD(C155,2)=0,'League Settings'!$I$2-MOD(ROW()-3,'League Settings'!$I$2),MOD(ROW()-3,'League Settings'!$I$2)+1))</f>
        <v>8th</v>
      </c>
      <c r="C155" s="29">
        <f>CEILING((ROW()-2)/'League Settings'!$I$2,1)</f>
        <v>20</v>
      </c>
      <c r="D155" s="42"/>
      <c r="E155" s="34" t="str">
        <f>IF((D155)&gt;0,INDEX('Default Rankings'!$B$3:$D$302,'Live Draft Picks'!D155,2) &amp; " " &amp; INDEX('Default Rankings'!$B$3:$D$302,'Live Draft Picks'!D155,3),"")</f>
        <v/>
      </c>
      <c r="F155" s="35" t="str">
        <f>IF((D155)&gt;0,INDEX('Default Rankings'!$C$3:$E$302,'Live Draft Picks'!D155,3),"")</f>
        <v/>
      </c>
    </row>
    <row r="156" spans="2:6" x14ac:dyDescent="0.35">
      <c r="B156" s="12" t="str">
        <f>INDEX('League Settings'!$H$5:$H$18,IF(MOD(C156,2)=0,'League Settings'!$I$2-MOD(ROW()-3,'League Settings'!$I$2),MOD(ROW()-3,'League Settings'!$I$2)+1))</f>
        <v>7th</v>
      </c>
      <c r="C156" s="29">
        <f>CEILING((ROW()-2)/'League Settings'!$I$2,1)</f>
        <v>20</v>
      </c>
      <c r="D156" s="42"/>
      <c r="E156" s="34" t="str">
        <f>IF((D156)&gt;0,INDEX('Default Rankings'!$B$3:$D$302,'Live Draft Picks'!D156,2) &amp; " " &amp; INDEX('Default Rankings'!$B$3:$D$302,'Live Draft Picks'!D156,3),"")</f>
        <v/>
      </c>
      <c r="F156" s="35" t="str">
        <f>IF((D156)&gt;0,INDEX('Default Rankings'!$C$3:$E$302,'Live Draft Picks'!D156,3),"")</f>
        <v/>
      </c>
    </row>
    <row r="157" spans="2:6" x14ac:dyDescent="0.35">
      <c r="B157" s="12" t="str">
        <f>INDEX('League Settings'!$H$5:$H$18,IF(MOD(C157,2)=0,'League Settings'!$I$2-MOD(ROW()-3,'League Settings'!$I$2),MOD(ROW()-3,'League Settings'!$I$2)+1))</f>
        <v>6th</v>
      </c>
      <c r="C157" s="29">
        <f>CEILING((ROW()-2)/'League Settings'!$I$2,1)</f>
        <v>20</v>
      </c>
      <c r="D157" s="42"/>
      <c r="E157" s="34" t="str">
        <f>IF((D157)&gt;0,INDEX('Default Rankings'!$B$3:$D$302,'Live Draft Picks'!D157,2) &amp; " " &amp; INDEX('Default Rankings'!$B$3:$D$302,'Live Draft Picks'!D157,3),"")</f>
        <v/>
      </c>
      <c r="F157" s="35" t="str">
        <f>IF((D157)&gt;0,INDEX('Default Rankings'!$C$3:$E$302,'Live Draft Picks'!D157,3),"")</f>
        <v/>
      </c>
    </row>
    <row r="158" spans="2:6" x14ac:dyDescent="0.35">
      <c r="B158" s="12" t="str">
        <f>INDEX('League Settings'!$H$5:$H$18,IF(MOD(C158,2)=0,'League Settings'!$I$2-MOD(ROW()-3,'League Settings'!$I$2),MOD(ROW()-3,'League Settings'!$I$2)+1))</f>
        <v>5th</v>
      </c>
      <c r="C158" s="29">
        <f>CEILING((ROW()-2)/'League Settings'!$I$2,1)</f>
        <v>20</v>
      </c>
      <c r="D158" s="42"/>
      <c r="E158" s="34" t="str">
        <f>IF((D158)&gt;0,INDEX('Default Rankings'!$B$3:$D$302,'Live Draft Picks'!D158,2) &amp; " " &amp; INDEX('Default Rankings'!$B$3:$D$302,'Live Draft Picks'!D158,3),"")</f>
        <v/>
      </c>
      <c r="F158" s="35" t="str">
        <f>IF((D158)&gt;0,INDEX('Default Rankings'!$C$3:$E$302,'Live Draft Picks'!D158,3),"")</f>
        <v/>
      </c>
    </row>
    <row r="159" spans="2:6" x14ac:dyDescent="0.35">
      <c r="B159" s="12" t="str">
        <f>INDEX('League Settings'!$H$5:$H$18,IF(MOD(C159,2)=0,'League Settings'!$I$2-MOD(ROW()-3,'League Settings'!$I$2),MOD(ROW()-3,'League Settings'!$I$2)+1))</f>
        <v>4th</v>
      </c>
      <c r="C159" s="29">
        <f>CEILING((ROW()-2)/'League Settings'!$I$2,1)</f>
        <v>20</v>
      </c>
      <c r="D159" s="42"/>
      <c r="E159" s="34" t="str">
        <f>IF((D159)&gt;0,INDEX('Default Rankings'!$B$3:$D$302,'Live Draft Picks'!D159,2) &amp; " " &amp; INDEX('Default Rankings'!$B$3:$D$302,'Live Draft Picks'!D159,3),"")</f>
        <v/>
      </c>
      <c r="F159" s="35" t="str">
        <f>IF((D159)&gt;0,INDEX('Default Rankings'!$C$3:$E$302,'Live Draft Picks'!D159,3),"")</f>
        <v/>
      </c>
    </row>
    <row r="160" spans="2:6" x14ac:dyDescent="0.35">
      <c r="B160" s="12" t="str">
        <f>INDEX('League Settings'!$H$5:$H$18,IF(MOD(C160,2)=0,'League Settings'!$I$2-MOD(ROW()-3,'League Settings'!$I$2),MOD(ROW()-3,'League Settings'!$I$2)+1))</f>
        <v>3rd</v>
      </c>
      <c r="C160" s="29">
        <f>CEILING((ROW()-2)/'League Settings'!$I$2,1)</f>
        <v>20</v>
      </c>
      <c r="D160" s="42"/>
      <c r="E160" s="34" t="str">
        <f>IF((D160)&gt;0,INDEX('Default Rankings'!$B$3:$D$302,'Live Draft Picks'!D160,2) &amp; " " &amp; INDEX('Default Rankings'!$B$3:$D$302,'Live Draft Picks'!D160,3),"")</f>
        <v/>
      </c>
      <c r="F160" s="35" t="str">
        <f>IF((D160)&gt;0,INDEX('Default Rankings'!$C$3:$E$302,'Live Draft Picks'!D160,3),"")</f>
        <v/>
      </c>
    </row>
    <row r="161" spans="2:6" x14ac:dyDescent="0.35">
      <c r="B161" s="12" t="str">
        <f>INDEX('League Settings'!$H$5:$H$18,IF(MOD(C161,2)=0,'League Settings'!$I$2-MOD(ROW()-3,'League Settings'!$I$2),MOD(ROW()-3,'League Settings'!$I$2)+1))</f>
        <v>2nd</v>
      </c>
      <c r="C161" s="29">
        <f>CEILING((ROW()-2)/'League Settings'!$I$2,1)</f>
        <v>20</v>
      </c>
      <c r="D161" s="42"/>
      <c r="E161" s="34" t="str">
        <f>IF((D161)&gt;0,INDEX('Default Rankings'!$B$3:$D$302,'Live Draft Picks'!D161,2) &amp; " " &amp; INDEX('Default Rankings'!$B$3:$D$302,'Live Draft Picks'!D161,3),"")</f>
        <v/>
      </c>
      <c r="F161" s="35" t="str">
        <f>IF((D161)&gt;0,INDEX('Default Rankings'!$C$3:$E$302,'Live Draft Picks'!D161,3),"")</f>
        <v/>
      </c>
    </row>
    <row r="162" spans="2:6" x14ac:dyDescent="0.35">
      <c r="B162" s="12" t="str">
        <f>INDEX('League Settings'!$H$5:$H$18,IF(MOD(C162,2)=0,'League Settings'!$I$2-MOD(ROW()-3,'League Settings'!$I$2),MOD(ROW()-3,'League Settings'!$I$2)+1))</f>
        <v>1st</v>
      </c>
      <c r="C162" s="29">
        <f>CEILING((ROW()-2)/'League Settings'!$I$2,1)</f>
        <v>20</v>
      </c>
      <c r="D162" s="42"/>
      <c r="E162" s="34" t="str">
        <f>IF((D162)&gt;0,INDEX('Default Rankings'!$B$3:$D$302,'Live Draft Picks'!D162,2) &amp; " " &amp; INDEX('Default Rankings'!$B$3:$D$302,'Live Draft Picks'!D162,3),"")</f>
        <v/>
      </c>
      <c r="F162" s="35" t="str">
        <f>IF((D162)&gt;0,INDEX('Default Rankings'!$C$3:$E$302,'Live Draft Picks'!D162,3),"")</f>
        <v/>
      </c>
    </row>
    <row r="163" spans="2:6" x14ac:dyDescent="0.35">
      <c r="B163" s="12" t="str">
        <f>INDEX('League Settings'!$H$5:$H$18,IF(MOD(C163,2)=0,'League Settings'!$I$2-MOD(ROW()-3,'League Settings'!$I$2),MOD(ROW()-3,'League Settings'!$I$2)+1))</f>
        <v>1st</v>
      </c>
      <c r="C163" s="29">
        <f>CEILING((ROW()-2)/'League Settings'!$I$2,1)</f>
        <v>21</v>
      </c>
      <c r="D163" s="42"/>
      <c r="E163" s="34" t="str">
        <f>IF((D163)&gt;0,INDEX('Default Rankings'!$B$3:$D$302,'Live Draft Picks'!D163,2) &amp; " " &amp; INDEX('Default Rankings'!$B$3:$D$302,'Live Draft Picks'!D163,3),"")</f>
        <v/>
      </c>
      <c r="F163" s="35" t="str">
        <f>IF((D163)&gt;0,INDEX('Default Rankings'!$C$3:$E$302,'Live Draft Picks'!D163,3),"")</f>
        <v/>
      </c>
    </row>
    <row r="164" spans="2:6" x14ac:dyDescent="0.35">
      <c r="B164" s="12" t="str">
        <f>INDEX('League Settings'!$H$5:$H$18,IF(MOD(C164,2)=0,'League Settings'!$I$2-MOD(ROW()-3,'League Settings'!$I$2),MOD(ROW()-3,'League Settings'!$I$2)+1))</f>
        <v>2nd</v>
      </c>
      <c r="C164" s="29">
        <f>CEILING((ROW()-2)/'League Settings'!$I$2,1)</f>
        <v>21</v>
      </c>
      <c r="D164" s="42"/>
      <c r="E164" s="34" t="str">
        <f>IF((D164)&gt;0,INDEX('Default Rankings'!$B$3:$D$302,'Live Draft Picks'!D164,2) &amp; " " &amp; INDEX('Default Rankings'!$B$3:$D$302,'Live Draft Picks'!D164,3),"")</f>
        <v/>
      </c>
      <c r="F164" s="35" t="str">
        <f>IF((D164)&gt;0,INDEX('Default Rankings'!$C$3:$E$302,'Live Draft Picks'!D164,3),"")</f>
        <v/>
      </c>
    </row>
    <row r="165" spans="2:6" x14ac:dyDescent="0.35">
      <c r="B165" s="12" t="str">
        <f>INDEX('League Settings'!$H$5:$H$18,IF(MOD(C165,2)=0,'League Settings'!$I$2-MOD(ROW()-3,'League Settings'!$I$2),MOD(ROW()-3,'League Settings'!$I$2)+1))</f>
        <v>3rd</v>
      </c>
      <c r="C165" s="29">
        <f>CEILING((ROW()-2)/'League Settings'!$I$2,1)</f>
        <v>21</v>
      </c>
      <c r="D165" s="42"/>
      <c r="E165" s="34" t="str">
        <f>IF((D165)&gt;0,INDEX('Default Rankings'!$B$3:$D$302,'Live Draft Picks'!D165,2) &amp; " " &amp; INDEX('Default Rankings'!$B$3:$D$302,'Live Draft Picks'!D165,3),"")</f>
        <v/>
      </c>
      <c r="F165" s="35" t="str">
        <f>IF((D165)&gt;0,INDEX('Default Rankings'!$C$3:$E$302,'Live Draft Picks'!D165,3),"")</f>
        <v/>
      </c>
    </row>
    <row r="166" spans="2:6" x14ac:dyDescent="0.35">
      <c r="B166" s="12" t="str">
        <f>INDEX('League Settings'!$H$5:$H$18,IF(MOD(C166,2)=0,'League Settings'!$I$2-MOD(ROW()-3,'League Settings'!$I$2),MOD(ROW()-3,'League Settings'!$I$2)+1))</f>
        <v>4th</v>
      </c>
      <c r="C166" s="29">
        <f>CEILING((ROW()-2)/'League Settings'!$I$2,1)</f>
        <v>21</v>
      </c>
      <c r="D166" s="42"/>
      <c r="E166" s="34" t="str">
        <f>IF((D166)&gt;0,INDEX('Default Rankings'!$B$3:$D$302,'Live Draft Picks'!D166,2) &amp; " " &amp; INDEX('Default Rankings'!$B$3:$D$302,'Live Draft Picks'!D166,3),"")</f>
        <v/>
      </c>
      <c r="F166" s="35" t="str">
        <f>IF((D166)&gt;0,INDEX('Default Rankings'!$C$3:$E$302,'Live Draft Picks'!D166,3),"")</f>
        <v/>
      </c>
    </row>
    <row r="167" spans="2:6" x14ac:dyDescent="0.35">
      <c r="B167" s="12" t="str">
        <f>INDEX('League Settings'!$H$5:$H$18,IF(MOD(C167,2)=0,'League Settings'!$I$2-MOD(ROW()-3,'League Settings'!$I$2),MOD(ROW()-3,'League Settings'!$I$2)+1))</f>
        <v>5th</v>
      </c>
      <c r="C167" s="29">
        <f>CEILING((ROW()-2)/'League Settings'!$I$2,1)</f>
        <v>21</v>
      </c>
      <c r="D167" s="42"/>
      <c r="E167" s="34" t="str">
        <f>IF((D167)&gt;0,INDEX('Default Rankings'!$B$3:$D$302,'Live Draft Picks'!D167,2) &amp; " " &amp; INDEX('Default Rankings'!$B$3:$D$302,'Live Draft Picks'!D167,3),"")</f>
        <v/>
      </c>
      <c r="F167" s="35" t="str">
        <f>IF((D167)&gt;0,INDEX('Default Rankings'!$C$3:$E$302,'Live Draft Picks'!D167,3),"")</f>
        <v/>
      </c>
    </row>
    <row r="168" spans="2:6" x14ac:dyDescent="0.35">
      <c r="B168" s="12" t="str">
        <f>INDEX('League Settings'!$H$5:$H$18,IF(MOD(C168,2)=0,'League Settings'!$I$2-MOD(ROW()-3,'League Settings'!$I$2),MOD(ROW()-3,'League Settings'!$I$2)+1))</f>
        <v>6th</v>
      </c>
      <c r="C168" s="29">
        <f>CEILING((ROW()-2)/'League Settings'!$I$2,1)</f>
        <v>21</v>
      </c>
      <c r="D168" s="42"/>
      <c r="E168" s="34" t="str">
        <f>IF((D168)&gt;0,INDEX('Default Rankings'!$B$3:$D$302,'Live Draft Picks'!D168,2) &amp; " " &amp; INDEX('Default Rankings'!$B$3:$D$302,'Live Draft Picks'!D168,3),"")</f>
        <v/>
      </c>
      <c r="F168" s="35" t="str">
        <f>IF((D168)&gt;0,INDEX('Default Rankings'!$C$3:$E$302,'Live Draft Picks'!D168,3),"")</f>
        <v/>
      </c>
    </row>
    <row r="169" spans="2:6" x14ac:dyDescent="0.35">
      <c r="B169" s="12" t="str">
        <f>INDEX('League Settings'!$H$5:$H$18,IF(MOD(C169,2)=0,'League Settings'!$I$2-MOD(ROW()-3,'League Settings'!$I$2),MOD(ROW()-3,'League Settings'!$I$2)+1))</f>
        <v>7th</v>
      </c>
      <c r="C169" s="29">
        <f>CEILING((ROW()-2)/'League Settings'!$I$2,1)</f>
        <v>21</v>
      </c>
      <c r="D169" s="42"/>
      <c r="E169" s="34" t="str">
        <f>IF((D169)&gt;0,INDEX('Default Rankings'!$B$3:$D$302,'Live Draft Picks'!D169,2) &amp; " " &amp; INDEX('Default Rankings'!$B$3:$D$302,'Live Draft Picks'!D169,3),"")</f>
        <v/>
      </c>
      <c r="F169" s="35" t="str">
        <f>IF((D169)&gt;0,INDEX('Default Rankings'!$C$3:$E$302,'Live Draft Picks'!D169,3),"")</f>
        <v/>
      </c>
    </row>
    <row r="170" spans="2:6" x14ac:dyDescent="0.35">
      <c r="B170" s="12" t="str">
        <f>INDEX('League Settings'!$H$5:$H$18,IF(MOD(C170,2)=0,'League Settings'!$I$2-MOD(ROW()-3,'League Settings'!$I$2),MOD(ROW()-3,'League Settings'!$I$2)+1))</f>
        <v>8th</v>
      </c>
      <c r="C170" s="29">
        <f>CEILING((ROW()-2)/'League Settings'!$I$2,1)</f>
        <v>21</v>
      </c>
      <c r="D170" s="42"/>
      <c r="E170" s="34" t="str">
        <f>IF((D170)&gt;0,INDEX('Default Rankings'!$B$3:$D$302,'Live Draft Picks'!D170,2) &amp; " " &amp; INDEX('Default Rankings'!$B$3:$D$302,'Live Draft Picks'!D170,3),"")</f>
        <v/>
      </c>
      <c r="F170" s="35" t="str">
        <f>IF((D170)&gt;0,INDEX('Default Rankings'!$C$3:$E$302,'Live Draft Picks'!D170,3),"")</f>
        <v/>
      </c>
    </row>
    <row r="171" spans="2:6" x14ac:dyDescent="0.35">
      <c r="B171" s="12" t="str">
        <f>INDEX('League Settings'!$H$5:$H$18,IF(MOD(C171,2)=0,'League Settings'!$I$2-MOD(ROW()-3,'League Settings'!$I$2),MOD(ROW()-3,'League Settings'!$I$2)+1))</f>
        <v>8th</v>
      </c>
      <c r="C171" s="29">
        <f>CEILING((ROW()-2)/'League Settings'!$I$2,1)</f>
        <v>22</v>
      </c>
      <c r="D171" s="42"/>
      <c r="E171" s="34" t="str">
        <f>IF((D171)&gt;0,INDEX('Default Rankings'!$B$3:$D$302,'Live Draft Picks'!D171,2) &amp; " " &amp; INDEX('Default Rankings'!$B$3:$D$302,'Live Draft Picks'!D171,3),"")</f>
        <v/>
      </c>
      <c r="F171" s="35" t="str">
        <f>IF((D171)&gt;0,INDEX('Default Rankings'!$C$3:$E$302,'Live Draft Picks'!D171,3),"")</f>
        <v/>
      </c>
    </row>
    <row r="172" spans="2:6" x14ac:dyDescent="0.35">
      <c r="B172" s="12" t="str">
        <f>INDEX('League Settings'!$H$5:$H$18,IF(MOD(C172,2)=0,'League Settings'!$I$2-MOD(ROW()-3,'League Settings'!$I$2),MOD(ROW()-3,'League Settings'!$I$2)+1))</f>
        <v>7th</v>
      </c>
      <c r="C172" s="29">
        <f>CEILING((ROW()-2)/'League Settings'!$I$2,1)</f>
        <v>22</v>
      </c>
      <c r="D172" s="42"/>
      <c r="E172" s="34" t="str">
        <f>IF((D172)&gt;0,INDEX('Default Rankings'!$B$3:$D$302,'Live Draft Picks'!D172,2) &amp; " " &amp; INDEX('Default Rankings'!$B$3:$D$302,'Live Draft Picks'!D172,3),"")</f>
        <v/>
      </c>
      <c r="F172" s="35" t="str">
        <f>IF((D172)&gt;0,INDEX('Default Rankings'!$C$3:$E$302,'Live Draft Picks'!D172,3),"")</f>
        <v/>
      </c>
    </row>
    <row r="173" spans="2:6" x14ac:dyDescent="0.35">
      <c r="B173" s="12" t="str">
        <f>INDEX('League Settings'!$H$5:$H$18,IF(MOD(C173,2)=0,'League Settings'!$I$2-MOD(ROW()-3,'League Settings'!$I$2),MOD(ROW()-3,'League Settings'!$I$2)+1))</f>
        <v>6th</v>
      </c>
      <c r="C173" s="29">
        <f>CEILING((ROW()-2)/'League Settings'!$I$2,1)</f>
        <v>22</v>
      </c>
      <c r="D173" s="42"/>
      <c r="E173" s="34" t="str">
        <f>IF((D173)&gt;0,INDEX('Default Rankings'!$B$3:$D$302,'Live Draft Picks'!D173,2) &amp; " " &amp; INDEX('Default Rankings'!$B$3:$D$302,'Live Draft Picks'!D173,3),"")</f>
        <v/>
      </c>
      <c r="F173" s="35" t="str">
        <f>IF((D173)&gt;0,INDEX('Default Rankings'!$C$3:$E$302,'Live Draft Picks'!D173,3),"")</f>
        <v/>
      </c>
    </row>
    <row r="174" spans="2:6" x14ac:dyDescent="0.35">
      <c r="B174" s="12" t="str">
        <f>INDEX('League Settings'!$H$5:$H$18,IF(MOD(C174,2)=0,'League Settings'!$I$2-MOD(ROW()-3,'League Settings'!$I$2),MOD(ROW()-3,'League Settings'!$I$2)+1))</f>
        <v>5th</v>
      </c>
      <c r="C174" s="29">
        <f>CEILING((ROW()-2)/'League Settings'!$I$2,1)</f>
        <v>22</v>
      </c>
      <c r="D174" s="42"/>
      <c r="E174" s="34" t="str">
        <f>IF((D174)&gt;0,INDEX('Default Rankings'!$B$3:$D$302,'Live Draft Picks'!D174,2) &amp; " " &amp; INDEX('Default Rankings'!$B$3:$D$302,'Live Draft Picks'!D174,3),"")</f>
        <v/>
      </c>
      <c r="F174" s="35" t="str">
        <f>IF((D174)&gt;0,INDEX('Default Rankings'!$C$3:$E$302,'Live Draft Picks'!D174,3),"")</f>
        <v/>
      </c>
    </row>
    <row r="175" spans="2:6" x14ac:dyDescent="0.35">
      <c r="B175" s="12" t="str">
        <f>INDEX('League Settings'!$H$5:$H$18,IF(MOD(C175,2)=0,'League Settings'!$I$2-MOD(ROW()-3,'League Settings'!$I$2),MOD(ROW()-3,'League Settings'!$I$2)+1))</f>
        <v>4th</v>
      </c>
      <c r="C175" s="29">
        <f>CEILING((ROW()-2)/'League Settings'!$I$2,1)</f>
        <v>22</v>
      </c>
      <c r="D175" s="42"/>
      <c r="E175" s="34" t="str">
        <f>IF((D175)&gt;0,INDEX('Default Rankings'!$B$3:$D$302,'Live Draft Picks'!D175,2) &amp; " " &amp; INDEX('Default Rankings'!$B$3:$D$302,'Live Draft Picks'!D175,3),"")</f>
        <v/>
      </c>
      <c r="F175" s="35" t="str">
        <f>IF((D175)&gt;0,INDEX('Default Rankings'!$C$3:$E$302,'Live Draft Picks'!D175,3),"")</f>
        <v/>
      </c>
    </row>
    <row r="176" spans="2:6" x14ac:dyDescent="0.35">
      <c r="B176" s="12" t="str">
        <f>INDEX('League Settings'!$H$5:$H$18,IF(MOD(C176,2)=0,'League Settings'!$I$2-MOD(ROW()-3,'League Settings'!$I$2),MOD(ROW()-3,'League Settings'!$I$2)+1))</f>
        <v>3rd</v>
      </c>
      <c r="C176" s="29">
        <f>CEILING((ROW()-2)/'League Settings'!$I$2,1)</f>
        <v>22</v>
      </c>
      <c r="D176" s="42"/>
      <c r="E176" s="34" t="str">
        <f>IF((D176)&gt;0,INDEX('Default Rankings'!$B$3:$D$302,'Live Draft Picks'!D176,2) &amp; " " &amp; INDEX('Default Rankings'!$B$3:$D$302,'Live Draft Picks'!D176,3),"")</f>
        <v/>
      </c>
      <c r="F176" s="35" t="str">
        <f>IF((D176)&gt;0,INDEX('Default Rankings'!$C$3:$E$302,'Live Draft Picks'!D176,3),"")</f>
        <v/>
      </c>
    </row>
    <row r="177" spans="2:6" x14ac:dyDescent="0.35">
      <c r="B177" s="12" t="str">
        <f>INDEX('League Settings'!$H$5:$H$18,IF(MOD(C177,2)=0,'League Settings'!$I$2-MOD(ROW()-3,'League Settings'!$I$2),MOD(ROW()-3,'League Settings'!$I$2)+1))</f>
        <v>2nd</v>
      </c>
      <c r="C177" s="29">
        <f>CEILING((ROW()-2)/'League Settings'!$I$2,1)</f>
        <v>22</v>
      </c>
      <c r="D177" s="42"/>
      <c r="E177" s="34" t="str">
        <f>IF((D177)&gt;0,INDEX('Default Rankings'!$B$3:$D$302,'Live Draft Picks'!D177,2) &amp; " " &amp; INDEX('Default Rankings'!$B$3:$D$302,'Live Draft Picks'!D177,3),"")</f>
        <v/>
      </c>
      <c r="F177" s="35" t="str">
        <f>IF((D177)&gt;0,INDEX('Default Rankings'!$C$3:$E$302,'Live Draft Picks'!D177,3),"")</f>
        <v/>
      </c>
    </row>
    <row r="178" spans="2:6" x14ac:dyDescent="0.35">
      <c r="B178" s="12" t="str">
        <f>INDEX('League Settings'!$H$5:$H$18,IF(MOD(C178,2)=0,'League Settings'!$I$2-MOD(ROW()-3,'League Settings'!$I$2),MOD(ROW()-3,'League Settings'!$I$2)+1))</f>
        <v>1st</v>
      </c>
      <c r="C178" s="29">
        <f>CEILING((ROW()-2)/'League Settings'!$I$2,1)</f>
        <v>22</v>
      </c>
      <c r="D178" s="42"/>
      <c r="E178" s="34" t="str">
        <f>IF((D178)&gt;0,INDEX('Default Rankings'!$B$3:$D$302,'Live Draft Picks'!D178,2) &amp; " " &amp; INDEX('Default Rankings'!$B$3:$D$302,'Live Draft Picks'!D178,3),"")</f>
        <v/>
      </c>
      <c r="F178" s="35" t="str">
        <f>IF((D178)&gt;0,INDEX('Default Rankings'!$C$3:$E$302,'Live Draft Picks'!D178,3),"")</f>
        <v/>
      </c>
    </row>
    <row r="179" spans="2:6" x14ac:dyDescent="0.35">
      <c r="B179" s="12" t="str">
        <f>INDEX('League Settings'!$H$5:$H$18,IF(MOD(C179,2)=0,'League Settings'!$I$2-MOD(ROW()-3,'League Settings'!$I$2),MOD(ROW()-3,'League Settings'!$I$2)+1))</f>
        <v>1st</v>
      </c>
      <c r="C179" s="29">
        <f>CEILING((ROW()-2)/'League Settings'!$I$2,1)</f>
        <v>23</v>
      </c>
      <c r="D179" s="42"/>
      <c r="E179" s="34" t="str">
        <f>IF((D179)&gt;0,INDEX('Default Rankings'!$B$3:$D$302,'Live Draft Picks'!D179,2) &amp; " " &amp; INDEX('Default Rankings'!$B$3:$D$302,'Live Draft Picks'!D179,3),"")</f>
        <v/>
      </c>
      <c r="F179" s="35" t="str">
        <f>IF((D179)&gt;0,INDEX('Default Rankings'!$C$3:$E$302,'Live Draft Picks'!D179,3),"")</f>
        <v/>
      </c>
    </row>
    <row r="180" spans="2:6" x14ac:dyDescent="0.35">
      <c r="B180" s="12" t="str">
        <f>INDEX('League Settings'!$H$5:$H$18,IF(MOD(C180,2)=0,'League Settings'!$I$2-MOD(ROW()-3,'League Settings'!$I$2),MOD(ROW()-3,'League Settings'!$I$2)+1))</f>
        <v>2nd</v>
      </c>
      <c r="C180" s="29">
        <f>CEILING((ROW()-2)/'League Settings'!$I$2,1)</f>
        <v>23</v>
      </c>
      <c r="D180" s="42"/>
      <c r="E180" s="34" t="str">
        <f>IF((D180)&gt;0,INDEX('Default Rankings'!$B$3:$D$302,'Live Draft Picks'!D180,2) &amp; " " &amp; INDEX('Default Rankings'!$B$3:$D$302,'Live Draft Picks'!D180,3),"")</f>
        <v/>
      </c>
      <c r="F180" s="35" t="str">
        <f>IF((D180)&gt;0,INDEX('Default Rankings'!$C$3:$E$302,'Live Draft Picks'!D180,3),"")</f>
        <v/>
      </c>
    </row>
    <row r="181" spans="2:6" x14ac:dyDescent="0.35">
      <c r="B181" s="12" t="str">
        <f>INDEX('League Settings'!$H$5:$H$18,IF(MOD(C181,2)=0,'League Settings'!$I$2-MOD(ROW()-3,'League Settings'!$I$2),MOD(ROW()-3,'League Settings'!$I$2)+1))</f>
        <v>3rd</v>
      </c>
      <c r="C181" s="29">
        <f>CEILING((ROW()-2)/'League Settings'!$I$2,1)</f>
        <v>23</v>
      </c>
      <c r="D181" s="42"/>
      <c r="E181" s="34" t="str">
        <f>IF((D181)&gt;0,INDEX('Default Rankings'!$B$3:$D$302,'Live Draft Picks'!D181,2) &amp; " " &amp; INDEX('Default Rankings'!$B$3:$D$302,'Live Draft Picks'!D181,3),"")</f>
        <v/>
      </c>
      <c r="F181" s="35" t="str">
        <f>IF((D181)&gt;0,INDEX('Default Rankings'!$C$3:$E$302,'Live Draft Picks'!D181,3),"")</f>
        <v/>
      </c>
    </row>
    <row r="182" spans="2:6" x14ac:dyDescent="0.35">
      <c r="B182" s="12" t="str">
        <f>INDEX('League Settings'!$H$5:$H$18,IF(MOD(C182,2)=0,'League Settings'!$I$2-MOD(ROW()-3,'League Settings'!$I$2),MOD(ROW()-3,'League Settings'!$I$2)+1))</f>
        <v>4th</v>
      </c>
      <c r="C182" s="29">
        <f>CEILING((ROW()-2)/'League Settings'!$I$2,1)</f>
        <v>23</v>
      </c>
      <c r="D182" s="42"/>
      <c r="E182" s="34" t="str">
        <f>IF((D182)&gt;0,INDEX('Default Rankings'!$B$3:$D$302,'Live Draft Picks'!D182,2) &amp; " " &amp; INDEX('Default Rankings'!$B$3:$D$302,'Live Draft Picks'!D182,3),"")</f>
        <v/>
      </c>
      <c r="F182" s="35" t="str">
        <f>IF((D182)&gt;0,INDEX('Default Rankings'!$C$3:$E$302,'Live Draft Picks'!D182,3),"")</f>
        <v/>
      </c>
    </row>
    <row r="183" spans="2:6" x14ac:dyDescent="0.35">
      <c r="B183" s="12" t="str">
        <f>INDEX('League Settings'!$H$5:$H$18,IF(MOD(C183,2)=0,'League Settings'!$I$2-MOD(ROW()-3,'League Settings'!$I$2),MOD(ROW()-3,'League Settings'!$I$2)+1))</f>
        <v>5th</v>
      </c>
      <c r="C183" s="29">
        <f>CEILING((ROW()-2)/'League Settings'!$I$2,1)</f>
        <v>23</v>
      </c>
      <c r="D183" s="42"/>
      <c r="E183" s="34" t="str">
        <f>IF((D183)&gt;0,INDEX('Default Rankings'!$B$3:$D$302,'Live Draft Picks'!D183,2) &amp; " " &amp; INDEX('Default Rankings'!$B$3:$D$302,'Live Draft Picks'!D183,3),"")</f>
        <v/>
      </c>
      <c r="F183" s="35" t="str">
        <f>IF((D183)&gt;0,INDEX('Default Rankings'!$C$3:$E$302,'Live Draft Picks'!D183,3),"")</f>
        <v/>
      </c>
    </row>
    <row r="184" spans="2:6" x14ac:dyDescent="0.35">
      <c r="B184" s="12" t="str">
        <f>INDEX('League Settings'!$H$5:$H$18,IF(MOD(C184,2)=0,'League Settings'!$I$2-MOD(ROW()-3,'League Settings'!$I$2),MOD(ROW()-3,'League Settings'!$I$2)+1))</f>
        <v>6th</v>
      </c>
      <c r="C184" s="29">
        <f>CEILING((ROW()-2)/'League Settings'!$I$2,1)</f>
        <v>23</v>
      </c>
      <c r="D184" s="42"/>
      <c r="E184" s="34" t="str">
        <f>IF((D184)&gt;0,INDEX('Default Rankings'!$B$3:$D$302,'Live Draft Picks'!D184,2) &amp; " " &amp; INDEX('Default Rankings'!$B$3:$D$302,'Live Draft Picks'!D184,3),"")</f>
        <v/>
      </c>
      <c r="F184" s="35" t="str">
        <f>IF((D184)&gt;0,INDEX('Default Rankings'!$C$3:$E$302,'Live Draft Picks'!D184,3),"")</f>
        <v/>
      </c>
    </row>
    <row r="185" spans="2:6" x14ac:dyDescent="0.35">
      <c r="B185" s="12" t="str">
        <f>INDEX('League Settings'!$H$5:$H$18,IF(MOD(C185,2)=0,'League Settings'!$I$2-MOD(ROW()-3,'League Settings'!$I$2),MOD(ROW()-3,'League Settings'!$I$2)+1))</f>
        <v>7th</v>
      </c>
      <c r="C185" s="29">
        <f>CEILING((ROW()-2)/'League Settings'!$I$2,1)</f>
        <v>23</v>
      </c>
      <c r="D185" s="42"/>
      <c r="E185" s="34" t="str">
        <f>IF((D185)&gt;0,INDEX('Default Rankings'!$B$3:$D$302,'Live Draft Picks'!D185,2) &amp; " " &amp; INDEX('Default Rankings'!$B$3:$D$302,'Live Draft Picks'!D185,3),"")</f>
        <v/>
      </c>
      <c r="F185" s="35" t="str">
        <f>IF((D185)&gt;0,INDEX('Default Rankings'!$C$3:$E$302,'Live Draft Picks'!D185,3),"")</f>
        <v/>
      </c>
    </row>
    <row r="186" spans="2:6" x14ac:dyDescent="0.35">
      <c r="B186" s="12" t="str">
        <f>INDEX('League Settings'!$H$5:$H$18,IF(MOD(C186,2)=0,'League Settings'!$I$2-MOD(ROW()-3,'League Settings'!$I$2),MOD(ROW()-3,'League Settings'!$I$2)+1))</f>
        <v>8th</v>
      </c>
      <c r="C186" s="29">
        <f>CEILING((ROW()-2)/'League Settings'!$I$2,1)</f>
        <v>23</v>
      </c>
      <c r="D186" s="42"/>
      <c r="E186" s="34" t="str">
        <f>IF((D186)&gt;0,INDEX('Default Rankings'!$B$3:$D$302,'Live Draft Picks'!D186,2) &amp; " " &amp; INDEX('Default Rankings'!$B$3:$D$302,'Live Draft Picks'!D186,3),"")</f>
        <v/>
      </c>
      <c r="F186" s="35" t="str">
        <f>IF((D186)&gt;0,INDEX('Default Rankings'!$C$3:$E$302,'Live Draft Picks'!D186,3),"")</f>
        <v/>
      </c>
    </row>
    <row r="187" spans="2:6" x14ac:dyDescent="0.35">
      <c r="B187" s="12" t="str">
        <f>INDEX('League Settings'!$H$5:$H$18,IF(MOD(C187,2)=0,'League Settings'!$I$2-MOD(ROW()-3,'League Settings'!$I$2),MOD(ROW()-3,'League Settings'!$I$2)+1))</f>
        <v>8th</v>
      </c>
      <c r="C187" s="29">
        <f>CEILING((ROW()-2)/'League Settings'!$I$2,1)</f>
        <v>24</v>
      </c>
      <c r="D187" s="42"/>
      <c r="E187" s="34" t="str">
        <f>IF((D187)&gt;0,INDEX('Default Rankings'!$B$3:$D$302,'Live Draft Picks'!D187,2) &amp; " " &amp; INDEX('Default Rankings'!$B$3:$D$302,'Live Draft Picks'!D187,3),"")</f>
        <v/>
      </c>
      <c r="F187" s="35" t="str">
        <f>IF((D187)&gt;0,INDEX('Default Rankings'!$C$3:$E$302,'Live Draft Picks'!D187,3),"")</f>
        <v/>
      </c>
    </row>
    <row r="188" spans="2:6" x14ac:dyDescent="0.35">
      <c r="B188" s="12" t="str">
        <f>INDEX('League Settings'!$H$5:$H$18,IF(MOD(C188,2)=0,'League Settings'!$I$2-MOD(ROW()-3,'League Settings'!$I$2),MOD(ROW()-3,'League Settings'!$I$2)+1))</f>
        <v>7th</v>
      </c>
      <c r="C188" s="29">
        <f>CEILING((ROW()-2)/'League Settings'!$I$2,1)</f>
        <v>24</v>
      </c>
      <c r="D188" s="42"/>
      <c r="E188" s="34" t="str">
        <f>IF((D188)&gt;0,INDEX('Default Rankings'!$B$3:$D$302,'Live Draft Picks'!D188,2) &amp; " " &amp; INDEX('Default Rankings'!$B$3:$D$302,'Live Draft Picks'!D188,3),"")</f>
        <v/>
      </c>
      <c r="F188" s="35" t="str">
        <f>IF((D188)&gt;0,INDEX('Default Rankings'!$C$3:$E$302,'Live Draft Picks'!D188,3),"")</f>
        <v/>
      </c>
    </row>
    <row r="189" spans="2:6" x14ac:dyDescent="0.35">
      <c r="B189" s="12" t="str">
        <f>INDEX('League Settings'!$H$5:$H$18,IF(MOD(C189,2)=0,'League Settings'!$I$2-MOD(ROW()-3,'League Settings'!$I$2),MOD(ROW()-3,'League Settings'!$I$2)+1))</f>
        <v>6th</v>
      </c>
      <c r="C189" s="29">
        <f>CEILING((ROW()-2)/'League Settings'!$I$2,1)</f>
        <v>24</v>
      </c>
      <c r="D189" s="42"/>
      <c r="E189" s="34" t="str">
        <f>IF((D189)&gt;0,INDEX('Default Rankings'!$B$3:$D$302,'Live Draft Picks'!D189,2) &amp; " " &amp; INDEX('Default Rankings'!$B$3:$D$302,'Live Draft Picks'!D189,3),"")</f>
        <v/>
      </c>
      <c r="F189" s="35" t="str">
        <f>IF((D189)&gt;0,INDEX('Default Rankings'!$C$3:$E$302,'Live Draft Picks'!D189,3),"")</f>
        <v/>
      </c>
    </row>
    <row r="190" spans="2:6" x14ac:dyDescent="0.35">
      <c r="B190" s="12" t="str">
        <f>INDEX('League Settings'!$H$5:$H$18,IF(MOD(C190,2)=0,'League Settings'!$I$2-MOD(ROW()-3,'League Settings'!$I$2),MOD(ROW()-3,'League Settings'!$I$2)+1))</f>
        <v>5th</v>
      </c>
      <c r="C190" s="29">
        <f>CEILING((ROW()-2)/'League Settings'!$I$2,1)</f>
        <v>24</v>
      </c>
      <c r="D190" s="42"/>
      <c r="E190" s="34" t="str">
        <f>IF((D190)&gt;0,INDEX('Default Rankings'!$B$3:$D$302,'Live Draft Picks'!D190,2) &amp; " " &amp; INDEX('Default Rankings'!$B$3:$D$302,'Live Draft Picks'!D190,3),"")</f>
        <v/>
      </c>
      <c r="F190" s="35" t="str">
        <f>IF((D190)&gt;0,INDEX('Default Rankings'!$C$3:$E$302,'Live Draft Picks'!D190,3),"")</f>
        <v/>
      </c>
    </row>
    <row r="191" spans="2:6" x14ac:dyDescent="0.35">
      <c r="B191" s="12" t="str">
        <f>INDEX('League Settings'!$H$5:$H$18,IF(MOD(C191,2)=0,'League Settings'!$I$2-MOD(ROW()-3,'League Settings'!$I$2),MOD(ROW()-3,'League Settings'!$I$2)+1))</f>
        <v>4th</v>
      </c>
      <c r="C191" s="29">
        <f>CEILING((ROW()-2)/'League Settings'!$I$2,1)</f>
        <v>24</v>
      </c>
      <c r="D191" s="42"/>
      <c r="E191" s="34" t="str">
        <f>IF((D191)&gt;0,INDEX('Default Rankings'!$B$3:$D$302,'Live Draft Picks'!D191,2) &amp; " " &amp; INDEX('Default Rankings'!$B$3:$D$302,'Live Draft Picks'!D191,3),"")</f>
        <v/>
      </c>
      <c r="F191" s="35" t="str">
        <f>IF((D191)&gt;0,INDEX('Default Rankings'!$C$3:$E$302,'Live Draft Picks'!D191,3),"")</f>
        <v/>
      </c>
    </row>
    <row r="192" spans="2:6" x14ac:dyDescent="0.35">
      <c r="B192" s="12" t="str">
        <f>INDEX('League Settings'!$H$5:$H$18,IF(MOD(C192,2)=0,'League Settings'!$I$2-MOD(ROW()-3,'League Settings'!$I$2),MOD(ROW()-3,'League Settings'!$I$2)+1))</f>
        <v>3rd</v>
      </c>
      <c r="C192" s="29">
        <f>CEILING((ROW()-2)/'League Settings'!$I$2,1)</f>
        <v>24</v>
      </c>
      <c r="D192" s="42"/>
      <c r="E192" s="34" t="str">
        <f>IF((D192)&gt;0,INDEX('Default Rankings'!$B$3:$D$302,'Live Draft Picks'!D192,2) &amp; " " &amp; INDEX('Default Rankings'!$B$3:$D$302,'Live Draft Picks'!D192,3),"")</f>
        <v/>
      </c>
      <c r="F192" s="35" t="str">
        <f>IF((D192)&gt;0,INDEX('Default Rankings'!$C$3:$E$302,'Live Draft Picks'!D192,3),"")</f>
        <v/>
      </c>
    </row>
    <row r="193" spans="2:6" x14ac:dyDescent="0.35">
      <c r="B193" s="12" t="str">
        <f>INDEX('League Settings'!$H$5:$H$18,IF(MOD(C193,2)=0,'League Settings'!$I$2-MOD(ROW()-3,'League Settings'!$I$2),MOD(ROW()-3,'League Settings'!$I$2)+1))</f>
        <v>2nd</v>
      </c>
      <c r="C193" s="29">
        <f>CEILING((ROW()-2)/'League Settings'!$I$2,1)</f>
        <v>24</v>
      </c>
      <c r="D193" s="42"/>
      <c r="E193" s="34" t="str">
        <f>IF((D193)&gt;0,INDEX('Default Rankings'!$B$3:$D$302,'Live Draft Picks'!D193,2) &amp; " " &amp; INDEX('Default Rankings'!$B$3:$D$302,'Live Draft Picks'!D193,3),"")</f>
        <v/>
      </c>
      <c r="F193" s="35" t="str">
        <f>IF((D193)&gt;0,INDEX('Default Rankings'!$C$3:$E$302,'Live Draft Picks'!D193,3),"")</f>
        <v/>
      </c>
    </row>
    <row r="194" spans="2:6" x14ac:dyDescent="0.35">
      <c r="B194" s="12" t="str">
        <f>INDEX('League Settings'!$H$5:$H$18,IF(MOD(C194,2)=0,'League Settings'!$I$2-MOD(ROW()-3,'League Settings'!$I$2),MOD(ROW()-3,'League Settings'!$I$2)+1))</f>
        <v>1st</v>
      </c>
      <c r="C194" s="29">
        <f>CEILING((ROW()-2)/'League Settings'!$I$2,1)</f>
        <v>24</v>
      </c>
      <c r="D194" s="42"/>
      <c r="E194" s="34" t="str">
        <f>IF((D194)&gt;0,INDEX('Default Rankings'!$B$3:$D$302,'Live Draft Picks'!D194,2) &amp; " " &amp; INDEX('Default Rankings'!$B$3:$D$302,'Live Draft Picks'!D194,3),"")</f>
        <v/>
      </c>
      <c r="F194" s="35" t="str">
        <f>IF((D194)&gt;0,INDEX('Default Rankings'!$C$3:$E$302,'Live Draft Picks'!D194,3),"")</f>
        <v/>
      </c>
    </row>
    <row r="195" spans="2:6" x14ac:dyDescent="0.35">
      <c r="B195" s="12" t="str">
        <f>INDEX('League Settings'!$H$5:$H$18,IF(MOD(C195,2)=0,'League Settings'!$I$2-MOD(ROW()-3,'League Settings'!$I$2),MOD(ROW()-3,'League Settings'!$I$2)+1))</f>
        <v>1st</v>
      </c>
      <c r="C195" s="29">
        <f>CEILING((ROW()-2)/'League Settings'!$I$2,1)</f>
        <v>25</v>
      </c>
      <c r="D195" s="42"/>
      <c r="E195" s="34" t="str">
        <f>IF((D195)&gt;0,INDEX('Default Rankings'!$B$3:$D$302,'Live Draft Picks'!D195,2) &amp; " " &amp; INDEX('Default Rankings'!$B$3:$D$302,'Live Draft Picks'!D195,3),"")</f>
        <v/>
      </c>
      <c r="F195" s="35" t="str">
        <f>IF((D195)&gt;0,INDEX('Default Rankings'!$C$3:$E$302,'Live Draft Picks'!D195,3),"")</f>
        <v/>
      </c>
    </row>
    <row r="196" spans="2:6" x14ac:dyDescent="0.35">
      <c r="B196" s="12" t="str">
        <f>INDEX('League Settings'!$H$5:$H$18,IF(MOD(C196,2)=0,'League Settings'!$I$2-MOD(ROW()-3,'League Settings'!$I$2),MOD(ROW()-3,'League Settings'!$I$2)+1))</f>
        <v>2nd</v>
      </c>
      <c r="C196" s="29">
        <f>CEILING((ROW()-2)/'League Settings'!$I$2,1)</f>
        <v>25</v>
      </c>
      <c r="D196" s="42"/>
      <c r="E196" s="34" t="str">
        <f>IF((D196)&gt;0,INDEX('Default Rankings'!$B$3:$D$302,'Live Draft Picks'!D196,2) &amp; " " &amp; INDEX('Default Rankings'!$B$3:$D$302,'Live Draft Picks'!D196,3),"")</f>
        <v/>
      </c>
      <c r="F196" s="35" t="str">
        <f>IF((D196)&gt;0,INDEX('Default Rankings'!$C$3:$E$302,'Live Draft Picks'!D196,3),"")</f>
        <v/>
      </c>
    </row>
    <row r="197" spans="2:6" x14ac:dyDescent="0.35">
      <c r="B197" s="12" t="str">
        <f>INDEX('League Settings'!$H$5:$H$18,IF(MOD(C197,2)=0,'League Settings'!$I$2-MOD(ROW()-3,'League Settings'!$I$2),MOD(ROW()-3,'League Settings'!$I$2)+1))</f>
        <v>3rd</v>
      </c>
      <c r="C197" s="29">
        <f>CEILING((ROW()-2)/'League Settings'!$I$2,1)</f>
        <v>25</v>
      </c>
      <c r="D197" s="42"/>
      <c r="E197" s="34" t="str">
        <f>IF((D197)&gt;0,INDEX('Default Rankings'!$B$3:$D$302,'Live Draft Picks'!D197,2) &amp; " " &amp; INDEX('Default Rankings'!$B$3:$D$302,'Live Draft Picks'!D197,3),"")</f>
        <v/>
      </c>
      <c r="F197" s="35" t="str">
        <f>IF((D197)&gt;0,INDEX('Default Rankings'!$C$3:$E$302,'Live Draft Picks'!D197,3),"")</f>
        <v/>
      </c>
    </row>
    <row r="198" spans="2:6" x14ac:dyDescent="0.35">
      <c r="B198" s="12" t="str">
        <f>INDEX('League Settings'!$H$5:$H$18,IF(MOD(C198,2)=0,'League Settings'!$I$2-MOD(ROW()-3,'League Settings'!$I$2),MOD(ROW()-3,'League Settings'!$I$2)+1))</f>
        <v>4th</v>
      </c>
      <c r="C198" s="29">
        <f>CEILING((ROW()-2)/'League Settings'!$I$2,1)</f>
        <v>25</v>
      </c>
      <c r="D198" s="42"/>
      <c r="E198" s="34" t="str">
        <f>IF((D198)&gt;0,INDEX('Default Rankings'!$B$3:$D$302,'Live Draft Picks'!D198,2) &amp; " " &amp; INDEX('Default Rankings'!$B$3:$D$302,'Live Draft Picks'!D198,3),"")</f>
        <v/>
      </c>
      <c r="F198" s="35" t="str">
        <f>IF((D198)&gt;0,INDEX('Default Rankings'!$C$3:$E$302,'Live Draft Picks'!D198,3),"")</f>
        <v/>
      </c>
    </row>
    <row r="199" spans="2:6" x14ac:dyDescent="0.35">
      <c r="B199" s="12" t="str">
        <f>INDEX('League Settings'!$H$5:$H$18,IF(MOD(C199,2)=0,'League Settings'!$I$2-MOD(ROW()-3,'League Settings'!$I$2),MOD(ROW()-3,'League Settings'!$I$2)+1))</f>
        <v>5th</v>
      </c>
      <c r="C199" s="29">
        <f>CEILING((ROW()-2)/'League Settings'!$I$2,1)</f>
        <v>25</v>
      </c>
      <c r="D199" s="42"/>
      <c r="E199" s="34" t="str">
        <f>IF((D199)&gt;0,INDEX('Default Rankings'!$B$3:$D$302,'Live Draft Picks'!D199,2) &amp; " " &amp; INDEX('Default Rankings'!$B$3:$D$302,'Live Draft Picks'!D199,3),"")</f>
        <v/>
      </c>
      <c r="F199" s="35" t="str">
        <f>IF((D199)&gt;0,INDEX('Default Rankings'!$C$3:$E$302,'Live Draft Picks'!D199,3),"")</f>
        <v/>
      </c>
    </row>
    <row r="200" spans="2:6" x14ac:dyDescent="0.35">
      <c r="B200" s="12" t="str">
        <f>INDEX('League Settings'!$H$5:$H$18,IF(MOD(C200,2)=0,'League Settings'!$I$2-MOD(ROW()-3,'League Settings'!$I$2),MOD(ROW()-3,'League Settings'!$I$2)+1))</f>
        <v>6th</v>
      </c>
      <c r="C200" s="29">
        <f>CEILING((ROW()-2)/'League Settings'!$I$2,1)</f>
        <v>25</v>
      </c>
      <c r="D200" s="42"/>
      <c r="E200" s="34" t="str">
        <f>IF((D200)&gt;0,INDEX('Default Rankings'!$B$3:$D$302,'Live Draft Picks'!D200,2) &amp; " " &amp; INDEX('Default Rankings'!$B$3:$D$302,'Live Draft Picks'!D200,3),"")</f>
        <v/>
      </c>
      <c r="F200" s="35" t="str">
        <f>IF((D200)&gt;0,INDEX('Default Rankings'!$C$3:$E$302,'Live Draft Picks'!D200,3),"")</f>
        <v/>
      </c>
    </row>
    <row r="201" spans="2:6" x14ac:dyDescent="0.35">
      <c r="B201" s="12" t="str">
        <f>INDEX('League Settings'!$H$5:$H$18,IF(MOD(C201,2)=0,'League Settings'!$I$2-MOD(ROW()-3,'League Settings'!$I$2),MOD(ROW()-3,'League Settings'!$I$2)+1))</f>
        <v>7th</v>
      </c>
      <c r="C201" s="29">
        <f>CEILING((ROW()-2)/'League Settings'!$I$2,1)</f>
        <v>25</v>
      </c>
      <c r="D201" s="42"/>
      <c r="E201" s="34" t="str">
        <f>IF((D201)&gt;0,INDEX('Default Rankings'!$B$3:$D$302,'Live Draft Picks'!D201,2) &amp; " " &amp; INDEX('Default Rankings'!$B$3:$D$302,'Live Draft Picks'!D201,3),"")</f>
        <v/>
      </c>
      <c r="F201" s="35" t="str">
        <f>IF((D201)&gt;0,INDEX('Default Rankings'!$C$3:$E$302,'Live Draft Picks'!D201,3),"")</f>
        <v/>
      </c>
    </row>
    <row r="202" spans="2:6" x14ac:dyDescent="0.35">
      <c r="B202" s="12" t="str">
        <f>INDEX('League Settings'!$H$5:$H$18,IF(MOD(C202,2)=0,'League Settings'!$I$2-MOD(ROW()-3,'League Settings'!$I$2),MOD(ROW()-3,'League Settings'!$I$2)+1))</f>
        <v>8th</v>
      </c>
      <c r="C202" s="29">
        <f>CEILING((ROW()-2)/'League Settings'!$I$2,1)</f>
        <v>25</v>
      </c>
      <c r="D202" s="42"/>
      <c r="E202" s="34" t="str">
        <f>IF((D202)&gt;0,INDEX('Default Rankings'!$B$3:$D$302,'Live Draft Picks'!D202,2) &amp; " " &amp; INDEX('Default Rankings'!$B$3:$D$302,'Live Draft Picks'!D202,3),"")</f>
        <v/>
      </c>
      <c r="F202" s="35" t="str">
        <f>IF((D202)&gt;0,INDEX('Default Rankings'!$C$3:$E$302,'Live Draft Picks'!D202,3),"")</f>
        <v/>
      </c>
    </row>
    <row r="203" spans="2:6" x14ac:dyDescent="0.35">
      <c r="B203" s="12" t="str">
        <f>INDEX('League Settings'!$H$5:$H$18,IF(MOD(C203,2)=0,'League Settings'!$I$2-MOD(ROW()-3,'League Settings'!$I$2),MOD(ROW()-3,'League Settings'!$I$2)+1))</f>
        <v>8th</v>
      </c>
      <c r="C203" s="29">
        <f>CEILING((ROW()-2)/'League Settings'!$I$2,1)</f>
        <v>26</v>
      </c>
      <c r="D203" s="42"/>
      <c r="E203" s="34" t="str">
        <f>IF((D203)&gt;0,INDEX('Default Rankings'!$B$3:$D$302,'Live Draft Picks'!D203,2) &amp; " " &amp; INDEX('Default Rankings'!$B$3:$D$302,'Live Draft Picks'!D203,3),"")</f>
        <v/>
      </c>
      <c r="F203" s="35" t="str">
        <f>IF((D203)&gt;0,INDEX('Default Rankings'!$C$3:$E$302,'Live Draft Picks'!D203,3),"")</f>
        <v/>
      </c>
    </row>
    <row r="204" spans="2:6" x14ac:dyDescent="0.35">
      <c r="B204" s="12" t="str">
        <f>INDEX('League Settings'!$H$5:$H$18,IF(MOD(C204,2)=0,'League Settings'!$I$2-MOD(ROW()-3,'League Settings'!$I$2),MOD(ROW()-3,'League Settings'!$I$2)+1))</f>
        <v>7th</v>
      </c>
      <c r="C204" s="29">
        <f>CEILING((ROW()-2)/'League Settings'!$I$2,1)</f>
        <v>26</v>
      </c>
      <c r="D204" s="42"/>
      <c r="E204" s="34" t="str">
        <f>IF((D204)&gt;0,INDEX('Default Rankings'!$B$3:$D$302,'Live Draft Picks'!D204,2) &amp; " " &amp; INDEX('Default Rankings'!$B$3:$D$302,'Live Draft Picks'!D204,3),"")</f>
        <v/>
      </c>
      <c r="F204" s="35" t="str">
        <f>IF((D204)&gt;0,INDEX('Default Rankings'!$C$3:$E$302,'Live Draft Picks'!D204,3),"")</f>
        <v/>
      </c>
    </row>
    <row r="205" spans="2:6" x14ac:dyDescent="0.35">
      <c r="B205" s="12" t="str">
        <f>INDEX('League Settings'!$H$5:$H$18,IF(MOD(C205,2)=0,'League Settings'!$I$2-MOD(ROW()-3,'League Settings'!$I$2),MOD(ROW()-3,'League Settings'!$I$2)+1))</f>
        <v>6th</v>
      </c>
      <c r="C205" s="29">
        <f>CEILING((ROW()-2)/'League Settings'!$I$2,1)</f>
        <v>26</v>
      </c>
      <c r="D205" s="42"/>
      <c r="E205" s="34" t="str">
        <f>IF((D205)&gt;0,INDEX('Default Rankings'!$B$3:$D$302,'Live Draft Picks'!D205,2) &amp; " " &amp; INDEX('Default Rankings'!$B$3:$D$302,'Live Draft Picks'!D205,3),"")</f>
        <v/>
      </c>
      <c r="F205" s="35" t="str">
        <f>IF((D205)&gt;0,INDEX('Default Rankings'!$C$3:$E$302,'Live Draft Picks'!D205,3),"")</f>
        <v/>
      </c>
    </row>
    <row r="206" spans="2:6" x14ac:dyDescent="0.35">
      <c r="B206" s="12" t="str">
        <f>INDEX('League Settings'!$H$5:$H$18,IF(MOD(C206,2)=0,'League Settings'!$I$2-MOD(ROW()-3,'League Settings'!$I$2),MOD(ROW()-3,'League Settings'!$I$2)+1))</f>
        <v>5th</v>
      </c>
      <c r="C206" s="29">
        <f>CEILING((ROW()-2)/'League Settings'!$I$2,1)</f>
        <v>26</v>
      </c>
      <c r="D206" s="42"/>
      <c r="E206" s="34" t="str">
        <f>IF((D206)&gt;0,INDEX('Default Rankings'!$B$3:$D$302,'Live Draft Picks'!D206,2) &amp; " " &amp; INDEX('Default Rankings'!$B$3:$D$302,'Live Draft Picks'!D206,3),"")</f>
        <v/>
      </c>
      <c r="F206" s="35" t="str">
        <f>IF((D206)&gt;0,INDEX('Default Rankings'!$C$3:$E$302,'Live Draft Picks'!D206,3),"")</f>
        <v/>
      </c>
    </row>
    <row r="207" spans="2:6" x14ac:dyDescent="0.35">
      <c r="B207" s="12" t="str">
        <f>INDEX('League Settings'!$H$5:$H$18,IF(MOD(C207,2)=0,'League Settings'!$I$2-MOD(ROW()-3,'League Settings'!$I$2),MOD(ROW()-3,'League Settings'!$I$2)+1))</f>
        <v>4th</v>
      </c>
      <c r="C207" s="29">
        <f>CEILING((ROW()-2)/'League Settings'!$I$2,1)</f>
        <v>26</v>
      </c>
      <c r="D207" s="42"/>
      <c r="E207" s="34" t="str">
        <f>IF((D207)&gt;0,INDEX('Default Rankings'!$B$3:$D$302,'Live Draft Picks'!D207,2) &amp; " " &amp; INDEX('Default Rankings'!$B$3:$D$302,'Live Draft Picks'!D207,3),"")</f>
        <v/>
      </c>
      <c r="F207" s="35" t="str">
        <f>IF((D207)&gt;0,INDEX('Default Rankings'!$C$3:$E$302,'Live Draft Picks'!D207,3),"")</f>
        <v/>
      </c>
    </row>
    <row r="208" spans="2:6" x14ac:dyDescent="0.35">
      <c r="B208" s="12" t="str">
        <f>INDEX('League Settings'!$H$5:$H$18,IF(MOD(C208,2)=0,'League Settings'!$I$2-MOD(ROW()-3,'League Settings'!$I$2),MOD(ROW()-3,'League Settings'!$I$2)+1))</f>
        <v>3rd</v>
      </c>
      <c r="C208" s="29">
        <f>CEILING((ROW()-2)/'League Settings'!$I$2,1)</f>
        <v>26</v>
      </c>
      <c r="D208" s="42"/>
      <c r="E208" s="34" t="str">
        <f>IF((D208)&gt;0,INDEX('Default Rankings'!$B$3:$D$302,'Live Draft Picks'!D208,2) &amp; " " &amp; INDEX('Default Rankings'!$B$3:$D$302,'Live Draft Picks'!D208,3),"")</f>
        <v/>
      </c>
      <c r="F208" s="35" t="str">
        <f>IF((D208)&gt;0,INDEX('Default Rankings'!$C$3:$E$302,'Live Draft Picks'!D208,3),"")</f>
        <v/>
      </c>
    </row>
    <row r="209" spans="2:6" x14ac:dyDescent="0.35">
      <c r="B209" s="12" t="str">
        <f>INDEX('League Settings'!$H$5:$H$18,IF(MOD(C209,2)=0,'League Settings'!$I$2-MOD(ROW()-3,'League Settings'!$I$2),MOD(ROW()-3,'League Settings'!$I$2)+1))</f>
        <v>2nd</v>
      </c>
      <c r="C209" s="29">
        <f>CEILING((ROW()-2)/'League Settings'!$I$2,1)</f>
        <v>26</v>
      </c>
      <c r="D209" s="42"/>
      <c r="E209" s="34" t="str">
        <f>IF((D209)&gt;0,INDEX('Default Rankings'!$B$3:$D$302,'Live Draft Picks'!D209,2) &amp; " " &amp; INDEX('Default Rankings'!$B$3:$D$302,'Live Draft Picks'!D209,3),"")</f>
        <v/>
      </c>
      <c r="F209" s="35" t="str">
        <f>IF((D209)&gt;0,INDEX('Default Rankings'!$C$3:$E$302,'Live Draft Picks'!D209,3),"")</f>
        <v/>
      </c>
    </row>
    <row r="210" spans="2:6" x14ac:dyDescent="0.35">
      <c r="B210" s="12" t="str">
        <f>INDEX('League Settings'!$H$5:$H$18,IF(MOD(C210,2)=0,'League Settings'!$I$2-MOD(ROW()-3,'League Settings'!$I$2),MOD(ROW()-3,'League Settings'!$I$2)+1))</f>
        <v>1st</v>
      </c>
      <c r="C210" s="29">
        <f>CEILING((ROW()-2)/'League Settings'!$I$2,1)</f>
        <v>26</v>
      </c>
      <c r="D210" s="42"/>
      <c r="E210" s="34" t="str">
        <f>IF((D210)&gt;0,INDEX('Default Rankings'!$B$3:$D$302,'Live Draft Picks'!D210,2) &amp; " " &amp; INDEX('Default Rankings'!$B$3:$D$302,'Live Draft Picks'!D210,3),"")</f>
        <v/>
      </c>
      <c r="F210" s="35" t="str">
        <f>IF((D210)&gt;0,INDEX('Default Rankings'!$C$3:$E$302,'Live Draft Picks'!D210,3),"")</f>
        <v/>
      </c>
    </row>
    <row r="211" spans="2:6" x14ac:dyDescent="0.35">
      <c r="B211" s="12" t="str">
        <f>INDEX('League Settings'!$H$5:$H$18,IF(MOD(C211,2)=0,'League Settings'!$I$2-MOD(ROW()-3,'League Settings'!$I$2),MOD(ROW()-3,'League Settings'!$I$2)+1))</f>
        <v>1st</v>
      </c>
      <c r="C211" s="29">
        <f>CEILING((ROW()-2)/'League Settings'!$I$2,1)</f>
        <v>27</v>
      </c>
      <c r="D211" s="42"/>
      <c r="E211" s="34" t="str">
        <f>IF((D211)&gt;0,INDEX('Default Rankings'!$B$3:$D$302,'Live Draft Picks'!D211,2) &amp; " " &amp; INDEX('Default Rankings'!$B$3:$D$302,'Live Draft Picks'!D211,3),"")</f>
        <v/>
      </c>
      <c r="F211" s="35" t="str">
        <f>IF((D211)&gt;0,INDEX('Default Rankings'!$C$3:$E$302,'Live Draft Picks'!D211,3),"")</f>
        <v/>
      </c>
    </row>
    <row r="212" spans="2:6" x14ac:dyDescent="0.35">
      <c r="B212" s="12" t="str">
        <f>INDEX('League Settings'!$H$5:$H$18,IF(MOD(C212,2)=0,'League Settings'!$I$2-MOD(ROW()-3,'League Settings'!$I$2),MOD(ROW()-3,'League Settings'!$I$2)+1))</f>
        <v>2nd</v>
      </c>
      <c r="C212" s="29">
        <f>CEILING((ROW()-2)/'League Settings'!$I$2,1)</f>
        <v>27</v>
      </c>
      <c r="D212" s="42"/>
      <c r="E212" s="34" t="str">
        <f>IF((D212)&gt;0,INDEX('Default Rankings'!$B$3:$D$302,'Live Draft Picks'!D212,2) &amp; " " &amp; INDEX('Default Rankings'!$B$3:$D$302,'Live Draft Picks'!D212,3),"")</f>
        <v/>
      </c>
      <c r="F212" s="35" t="str">
        <f>IF((D212)&gt;0,INDEX('Default Rankings'!$C$3:$E$302,'Live Draft Picks'!D212,3),"")</f>
        <v/>
      </c>
    </row>
    <row r="213" spans="2:6" x14ac:dyDescent="0.35">
      <c r="B213" s="12" t="str">
        <f>INDEX('League Settings'!$H$5:$H$18,IF(MOD(C213,2)=0,'League Settings'!$I$2-MOD(ROW()-3,'League Settings'!$I$2),MOD(ROW()-3,'League Settings'!$I$2)+1))</f>
        <v>3rd</v>
      </c>
      <c r="C213" s="29">
        <f>CEILING((ROW()-2)/'League Settings'!$I$2,1)</f>
        <v>27</v>
      </c>
      <c r="D213" s="42"/>
      <c r="E213" s="34" t="str">
        <f>IF((D213)&gt;0,INDEX('Default Rankings'!$B$3:$D$302,'Live Draft Picks'!D213,2) &amp; " " &amp; INDEX('Default Rankings'!$B$3:$D$302,'Live Draft Picks'!D213,3),"")</f>
        <v/>
      </c>
      <c r="F213" s="35" t="str">
        <f>IF((D213)&gt;0,INDEX('Default Rankings'!$C$3:$E$302,'Live Draft Picks'!D213,3),"")</f>
        <v/>
      </c>
    </row>
    <row r="214" spans="2:6" x14ac:dyDescent="0.35">
      <c r="B214" s="12" t="str">
        <f>INDEX('League Settings'!$H$5:$H$18,IF(MOD(C214,2)=0,'League Settings'!$I$2-MOD(ROW()-3,'League Settings'!$I$2),MOD(ROW()-3,'League Settings'!$I$2)+1))</f>
        <v>4th</v>
      </c>
      <c r="C214" s="29">
        <f>CEILING((ROW()-2)/'League Settings'!$I$2,1)</f>
        <v>27</v>
      </c>
      <c r="D214" s="42"/>
      <c r="E214" s="34" t="str">
        <f>IF((D214)&gt;0,INDEX('Default Rankings'!$B$3:$D$302,'Live Draft Picks'!D214,2) &amp; " " &amp; INDEX('Default Rankings'!$B$3:$D$302,'Live Draft Picks'!D214,3),"")</f>
        <v/>
      </c>
      <c r="F214" s="35" t="str">
        <f>IF((D214)&gt;0,INDEX('Default Rankings'!$C$3:$E$302,'Live Draft Picks'!D214,3),"")</f>
        <v/>
      </c>
    </row>
    <row r="215" spans="2:6" x14ac:dyDescent="0.35">
      <c r="B215" s="12" t="str">
        <f>INDEX('League Settings'!$H$5:$H$18,IF(MOD(C215,2)=0,'League Settings'!$I$2-MOD(ROW()-3,'League Settings'!$I$2),MOD(ROW()-3,'League Settings'!$I$2)+1))</f>
        <v>5th</v>
      </c>
      <c r="C215" s="29">
        <f>CEILING((ROW()-2)/'League Settings'!$I$2,1)</f>
        <v>27</v>
      </c>
      <c r="D215" s="42"/>
      <c r="E215" s="34" t="str">
        <f>IF((D215)&gt;0,INDEX('Default Rankings'!$B$3:$D$302,'Live Draft Picks'!D215,2) &amp; " " &amp; INDEX('Default Rankings'!$B$3:$D$302,'Live Draft Picks'!D215,3),"")</f>
        <v/>
      </c>
      <c r="F215" s="35" t="str">
        <f>IF((D215)&gt;0,INDEX('Default Rankings'!$C$3:$E$302,'Live Draft Picks'!D215,3),"")</f>
        <v/>
      </c>
    </row>
    <row r="216" spans="2:6" x14ac:dyDescent="0.35">
      <c r="B216" s="12" t="str">
        <f>INDEX('League Settings'!$H$5:$H$18,IF(MOD(C216,2)=0,'League Settings'!$I$2-MOD(ROW()-3,'League Settings'!$I$2),MOD(ROW()-3,'League Settings'!$I$2)+1))</f>
        <v>6th</v>
      </c>
      <c r="C216" s="29">
        <f>CEILING((ROW()-2)/'League Settings'!$I$2,1)</f>
        <v>27</v>
      </c>
      <c r="D216" s="42"/>
      <c r="E216" s="34" t="str">
        <f>IF((D216)&gt;0,INDEX('Default Rankings'!$B$3:$D$302,'Live Draft Picks'!D216,2) &amp; " " &amp; INDEX('Default Rankings'!$B$3:$D$302,'Live Draft Picks'!D216,3),"")</f>
        <v/>
      </c>
      <c r="F216" s="35" t="str">
        <f>IF((D216)&gt;0,INDEX('Default Rankings'!$C$3:$E$302,'Live Draft Picks'!D216,3),"")</f>
        <v/>
      </c>
    </row>
    <row r="217" spans="2:6" x14ac:dyDescent="0.35">
      <c r="B217" s="12" t="str">
        <f>INDEX('League Settings'!$H$5:$H$18,IF(MOD(C217,2)=0,'League Settings'!$I$2-MOD(ROW()-3,'League Settings'!$I$2),MOD(ROW()-3,'League Settings'!$I$2)+1))</f>
        <v>7th</v>
      </c>
      <c r="C217" s="29">
        <f>CEILING((ROW()-2)/'League Settings'!$I$2,1)</f>
        <v>27</v>
      </c>
      <c r="D217" s="42"/>
      <c r="E217" s="34" t="str">
        <f>IF((D217)&gt;0,INDEX('Default Rankings'!$B$3:$D$302,'Live Draft Picks'!D217,2) &amp; " " &amp; INDEX('Default Rankings'!$B$3:$D$302,'Live Draft Picks'!D217,3),"")</f>
        <v/>
      </c>
      <c r="F217" s="35" t="str">
        <f>IF((D217)&gt;0,INDEX('Default Rankings'!$C$3:$E$302,'Live Draft Picks'!D217,3),"")</f>
        <v/>
      </c>
    </row>
    <row r="218" spans="2:6" x14ac:dyDescent="0.35">
      <c r="B218" s="12" t="str">
        <f>INDEX('League Settings'!$H$5:$H$18,IF(MOD(C218,2)=0,'League Settings'!$I$2-MOD(ROW()-3,'League Settings'!$I$2),MOD(ROW()-3,'League Settings'!$I$2)+1))</f>
        <v>8th</v>
      </c>
      <c r="C218" s="29">
        <f>CEILING((ROW()-2)/'League Settings'!$I$2,1)</f>
        <v>27</v>
      </c>
      <c r="D218" s="42"/>
      <c r="E218" s="34" t="str">
        <f>IF((D218)&gt;0,INDEX('Default Rankings'!$B$3:$D$302,'Live Draft Picks'!D218,2) &amp; " " &amp; INDEX('Default Rankings'!$B$3:$D$302,'Live Draft Picks'!D218,3),"")</f>
        <v/>
      </c>
      <c r="F218" s="35" t="str">
        <f>IF((D218)&gt;0,INDEX('Default Rankings'!$C$3:$E$302,'Live Draft Picks'!D218,3),"")</f>
        <v/>
      </c>
    </row>
    <row r="219" spans="2:6" x14ac:dyDescent="0.35">
      <c r="B219" s="12" t="str">
        <f>INDEX('League Settings'!$H$5:$H$18,IF(MOD(C219,2)=0,'League Settings'!$I$2-MOD(ROW()-3,'League Settings'!$I$2),MOD(ROW()-3,'League Settings'!$I$2)+1))</f>
        <v>8th</v>
      </c>
      <c r="C219" s="29">
        <f>CEILING((ROW()-2)/'League Settings'!$I$2,1)</f>
        <v>28</v>
      </c>
      <c r="D219" s="42"/>
      <c r="E219" s="34" t="str">
        <f>IF((D219)&gt;0,INDEX('Default Rankings'!$B$3:$D$302,'Live Draft Picks'!D219,2) &amp; " " &amp; INDEX('Default Rankings'!$B$3:$D$302,'Live Draft Picks'!D219,3),"")</f>
        <v/>
      </c>
      <c r="F219" s="35" t="str">
        <f>IF((D219)&gt;0,INDEX('Default Rankings'!$C$3:$E$302,'Live Draft Picks'!D219,3),"")</f>
        <v/>
      </c>
    </row>
    <row r="220" spans="2:6" x14ac:dyDescent="0.35">
      <c r="B220" s="12" t="str">
        <f>INDEX('League Settings'!$H$5:$H$18,IF(MOD(C220,2)=0,'League Settings'!$I$2-MOD(ROW()-3,'League Settings'!$I$2),MOD(ROW()-3,'League Settings'!$I$2)+1))</f>
        <v>7th</v>
      </c>
      <c r="C220" s="29">
        <f>CEILING((ROW()-2)/'League Settings'!$I$2,1)</f>
        <v>28</v>
      </c>
      <c r="D220" s="42"/>
      <c r="E220" s="34" t="str">
        <f>IF((D220)&gt;0,INDEX('Default Rankings'!$B$3:$D$302,'Live Draft Picks'!D220,2) &amp; " " &amp; INDEX('Default Rankings'!$B$3:$D$302,'Live Draft Picks'!D220,3),"")</f>
        <v/>
      </c>
      <c r="F220" s="35" t="str">
        <f>IF((D220)&gt;0,INDEX('Default Rankings'!$C$3:$E$302,'Live Draft Picks'!D220,3),"")</f>
        <v/>
      </c>
    </row>
    <row r="221" spans="2:6" x14ac:dyDescent="0.35">
      <c r="B221" s="12" t="str">
        <f>INDEX('League Settings'!$H$5:$H$18,IF(MOD(C221,2)=0,'League Settings'!$I$2-MOD(ROW()-3,'League Settings'!$I$2),MOD(ROW()-3,'League Settings'!$I$2)+1))</f>
        <v>6th</v>
      </c>
      <c r="C221" s="29">
        <f>CEILING((ROW()-2)/'League Settings'!$I$2,1)</f>
        <v>28</v>
      </c>
      <c r="D221" s="42"/>
      <c r="E221" s="34" t="str">
        <f>IF((D221)&gt;0,INDEX('Default Rankings'!$B$3:$D$302,'Live Draft Picks'!D221,2) &amp; " " &amp; INDEX('Default Rankings'!$B$3:$D$302,'Live Draft Picks'!D221,3),"")</f>
        <v/>
      </c>
      <c r="F221" s="35" t="str">
        <f>IF((D221)&gt;0,INDEX('Default Rankings'!$C$3:$E$302,'Live Draft Picks'!D221,3),"")</f>
        <v/>
      </c>
    </row>
    <row r="222" spans="2:6" x14ac:dyDescent="0.35">
      <c r="B222" s="12" t="str">
        <f>INDEX('League Settings'!$H$5:$H$18,IF(MOD(C222,2)=0,'League Settings'!$I$2-MOD(ROW()-3,'League Settings'!$I$2),MOD(ROW()-3,'League Settings'!$I$2)+1))</f>
        <v>5th</v>
      </c>
      <c r="C222" s="29">
        <f>CEILING((ROW()-2)/'League Settings'!$I$2,1)</f>
        <v>28</v>
      </c>
      <c r="D222" s="42"/>
      <c r="E222" s="34" t="str">
        <f>IF((D222)&gt;0,INDEX('Default Rankings'!$B$3:$D$302,'Live Draft Picks'!D222,2) &amp; " " &amp; INDEX('Default Rankings'!$B$3:$D$302,'Live Draft Picks'!D222,3),"")</f>
        <v/>
      </c>
      <c r="F222" s="35" t="str">
        <f>IF((D222)&gt;0,INDEX('Default Rankings'!$C$3:$E$302,'Live Draft Picks'!D222,3),"")</f>
        <v/>
      </c>
    </row>
    <row r="223" spans="2:6" x14ac:dyDescent="0.35">
      <c r="B223" s="12" t="str">
        <f>INDEX('League Settings'!$H$5:$H$18,IF(MOD(C223,2)=0,'League Settings'!$I$2-MOD(ROW()-3,'League Settings'!$I$2),MOD(ROW()-3,'League Settings'!$I$2)+1))</f>
        <v>4th</v>
      </c>
      <c r="C223" s="29">
        <f>CEILING((ROW()-2)/'League Settings'!$I$2,1)</f>
        <v>28</v>
      </c>
      <c r="D223" s="42"/>
      <c r="E223" s="34" t="str">
        <f>IF((D223)&gt;0,INDEX('Default Rankings'!$B$3:$D$302,'Live Draft Picks'!D223,2) &amp; " " &amp; INDEX('Default Rankings'!$B$3:$D$302,'Live Draft Picks'!D223,3),"")</f>
        <v/>
      </c>
      <c r="F223" s="35" t="str">
        <f>IF((D223)&gt;0,INDEX('Default Rankings'!$C$3:$E$302,'Live Draft Picks'!D223,3),"")</f>
        <v/>
      </c>
    </row>
    <row r="224" spans="2:6" x14ac:dyDescent="0.35">
      <c r="B224" s="12" t="str">
        <f>INDEX('League Settings'!$H$5:$H$18,IF(MOD(C224,2)=0,'League Settings'!$I$2-MOD(ROW()-3,'League Settings'!$I$2),MOD(ROW()-3,'League Settings'!$I$2)+1))</f>
        <v>3rd</v>
      </c>
      <c r="C224" s="29">
        <f>CEILING((ROW()-2)/'League Settings'!$I$2,1)</f>
        <v>28</v>
      </c>
      <c r="D224" s="42"/>
      <c r="E224" s="34" t="str">
        <f>IF((D224)&gt;0,INDEX('Default Rankings'!$B$3:$D$302,'Live Draft Picks'!D224,2) &amp; " " &amp; INDEX('Default Rankings'!$B$3:$D$302,'Live Draft Picks'!D224,3),"")</f>
        <v/>
      </c>
      <c r="F224" s="35" t="str">
        <f>IF((D224)&gt;0,INDEX('Default Rankings'!$C$3:$E$302,'Live Draft Picks'!D224,3),"")</f>
        <v/>
      </c>
    </row>
    <row r="225" spans="2:6" x14ac:dyDescent="0.35">
      <c r="B225" s="12" t="str">
        <f>INDEX('League Settings'!$H$5:$H$18,IF(MOD(C225,2)=0,'League Settings'!$I$2-MOD(ROW()-3,'League Settings'!$I$2),MOD(ROW()-3,'League Settings'!$I$2)+1))</f>
        <v>2nd</v>
      </c>
      <c r="C225" s="29">
        <f>CEILING((ROW()-2)/'League Settings'!$I$2,1)</f>
        <v>28</v>
      </c>
      <c r="D225" s="42"/>
      <c r="E225" s="34" t="str">
        <f>IF((D225)&gt;0,INDEX('Default Rankings'!$B$3:$D$302,'Live Draft Picks'!D225,2) &amp; " " &amp; INDEX('Default Rankings'!$B$3:$D$302,'Live Draft Picks'!D225,3),"")</f>
        <v/>
      </c>
      <c r="F225" s="35" t="str">
        <f>IF((D225)&gt;0,INDEX('Default Rankings'!$C$3:$E$302,'Live Draft Picks'!D225,3),"")</f>
        <v/>
      </c>
    </row>
    <row r="226" spans="2:6" x14ac:dyDescent="0.35">
      <c r="B226" s="12" t="str">
        <f>INDEX('League Settings'!$H$5:$H$18,IF(MOD(C226,2)=0,'League Settings'!$I$2-MOD(ROW()-3,'League Settings'!$I$2),MOD(ROW()-3,'League Settings'!$I$2)+1))</f>
        <v>1st</v>
      </c>
      <c r="C226" s="29">
        <f>CEILING((ROW()-2)/'League Settings'!$I$2,1)</f>
        <v>28</v>
      </c>
      <c r="D226" s="42"/>
      <c r="E226" s="34" t="str">
        <f>IF((D226)&gt;0,INDEX('Default Rankings'!$B$3:$D$302,'Live Draft Picks'!D226,2) &amp; " " &amp; INDEX('Default Rankings'!$B$3:$D$302,'Live Draft Picks'!D226,3),"")</f>
        <v/>
      </c>
      <c r="F226" s="35" t="str">
        <f>IF((D226)&gt;0,INDEX('Default Rankings'!$C$3:$E$302,'Live Draft Picks'!D226,3),"")</f>
        <v/>
      </c>
    </row>
    <row r="227" spans="2:6" x14ac:dyDescent="0.35">
      <c r="B227" s="12" t="str">
        <f>INDEX('League Settings'!$H$5:$H$18,IF(MOD(C227,2)=0,'League Settings'!$I$2-MOD(ROW()-3,'League Settings'!$I$2),MOD(ROW()-3,'League Settings'!$I$2)+1))</f>
        <v>1st</v>
      </c>
      <c r="C227" s="29">
        <f>CEILING((ROW()-2)/'League Settings'!$I$2,1)</f>
        <v>29</v>
      </c>
      <c r="D227" s="42"/>
      <c r="E227" s="34" t="str">
        <f>IF((D227)&gt;0,INDEX('Default Rankings'!$B$3:$D$302,'Live Draft Picks'!D227,2) &amp; " " &amp; INDEX('Default Rankings'!$B$3:$D$302,'Live Draft Picks'!D227,3),"")</f>
        <v/>
      </c>
      <c r="F227" s="35" t="str">
        <f>IF((D227)&gt;0,INDEX('Default Rankings'!$C$3:$E$302,'Live Draft Picks'!D227,3),"")</f>
        <v/>
      </c>
    </row>
    <row r="228" spans="2:6" x14ac:dyDescent="0.35">
      <c r="B228" s="12" t="str">
        <f>INDEX('League Settings'!$H$5:$H$18,IF(MOD(C228,2)=0,'League Settings'!$I$2-MOD(ROW()-3,'League Settings'!$I$2),MOD(ROW()-3,'League Settings'!$I$2)+1))</f>
        <v>2nd</v>
      </c>
      <c r="C228" s="29">
        <f>CEILING((ROW()-2)/'League Settings'!$I$2,1)</f>
        <v>29</v>
      </c>
      <c r="D228" s="42"/>
      <c r="E228" s="34" t="str">
        <f>IF((D228)&gt;0,INDEX('Default Rankings'!$B$3:$D$302,'Live Draft Picks'!D228,2) &amp; " " &amp; INDEX('Default Rankings'!$B$3:$D$302,'Live Draft Picks'!D228,3),"")</f>
        <v/>
      </c>
      <c r="F228" s="35" t="str">
        <f>IF((D228)&gt;0,INDEX('Default Rankings'!$C$3:$E$302,'Live Draft Picks'!D228,3),"")</f>
        <v/>
      </c>
    </row>
    <row r="229" spans="2:6" x14ac:dyDescent="0.35">
      <c r="B229" s="12" t="str">
        <f>INDEX('League Settings'!$H$5:$H$18,IF(MOD(C229,2)=0,'League Settings'!$I$2-MOD(ROW()-3,'League Settings'!$I$2),MOD(ROW()-3,'League Settings'!$I$2)+1))</f>
        <v>3rd</v>
      </c>
      <c r="C229" s="29">
        <f>CEILING((ROW()-2)/'League Settings'!$I$2,1)</f>
        <v>29</v>
      </c>
      <c r="D229" s="42"/>
      <c r="E229" s="34" t="str">
        <f>IF((D229)&gt;0,INDEX('Default Rankings'!$B$3:$D$302,'Live Draft Picks'!D229,2) &amp; " " &amp; INDEX('Default Rankings'!$B$3:$D$302,'Live Draft Picks'!D229,3),"")</f>
        <v/>
      </c>
      <c r="F229" s="35" t="str">
        <f>IF((D229)&gt;0,INDEX('Default Rankings'!$C$3:$E$302,'Live Draft Picks'!D229,3),"")</f>
        <v/>
      </c>
    </row>
    <row r="230" spans="2:6" x14ac:dyDescent="0.35">
      <c r="B230" s="12" t="str">
        <f>INDEX('League Settings'!$H$5:$H$18,IF(MOD(C230,2)=0,'League Settings'!$I$2-MOD(ROW()-3,'League Settings'!$I$2),MOD(ROW()-3,'League Settings'!$I$2)+1))</f>
        <v>4th</v>
      </c>
      <c r="C230" s="29">
        <f>CEILING((ROW()-2)/'League Settings'!$I$2,1)</f>
        <v>29</v>
      </c>
      <c r="D230" s="42"/>
      <c r="E230" s="34" t="str">
        <f>IF((D230)&gt;0,INDEX('Default Rankings'!$B$3:$D$302,'Live Draft Picks'!D230,2) &amp; " " &amp; INDEX('Default Rankings'!$B$3:$D$302,'Live Draft Picks'!D230,3),"")</f>
        <v/>
      </c>
      <c r="F230" s="35" t="str">
        <f>IF((D230)&gt;0,INDEX('Default Rankings'!$C$3:$E$302,'Live Draft Picks'!D230,3),"")</f>
        <v/>
      </c>
    </row>
    <row r="231" spans="2:6" x14ac:dyDescent="0.35">
      <c r="B231" s="12" t="str">
        <f>INDEX('League Settings'!$H$5:$H$18,IF(MOD(C231,2)=0,'League Settings'!$I$2-MOD(ROW()-3,'League Settings'!$I$2),MOD(ROW()-3,'League Settings'!$I$2)+1))</f>
        <v>5th</v>
      </c>
      <c r="C231" s="29">
        <f>CEILING((ROW()-2)/'League Settings'!$I$2,1)</f>
        <v>29</v>
      </c>
      <c r="D231" s="42"/>
      <c r="E231" s="34" t="str">
        <f>IF((D231)&gt;0,INDEX('Default Rankings'!$B$3:$D$302,'Live Draft Picks'!D231,2) &amp; " " &amp; INDEX('Default Rankings'!$B$3:$D$302,'Live Draft Picks'!D231,3),"")</f>
        <v/>
      </c>
      <c r="F231" s="35" t="str">
        <f>IF((D231)&gt;0,INDEX('Default Rankings'!$C$3:$E$302,'Live Draft Picks'!D231,3),"")</f>
        <v/>
      </c>
    </row>
    <row r="232" spans="2:6" x14ac:dyDescent="0.35">
      <c r="B232" s="12" t="str">
        <f>INDEX('League Settings'!$H$5:$H$18,IF(MOD(C232,2)=0,'League Settings'!$I$2-MOD(ROW()-3,'League Settings'!$I$2),MOD(ROW()-3,'League Settings'!$I$2)+1))</f>
        <v>6th</v>
      </c>
      <c r="C232" s="29">
        <f>CEILING((ROW()-2)/'League Settings'!$I$2,1)</f>
        <v>29</v>
      </c>
      <c r="D232" s="42"/>
      <c r="E232" s="34" t="str">
        <f>IF((D232)&gt;0,INDEX('Default Rankings'!$B$3:$D$302,'Live Draft Picks'!D232,2) &amp; " " &amp; INDEX('Default Rankings'!$B$3:$D$302,'Live Draft Picks'!D232,3),"")</f>
        <v/>
      </c>
      <c r="F232" s="35" t="str">
        <f>IF((D232)&gt;0,INDEX('Default Rankings'!$C$3:$E$302,'Live Draft Picks'!D232,3),"")</f>
        <v/>
      </c>
    </row>
    <row r="233" spans="2:6" x14ac:dyDescent="0.35">
      <c r="B233" s="12" t="str">
        <f>INDEX('League Settings'!$H$5:$H$18,IF(MOD(C233,2)=0,'League Settings'!$I$2-MOD(ROW()-3,'League Settings'!$I$2),MOD(ROW()-3,'League Settings'!$I$2)+1))</f>
        <v>7th</v>
      </c>
      <c r="C233" s="29">
        <f>CEILING((ROW()-2)/'League Settings'!$I$2,1)</f>
        <v>29</v>
      </c>
      <c r="D233" s="42"/>
      <c r="E233" s="34" t="str">
        <f>IF((D233)&gt;0,INDEX('Default Rankings'!$B$3:$D$302,'Live Draft Picks'!D233,2) &amp; " " &amp; INDEX('Default Rankings'!$B$3:$D$302,'Live Draft Picks'!D233,3),"")</f>
        <v/>
      </c>
      <c r="F233" s="35" t="str">
        <f>IF((D233)&gt;0,INDEX('Default Rankings'!$C$3:$E$302,'Live Draft Picks'!D233,3),"")</f>
        <v/>
      </c>
    </row>
    <row r="234" spans="2:6" x14ac:dyDescent="0.35">
      <c r="B234" s="12" t="str">
        <f>INDEX('League Settings'!$H$5:$H$18,IF(MOD(C234,2)=0,'League Settings'!$I$2-MOD(ROW()-3,'League Settings'!$I$2),MOD(ROW()-3,'League Settings'!$I$2)+1))</f>
        <v>8th</v>
      </c>
      <c r="C234" s="29">
        <f>CEILING((ROW()-2)/'League Settings'!$I$2,1)</f>
        <v>29</v>
      </c>
      <c r="D234" s="42"/>
      <c r="E234" s="34" t="str">
        <f>IF((D234)&gt;0,INDEX('Default Rankings'!$B$3:$D$302,'Live Draft Picks'!D234,2) &amp; " " &amp; INDEX('Default Rankings'!$B$3:$D$302,'Live Draft Picks'!D234,3),"")</f>
        <v/>
      </c>
      <c r="F234" s="35" t="str">
        <f>IF((D234)&gt;0,INDEX('Default Rankings'!$C$3:$E$302,'Live Draft Picks'!D234,3),"")</f>
        <v/>
      </c>
    </row>
    <row r="235" spans="2:6" x14ac:dyDescent="0.35">
      <c r="B235" s="12" t="str">
        <f>INDEX('League Settings'!$H$5:$H$18,IF(MOD(C235,2)=0,'League Settings'!$I$2-MOD(ROW()-3,'League Settings'!$I$2),MOD(ROW()-3,'League Settings'!$I$2)+1))</f>
        <v>8th</v>
      </c>
      <c r="C235" s="29">
        <f>CEILING((ROW()-2)/'League Settings'!$I$2,1)</f>
        <v>30</v>
      </c>
      <c r="D235" s="42"/>
      <c r="E235" s="34" t="str">
        <f>IF((D235)&gt;0,INDEX('Default Rankings'!$B$3:$D$302,'Live Draft Picks'!D235,2) &amp; " " &amp; INDEX('Default Rankings'!$B$3:$D$302,'Live Draft Picks'!D235,3),"")</f>
        <v/>
      </c>
      <c r="F235" s="35" t="str">
        <f>IF((D235)&gt;0,INDEX('Default Rankings'!$C$3:$E$302,'Live Draft Picks'!D235,3),"")</f>
        <v/>
      </c>
    </row>
    <row r="236" spans="2:6" x14ac:dyDescent="0.35">
      <c r="B236" s="12" t="str">
        <f>INDEX('League Settings'!$H$5:$H$18,IF(MOD(C236,2)=0,'League Settings'!$I$2-MOD(ROW()-3,'League Settings'!$I$2),MOD(ROW()-3,'League Settings'!$I$2)+1))</f>
        <v>7th</v>
      </c>
      <c r="C236" s="29">
        <f>CEILING((ROW()-2)/'League Settings'!$I$2,1)</f>
        <v>30</v>
      </c>
      <c r="D236" s="42"/>
      <c r="E236" s="34" t="str">
        <f>IF((D236)&gt;0,INDEX('Default Rankings'!$B$3:$D$302,'Live Draft Picks'!D236,2) &amp; " " &amp; INDEX('Default Rankings'!$B$3:$D$302,'Live Draft Picks'!D236,3),"")</f>
        <v/>
      </c>
      <c r="F236" s="35" t="str">
        <f>IF((D236)&gt;0,INDEX('Default Rankings'!$C$3:$E$302,'Live Draft Picks'!D236,3),"")</f>
        <v/>
      </c>
    </row>
    <row r="237" spans="2:6" x14ac:dyDescent="0.35">
      <c r="B237" s="12" t="str">
        <f>INDEX('League Settings'!$H$5:$H$18,IF(MOD(C237,2)=0,'League Settings'!$I$2-MOD(ROW()-3,'League Settings'!$I$2),MOD(ROW()-3,'League Settings'!$I$2)+1))</f>
        <v>6th</v>
      </c>
      <c r="C237" s="29">
        <f>CEILING((ROW()-2)/'League Settings'!$I$2,1)</f>
        <v>30</v>
      </c>
      <c r="D237" s="42"/>
      <c r="E237" s="34" t="str">
        <f>IF((D237)&gt;0,INDEX('Default Rankings'!$B$3:$D$302,'Live Draft Picks'!D237,2) &amp; " " &amp; INDEX('Default Rankings'!$B$3:$D$302,'Live Draft Picks'!D237,3),"")</f>
        <v/>
      </c>
      <c r="F237" s="35" t="str">
        <f>IF((D237)&gt;0,INDEX('Default Rankings'!$C$3:$E$302,'Live Draft Picks'!D237,3),"")</f>
        <v/>
      </c>
    </row>
    <row r="238" spans="2:6" x14ac:dyDescent="0.35">
      <c r="B238" s="12" t="str">
        <f>INDEX('League Settings'!$H$5:$H$18,IF(MOD(C238,2)=0,'League Settings'!$I$2-MOD(ROW()-3,'League Settings'!$I$2),MOD(ROW()-3,'League Settings'!$I$2)+1))</f>
        <v>5th</v>
      </c>
      <c r="C238" s="29">
        <f>CEILING((ROW()-2)/'League Settings'!$I$2,1)</f>
        <v>30</v>
      </c>
      <c r="D238" s="42"/>
      <c r="E238" s="34" t="str">
        <f>IF((D238)&gt;0,INDEX('Default Rankings'!$B$3:$D$302,'Live Draft Picks'!D238,2) &amp; " " &amp; INDEX('Default Rankings'!$B$3:$D$302,'Live Draft Picks'!D238,3),"")</f>
        <v/>
      </c>
      <c r="F238" s="35" t="str">
        <f>IF((D238)&gt;0,INDEX('Default Rankings'!$C$3:$E$302,'Live Draft Picks'!D238,3),"")</f>
        <v/>
      </c>
    </row>
    <row r="239" spans="2:6" x14ac:dyDescent="0.35">
      <c r="B239" s="12" t="str">
        <f>INDEX('League Settings'!$H$5:$H$18,IF(MOD(C239,2)=0,'League Settings'!$I$2-MOD(ROW()-3,'League Settings'!$I$2),MOD(ROW()-3,'League Settings'!$I$2)+1))</f>
        <v>4th</v>
      </c>
      <c r="C239" s="29">
        <f>CEILING((ROW()-2)/'League Settings'!$I$2,1)</f>
        <v>30</v>
      </c>
      <c r="D239" s="42"/>
      <c r="E239" s="34" t="str">
        <f>IF((D239)&gt;0,INDEX('Default Rankings'!$B$3:$D$302,'Live Draft Picks'!D239,2) &amp; " " &amp; INDEX('Default Rankings'!$B$3:$D$302,'Live Draft Picks'!D239,3),"")</f>
        <v/>
      </c>
      <c r="F239" s="35" t="str">
        <f>IF((D239)&gt;0,INDEX('Default Rankings'!$C$3:$E$302,'Live Draft Picks'!D239,3),"")</f>
        <v/>
      </c>
    </row>
    <row r="240" spans="2:6" x14ac:dyDescent="0.35">
      <c r="B240" s="12" t="str">
        <f>INDEX('League Settings'!$H$5:$H$18,IF(MOD(C240,2)=0,'League Settings'!$I$2-MOD(ROW()-3,'League Settings'!$I$2),MOD(ROW()-3,'League Settings'!$I$2)+1))</f>
        <v>3rd</v>
      </c>
      <c r="C240" s="29">
        <f>CEILING((ROW()-2)/'League Settings'!$I$2,1)</f>
        <v>30</v>
      </c>
      <c r="D240" s="42"/>
      <c r="E240" s="34" t="str">
        <f>IF((D240)&gt;0,INDEX('Default Rankings'!$B$3:$D$302,'Live Draft Picks'!D240,2) &amp; " " &amp; INDEX('Default Rankings'!$B$3:$D$302,'Live Draft Picks'!D240,3),"")</f>
        <v/>
      </c>
      <c r="F240" s="35" t="str">
        <f>IF((D240)&gt;0,INDEX('Default Rankings'!$C$3:$E$302,'Live Draft Picks'!D240,3),"")</f>
        <v/>
      </c>
    </row>
    <row r="241" spans="2:6" x14ac:dyDescent="0.35">
      <c r="B241" s="12" t="str">
        <f>INDEX('League Settings'!$H$5:$H$18,IF(MOD(C241,2)=0,'League Settings'!$I$2-MOD(ROW()-81,'League Settings'!$I$2),MOD(ROW()-81,'League Settings'!$I$2)+1))</f>
        <v>1st</v>
      </c>
      <c r="C241" s="29">
        <f>CEILING((ROW()-80)/'League Settings'!$I$2,1)</f>
        <v>21</v>
      </c>
      <c r="D241" s="42"/>
      <c r="E241" s="34" t="str">
        <f>IF((D241)&gt;0,INDEX('Default Rankings'!$B$3:$D$302,'Live Draft Picks'!D241,2) &amp; " " &amp; INDEX('Default Rankings'!$B$3:$D$302,'Live Draft Picks'!D241,3),"")</f>
        <v/>
      </c>
      <c r="F241" s="35" t="str">
        <f>IF((D241)&gt;0,INDEX('Default Rankings'!$C$3:$E$302,'Live Draft Picks'!D241,3),"")</f>
        <v/>
      </c>
    </row>
    <row r="242" spans="2:6" x14ac:dyDescent="0.35">
      <c r="B242" s="12" t="str">
        <f>INDEX('League Settings'!$H$5:$H$18,IF(MOD(C242,2)=0,'League Settings'!$I$2-MOD(ROW()-81,'League Settings'!$I$2),MOD(ROW()-81,'League Settings'!$I$2)+1))</f>
        <v>2nd</v>
      </c>
      <c r="C242" s="29">
        <f>CEILING((ROW()-80)/'League Settings'!$I$2,1)</f>
        <v>21</v>
      </c>
      <c r="D242" s="42"/>
      <c r="E242" s="34" t="str">
        <f>IF((D242)&gt;0,INDEX('Default Rankings'!$B$3:$D$302,'Live Draft Picks'!D242,2) &amp; " " &amp; INDEX('Default Rankings'!$B$3:$D$302,'Live Draft Picks'!D242,3),"")</f>
        <v/>
      </c>
      <c r="F242" s="35" t="str">
        <f>IF((D242)&gt;0,INDEX('Default Rankings'!$C$3:$E$302,'Live Draft Picks'!D242,3),"")</f>
        <v/>
      </c>
    </row>
    <row r="243" spans="2:6" x14ac:dyDescent="0.35">
      <c r="B243" s="12" t="str">
        <f>INDEX('League Settings'!$H$5:$H$18,IF(MOD(C243,2)=0,'League Settings'!$I$2-MOD(ROW()-81,'League Settings'!$I$2),MOD(ROW()-81,'League Settings'!$I$2)+1))</f>
        <v>3rd</v>
      </c>
      <c r="C243" s="29">
        <f>CEILING((ROW()-80)/'League Settings'!$I$2,1)</f>
        <v>21</v>
      </c>
      <c r="D243" s="42"/>
      <c r="E243" s="34" t="str">
        <f>IF((D243)&gt;0,INDEX('Default Rankings'!$B$3:$D$302,'Live Draft Picks'!D243,2) &amp; " " &amp; INDEX('Default Rankings'!$B$3:$D$302,'Live Draft Picks'!D243,3),"")</f>
        <v/>
      </c>
      <c r="F243" s="35" t="str">
        <f>IF((D243)&gt;0,INDEX('Default Rankings'!$C$3:$E$302,'Live Draft Picks'!D243,3),"")</f>
        <v/>
      </c>
    </row>
    <row r="244" spans="2:6" x14ac:dyDescent="0.35">
      <c r="B244" s="12" t="str">
        <f>INDEX('League Settings'!$H$5:$H$18,IF(MOD(C244,2)=0,'League Settings'!$I$2-MOD(ROW()-81,'League Settings'!$I$2),MOD(ROW()-81,'League Settings'!$I$2)+1))</f>
        <v>4th</v>
      </c>
      <c r="C244" s="29">
        <f>CEILING((ROW()-80)/'League Settings'!$I$2,1)</f>
        <v>21</v>
      </c>
      <c r="D244" s="42"/>
      <c r="E244" s="34" t="str">
        <f>IF((D244)&gt;0,INDEX('Default Rankings'!$B$3:$D$302,'Live Draft Picks'!D244,2) &amp; " " &amp; INDEX('Default Rankings'!$B$3:$D$302,'Live Draft Picks'!D244,3),"")</f>
        <v/>
      </c>
      <c r="F244" s="35" t="str">
        <f>IF((D244)&gt;0,INDEX('Default Rankings'!$C$3:$E$302,'Live Draft Picks'!D244,3),"")</f>
        <v/>
      </c>
    </row>
    <row r="245" spans="2:6" x14ac:dyDescent="0.35">
      <c r="B245" s="12" t="str">
        <f>INDEX('League Settings'!$H$5:$H$18,IF(MOD(C245,2)=0,'League Settings'!$I$2-MOD(ROW()-81,'League Settings'!$I$2),MOD(ROW()-81,'League Settings'!$I$2)+1))</f>
        <v>5th</v>
      </c>
      <c r="C245" s="29">
        <f>CEILING((ROW()-80)/'League Settings'!$I$2,1)</f>
        <v>21</v>
      </c>
      <c r="D245" s="42"/>
      <c r="E245" s="34" t="str">
        <f>IF((D245)&gt;0,INDEX('Default Rankings'!$B$3:$D$302,'Live Draft Picks'!D245,2) &amp; " " &amp; INDEX('Default Rankings'!$B$3:$D$302,'Live Draft Picks'!D245,3),"")</f>
        <v/>
      </c>
      <c r="F245" s="35" t="str">
        <f>IF((D245)&gt;0,INDEX('Default Rankings'!$C$3:$E$302,'Live Draft Picks'!D245,3),"")</f>
        <v/>
      </c>
    </row>
    <row r="246" spans="2:6" x14ac:dyDescent="0.35">
      <c r="B246" s="12" t="str">
        <f>INDEX('League Settings'!$H$5:$H$18,IF(MOD(C246,2)=0,'League Settings'!$I$2-MOD(ROW()-81,'League Settings'!$I$2),MOD(ROW()-81,'League Settings'!$I$2)+1))</f>
        <v>6th</v>
      </c>
      <c r="C246" s="29">
        <f>CEILING((ROW()-80)/'League Settings'!$I$2,1)</f>
        <v>21</v>
      </c>
      <c r="D246" s="42"/>
      <c r="E246" s="34" t="str">
        <f>IF((D246)&gt;0,INDEX('Default Rankings'!$B$3:$D$302,'Live Draft Picks'!D246,2) &amp; " " &amp; INDEX('Default Rankings'!$B$3:$D$302,'Live Draft Picks'!D246,3),"")</f>
        <v/>
      </c>
      <c r="F246" s="35" t="str">
        <f>IF((D246)&gt;0,INDEX('Default Rankings'!$C$3:$E$302,'Live Draft Picks'!D246,3),"")</f>
        <v/>
      </c>
    </row>
    <row r="247" spans="2:6" x14ac:dyDescent="0.35">
      <c r="B247" s="12" t="str">
        <f>INDEX('League Settings'!$H$5:$H$18,IF(MOD(C247,2)=0,'League Settings'!$I$2-MOD(ROW()-81,'League Settings'!$I$2),MOD(ROW()-81,'League Settings'!$I$2)+1))</f>
        <v>7th</v>
      </c>
      <c r="C247" s="29">
        <f>CEILING((ROW()-80)/'League Settings'!$I$2,1)</f>
        <v>21</v>
      </c>
      <c r="D247" s="42"/>
      <c r="E247" s="34" t="str">
        <f>IF((D247)&gt;0,INDEX('Default Rankings'!$B$3:$D$302,'Live Draft Picks'!D247,2) &amp; " " &amp; INDEX('Default Rankings'!$B$3:$D$302,'Live Draft Picks'!D247,3),"")</f>
        <v/>
      </c>
      <c r="F247" s="35" t="str">
        <f>IF((D247)&gt;0,INDEX('Default Rankings'!$C$3:$E$302,'Live Draft Picks'!D247,3),"")</f>
        <v/>
      </c>
    </row>
    <row r="248" spans="2:6" x14ac:dyDescent="0.35">
      <c r="B248" s="12" t="str">
        <f>INDEX('League Settings'!$H$5:$H$18,IF(MOD(C248,2)=0,'League Settings'!$I$2-MOD(ROW()-81,'League Settings'!$I$2),MOD(ROW()-81,'League Settings'!$I$2)+1))</f>
        <v>8th</v>
      </c>
      <c r="C248" s="29">
        <f>CEILING((ROW()-80)/'League Settings'!$I$2,1)</f>
        <v>21</v>
      </c>
      <c r="D248" s="42"/>
      <c r="E248" s="34" t="str">
        <f>IF((D248)&gt;0,INDEX('Default Rankings'!$B$3:$D$302,'Live Draft Picks'!D248,2) &amp; " " &amp; INDEX('Default Rankings'!$B$3:$D$302,'Live Draft Picks'!D248,3),"")</f>
        <v/>
      </c>
      <c r="F248" s="35" t="str">
        <f>IF((D248)&gt;0,INDEX('Default Rankings'!$C$3:$E$302,'Live Draft Picks'!D248,3),"")</f>
        <v/>
      </c>
    </row>
    <row r="249" spans="2:6" x14ac:dyDescent="0.35">
      <c r="B249" s="12" t="str">
        <f>INDEX('League Settings'!$H$5:$H$18,IF(MOD(C249,2)=0,'League Settings'!$I$2-MOD(ROW()-81,'League Settings'!$I$2),MOD(ROW()-81,'League Settings'!$I$2)+1))</f>
        <v>8th</v>
      </c>
      <c r="C249" s="29">
        <f>CEILING((ROW()-80)/'League Settings'!$I$2,1)</f>
        <v>22</v>
      </c>
      <c r="D249" s="42"/>
      <c r="E249" s="34" t="str">
        <f>IF((D249)&gt;0,INDEX('Default Rankings'!$B$3:$D$302,'Live Draft Picks'!D249,2) &amp; " " &amp; INDEX('Default Rankings'!$B$3:$D$302,'Live Draft Picks'!D249,3),"")</f>
        <v/>
      </c>
      <c r="F249" s="35" t="str">
        <f>IF((D249)&gt;0,INDEX('Default Rankings'!$C$3:$E$302,'Live Draft Picks'!D249,3),"")</f>
        <v/>
      </c>
    </row>
    <row r="250" spans="2:6" x14ac:dyDescent="0.35">
      <c r="B250" s="12" t="str">
        <f>INDEX('League Settings'!$H$5:$H$18,IF(MOD(C250,2)=0,'League Settings'!$I$2-MOD(ROW()-81,'League Settings'!$I$2),MOD(ROW()-81,'League Settings'!$I$2)+1))</f>
        <v>7th</v>
      </c>
      <c r="C250" s="29">
        <f>CEILING((ROW()-80)/'League Settings'!$I$2,1)</f>
        <v>22</v>
      </c>
      <c r="D250" s="42"/>
      <c r="E250" s="34" t="str">
        <f>IF((D250)&gt;0,INDEX('Default Rankings'!$B$3:$D$302,'Live Draft Picks'!D250,2) &amp; " " &amp; INDEX('Default Rankings'!$B$3:$D$302,'Live Draft Picks'!D250,3),"")</f>
        <v/>
      </c>
      <c r="F250" s="35" t="str">
        <f>IF((D250)&gt;0,INDEX('Default Rankings'!$C$3:$E$302,'Live Draft Picks'!D250,3),"")</f>
        <v/>
      </c>
    </row>
    <row r="251" spans="2:6" x14ac:dyDescent="0.35">
      <c r="B251" s="12" t="str">
        <f>INDEX('League Settings'!$H$5:$H$18,IF(MOD(C251,2)=0,'League Settings'!$I$2-MOD(ROW()-81,'League Settings'!$I$2),MOD(ROW()-81,'League Settings'!$I$2)+1))</f>
        <v>6th</v>
      </c>
      <c r="C251" s="29">
        <f>CEILING((ROW()-80)/'League Settings'!$I$2,1)</f>
        <v>22</v>
      </c>
      <c r="D251" s="42"/>
      <c r="E251" s="34" t="str">
        <f>IF((D251)&gt;0,INDEX('Default Rankings'!$B$3:$D$302,'Live Draft Picks'!D251,2) &amp; " " &amp; INDEX('Default Rankings'!$B$3:$D$302,'Live Draft Picks'!D251,3),"")</f>
        <v/>
      </c>
      <c r="F251" s="35" t="str">
        <f>IF((D251)&gt;0,INDEX('Default Rankings'!$C$3:$E$302,'Live Draft Picks'!D251,3),"")</f>
        <v/>
      </c>
    </row>
    <row r="252" spans="2:6" x14ac:dyDescent="0.35">
      <c r="B252" s="12" t="str">
        <f>INDEX('League Settings'!$H$5:$H$18,IF(MOD(C252,2)=0,'League Settings'!$I$2-MOD(ROW()-81,'League Settings'!$I$2),MOD(ROW()-81,'League Settings'!$I$2)+1))</f>
        <v>5th</v>
      </c>
      <c r="C252" s="29">
        <f>CEILING((ROW()-80)/'League Settings'!$I$2,1)</f>
        <v>22</v>
      </c>
      <c r="D252" s="42"/>
      <c r="E252" s="34" t="str">
        <f>IF((D252)&gt;0,INDEX('Default Rankings'!$B$3:$D$302,'Live Draft Picks'!D252,2) &amp; " " &amp; INDEX('Default Rankings'!$B$3:$D$302,'Live Draft Picks'!D252,3),"")</f>
        <v/>
      </c>
      <c r="F252" s="35" t="str">
        <f>IF((D252)&gt;0,INDEX('Default Rankings'!$C$3:$E$302,'Live Draft Picks'!D252,3),"")</f>
        <v/>
      </c>
    </row>
    <row r="253" spans="2:6" x14ac:dyDescent="0.35">
      <c r="B253" s="12" t="str">
        <f>INDEX('League Settings'!$H$5:$H$18,IF(MOD(C253,2)=0,'League Settings'!$I$2-MOD(ROW()-81,'League Settings'!$I$2),MOD(ROW()-81,'League Settings'!$I$2)+1))</f>
        <v>4th</v>
      </c>
      <c r="C253" s="29">
        <f>CEILING((ROW()-80)/'League Settings'!$I$2,1)</f>
        <v>22</v>
      </c>
      <c r="D253" s="42"/>
      <c r="E253" s="34" t="str">
        <f>IF((D253)&gt;0,INDEX('Default Rankings'!$B$3:$D$302,'Live Draft Picks'!D253,2) &amp; " " &amp; INDEX('Default Rankings'!$B$3:$D$302,'Live Draft Picks'!D253,3),"")</f>
        <v/>
      </c>
      <c r="F253" s="35" t="str">
        <f>IF((D253)&gt;0,INDEX('Default Rankings'!$C$3:$E$302,'Live Draft Picks'!D253,3),"")</f>
        <v/>
      </c>
    </row>
    <row r="254" spans="2:6" ht="15" thickBot="1" x14ac:dyDescent="0.4">
      <c r="B254" s="13" t="str">
        <f>INDEX('League Settings'!$H$5:$H$18,IF(MOD(C254,2)=0,'League Settings'!$I$2-MOD(ROW()-81,'League Settings'!$I$2),MOD(ROW()-81,'League Settings'!$I$2)+1))</f>
        <v>3rd</v>
      </c>
      <c r="C254" s="29">
        <f>CEILING((ROW()-80)/'League Settings'!$I$2,1)</f>
        <v>22</v>
      </c>
      <c r="D254" s="43"/>
      <c r="E254" s="34" t="str">
        <f>IF((D254)&gt;0,INDEX('Default Rankings'!$B$3:$D$302,'Live Draft Picks'!D254,2) &amp; " " &amp; INDEX('Default Rankings'!$B$3:$D$302,'Live Draft Picks'!D254,3),"")</f>
        <v/>
      </c>
      <c r="F254" s="35" t="str">
        <f>IF((D254)&gt;0,INDEX('Default Rankings'!$C$3:$E$302,'Live Draft Picks'!D254,3),"")</f>
        <v/>
      </c>
    </row>
  </sheetData>
  <mergeCells count="6">
    <mergeCell ref="L3:L5"/>
    <mergeCell ref="H2:I2"/>
    <mergeCell ref="H3:H5"/>
    <mergeCell ref="I3:I5"/>
    <mergeCell ref="J3:J5"/>
    <mergeCell ref="K3:K5"/>
  </mergeCells>
  <conditionalFormatting sqref="H6:H12">
    <cfRule type="colorScale" priority="1">
      <colorScale>
        <cfvo type="num" val="0"/>
        <cfvo type="num" val="0.5"/>
        <cfvo type="num" val="1"/>
        <color rgb="FFFF0000"/>
        <color rgb="FFFFEB84"/>
        <color rgb="FF00B050"/>
      </colorScale>
    </cfRule>
  </conditionalFormatting>
  <dataValidations count="1">
    <dataValidation type="whole" allowBlank="1" showInputMessage="1" showErrorMessage="1" sqref="D3:D254" xr:uid="{F7AE6E83-FCF0-4407-ADF3-B0BAB2ABD5B6}">
      <formula1>1</formula1>
      <formula2>300</formula2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" id="{C1229243-B63D-41D0-92B4-E5879C45DE4A}">
            <xm:f>_xlfn.CEILING.MATH((ROW()-80)/'League Settings'!$I$2)&gt;SUM('League Settings'!$F$4:$F$11)</xm:f>
            <x14:dxf>
              <font>
                <color theme="0"/>
              </font>
              <fill>
                <patternFill patternType="none">
                  <bgColor auto="1"/>
                </patternFill>
              </fill>
              <border>
                <left/>
                <right/>
                <top/>
                <bottom/>
                <vertical/>
                <horizontal/>
              </border>
            </x14:dxf>
          </x14:cfRule>
          <xm:sqref>B3:F254</xm:sqref>
        </x14:conditionalFormatting>
        <x14:conditionalFormatting xmlns:xm="http://schemas.microsoft.com/office/excel/2006/main">
          <x14:cfRule type="expression" priority="2" id="{7DBAEC4A-5F78-44B0-A32C-7268D069FEDA}">
            <xm:f>_xlfn.CEILING.MATH((ROW()-2)/'League Settings'!$I$2)&gt;SUM('League Settings'!$F$4:$F$11)</xm:f>
            <x14:dxf>
              <font>
                <strike val="0"/>
                <color theme="0"/>
              </font>
              <numFmt numFmtId="1" formatCode="0"/>
              <fill>
                <patternFill patternType="none">
                  <bgColor auto="1"/>
                </patternFill>
              </fill>
              <border>
                <left/>
                <right/>
                <top/>
                <bottom/>
                <vertical/>
                <horizontal/>
              </border>
            </x14:dxf>
          </x14:cfRule>
          <xm:sqref>E4:F254 B3:F240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E0E497-96D9-4BD7-B0E8-53617ACC0B81}">
  <sheetPr codeName="Sheet12"/>
  <dimension ref="A1"/>
  <sheetViews>
    <sheetView workbookViewId="0"/>
  </sheetViews>
  <sheetFormatPr defaultRowHeight="14.5" x14ac:dyDescent="0.35"/>
  <sheetData/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Packager Shell Object" shapeId="12459" r:id="rId4">
          <objectPr defaultSiz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3</xdr:col>
                <xdr:colOff>584200</xdr:colOff>
                <xdr:row>2</xdr:row>
                <xdr:rowOff>158750</xdr:rowOff>
              </to>
            </anchor>
          </objectPr>
        </oleObject>
      </mc:Choice>
      <mc:Fallback>
        <oleObject progId="Packager Shell Object" shapeId="12459" r:id="rId4"/>
      </mc:Fallback>
    </mc:AlternateContent>
  </oleObjec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2506401-0159-42F5-ADC1-DFC13CDD75C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ESPN Import</vt:lpstr>
      <vt:lpstr>Default Rankings Import 2020</vt:lpstr>
      <vt:lpstr>Personal Rankings</vt:lpstr>
      <vt:lpstr>Fantasy Teams</vt:lpstr>
      <vt:lpstr>Player Availability</vt:lpstr>
      <vt:lpstr>Default Rankings</vt:lpstr>
      <vt:lpstr>Take Weights</vt:lpstr>
      <vt:lpstr>Live Draft Suggestions VO2</vt:lpstr>
      <vt:lpstr>League Settings</vt:lpstr>
      <vt:lpstr>Live Draft Suggestions VOR</vt:lpstr>
      <vt:lpstr>Live Draft Picks</vt:lpstr>
      <vt:lpstr>ModelRiskSYS1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</dc:creator>
  <cp:lastModifiedBy>Ben</cp:lastModifiedBy>
  <dcterms:created xsi:type="dcterms:W3CDTF">2015-06-05T18:17:20Z</dcterms:created>
  <dcterms:modified xsi:type="dcterms:W3CDTF">2020-09-09T01:37:51Z</dcterms:modified>
</cp:coreProperties>
</file>